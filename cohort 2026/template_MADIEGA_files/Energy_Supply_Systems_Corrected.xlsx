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065C199-3069-4A63-B44D-466C1C9187AD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ources &amp; Methodology" sheetId="1" r:id="rId1"/>
    <sheet name="Base Scenario - PV &amp; CO2" sheetId="2" r:id="rId2"/>
    <sheet name="Panel &amp; Battery Pricing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3" l="1"/>
  <c r="B5" i="3"/>
  <c r="B35" i="2"/>
  <c r="B33" i="2"/>
  <c r="C45" i="2" s="1"/>
  <c r="B27" i="2"/>
  <c r="B19" i="2"/>
  <c r="B17" i="2"/>
  <c r="B16" i="2"/>
  <c r="B12" i="2"/>
  <c r="B31" i="2" s="1"/>
  <c r="B32" i="2" s="1"/>
  <c r="B34" i="2" l="1"/>
  <c r="B37" i="2" s="1"/>
  <c r="B36" i="2"/>
  <c r="B23" i="2"/>
  <c r="B26" i="2" s="1"/>
  <c r="B15" i="2"/>
  <c r="B18" i="2" s="1"/>
  <c r="C44" i="2" l="1"/>
  <c r="B38" i="2"/>
  <c r="B20" i="2"/>
  <c r="C42" i="2"/>
  <c r="C43" i="2"/>
  <c r="B28" i="2"/>
</calcChain>
</file>

<file path=xl/sharedStrings.xml><?xml version="1.0" encoding="utf-8"?>
<sst xmlns="http://schemas.openxmlformats.org/spreadsheetml/2006/main" count="140" uniqueCount="108">
  <si>
    <t>Energy Supply Systems — Sources &amp; Methodology</t>
  </si>
  <si>
    <t>Infineon/BIT Excellence Program 2026 — Module 05 — corrections and data sources for the Base scenario</t>
  </si>
  <si>
    <t>Parameter</t>
  </si>
  <si>
    <t>Value</t>
  </si>
  <si>
    <t>Unit</t>
  </si>
  <si>
    <t>Source</t>
  </si>
  <si>
    <t>Reference Year</t>
  </si>
  <si>
    <t>Notes</t>
  </si>
  <si>
    <t>Peak Sun Hours (PSH)</t>
  </si>
  <si>
    <t>kWh/m²/day</t>
  </si>
  <si>
    <t>Nana, Zallé, Ouarma, Daho, Yonli &amp; Béré (2023), "Assessment of carbon dioxide emission factors from power generation in Burkina Faso", Clean Air Journal 33(2), citing MEEVCC (2018)</t>
  </si>
  <si>
    <t>Burkina Faso national average. Regional range 3.0-7.5 kWh/m²/day depending on climatic zone (38-year climate dataset, 6 weather stations, published 2012). Ouagadougou-area sites are typically at or above the national average.</t>
  </si>
  <si>
    <t>Performance Ratio (system derating)</t>
  </si>
  <si>
    <t>ratio (0-1)</t>
  </si>
  <si>
    <t>Team assumption, standard for off-grid Sahel PV systems</t>
  </si>
  <si>
    <t>Accounts for real-world losses: dust/soiling, temperature derating, inverter and wiring losses. Adjustable between 0.70-0.80; 0.75 used as a conservative mid-point.</t>
  </si>
  <si>
    <t>Grid Emission Factor (SONABEL)</t>
  </si>
  <si>
    <t>kg CO2/kWh</t>
  </si>
  <si>
    <t>Nana, Zallé, Ouarma, Daho, Yonli &amp; Béré (2023), Clean Air Journal 33(2)</t>
  </si>
  <si>
    <t>Reflects the 2018 national electricity mix (14.25% renewables). Likely a conservative (high) estimate for 2026, since solar capacity on the SONABEL grid (e.g. Zagtouli, Nagreongo, Zina) has increased since 2018.</t>
  </si>
  <si>
    <t>PV Lifecycle Emission Factor</t>
  </si>
  <si>
    <t>IPCC (2014), Fifth Assessment Report, Working Group III, Annex III: Technology-specific Cost and Performance Parameters</t>
  </si>
  <si>
    <t>Median value for utility-scale solar PV (published range: 18-180 g CO2eq/kWh across reviewed studies). Used to net out PV's own manufacturing/lifecycle footprint from gross CO2 avoided.</t>
  </si>
  <si>
    <t>Panel unit price</t>
  </si>
  <si>
    <t>€/kWp</t>
  </si>
  <si>
    <t>Project Excel file, 2025 cohort (Abdoul's Solar PV Power Plant sheet)</t>
  </si>
  <si>
    <t>KEPT UNCHANGED per team decision — not re-verified against current market prices. For reference, this is broadly consistent with retail monocrystalline panel prices observed in the West African FCFA zone as of Sep 2026 (~680-690 FCFA/Wc).</t>
  </si>
  <si>
    <t>Battery unit price</t>
  </si>
  <si>
    <t>€/kWh</t>
  </si>
  <si>
    <t>Project Excel file, 2025 cohort</t>
  </si>
  <si>
    <t>KEPT UNCHANGED per team decision — not re-verified against current market prices. For reference, regional lithium battery retail prices observed as of Sep 2026 ranged roughly 60,000-105,000 FCFA/kWh, below this figure — worth revisiting if the team wants an up-to-date CAPEX estimate later.</t>
  </si>
  <si>
    <t>Legend</t>
  </si>
  <si>
    <t>Blue text = hardcoded input/assumption</t>
  </si>
  <si>
    <t>Black text = source/documentation text</t>
  </si>
  <si>
    <t>Base Scenario — PV Sizing and CO2 Avoided (corrected)</t>
  </si>
  <si>
    <t>Resolves the two pending TODO values in EnergySupplyDataSeeder.java (PV capacity, CO2 avoided)</t>
  </si>
  <si>
    <t>A. Daily Load Breakdown — Base Scenario</t>
  </si>
  <si>
    <t>Load Category</t>
  </si>
  <si>
    <t>kWh/day</t>
  </si>
  <si>
    <t>Irrigation pump</t>
  </si>
  <si>
    <t>Miscellaneous (2025 baseline, Abdoul)</t>
  </si>
  <si>
    <t>Storage / Cooling</t>
  </si>
  <si>
    <t>Lighting</t>
  </si>
  <si>
    <t>Security (fencing &amp; cameras)</t>
  </si>
  <si>
    <t>Monitoring / IoT</t>
  </si>
  <si>
    <t>Total Daily Load</t>
  </si>
  <si>
    <t>B. PV Capacity Sizing</t>
  </si>
  <si>
    <t>Linked from Sources &amp; Methodology sheet.</t>
  </si>
  <si>
    <t>Performance Ratio</t>
  </si>
  <si>
    <t>ratio</t>
  </si>
  <si>
    <t>Required PV Capacity</t>
  </si>
  <si>
    <t>kWp</t>
  </si>
  <si>
    <t>Formula: Daily Load / (PSH x Performance Ratio)</t>
  </si>
  <si>
    <t>Linked from Sources &amp; Methodology sheet — kept unchanged from the original 2025 file.</t>
  </si>
  <si>
    <t>PV CAPEX (panels only)</t>
  </si>
  <si>
    <t>€</t>
  </si>
  <si>
    <t>Formula: PV Capacity x Panel unit price</t>
  </si>
  <si>
    <t>B2. Battery Capacity Sizing</t>
  </si>
  <si>
    <t>Depth of Discharge (DoD)</t>
  </si>
  <si>
    <t>Standard assumption for LiFePO4 batteries, to preserve battery lifespan.</t>
  </si>
  <si>
    <t>Autonomy (days)</t>
  </si>
  <si>
    <t>days</t>
  </si>
  <si>
    <t>DESIGN ASSUMPTION, not externally sourced like PSH/grid factor above — confirm with team. 1 day chosen for cost reasons (matches the team's CAPEX-conscious approach after the fixed-scenario model was rejected for its 31-32 year payback).</t>
  </si>
  <si>
    <t>Required Battery Capacity</t>
  </si>
  <si>
    <t>kWh</t>
  </si>
  <si>
    <t>Formula: (Daily Load x Autonomy days) / Depth of Discharge</t>
  </si>
  <si>
    <t>Battery CAPEX</t>
  </si>
  <si>
    <t>Formula: Battery Capacity x Battery unit price</t>
  </si>
  <si>
    <t>C. CO2 Avoided (Annual, Base Scenario)</t>
  </si>
  <si>
    <t>Annual Energy Production</t>
  </si>
  <si>
    <t>kWh/year</t>
  </si>
  <si>
    <t>Gross CO2 Avoided vs Grid</t>
  </si>
  <si>
    <t>kg CO2/year</t>
  </si>
  <si>
    <t>Formula: Annual production x Grid emission factor</t>
  </si>
  <si>
    <t>PV Lifecycle Emissions</t>
  </si>
  <si>
    <t>Formula: Annual production x PV lifecycle emission factor</t>
  </si>
  <si>
    <t>Net CO2 Avoided (Annual)</t>
  </si>
  <si>
    <t>Formula: Gross CO2 avoided - PV lifecycle emissions.</t>
  </si>
  <si>
    <t>Net CO2 Avoided (Monthly)</t>
  </si>
  <si>
    <t>kg CO2/month</t>
  </si>
  <si>
    <t>Formula: Annual net CO2 avoided / 12. USE THIS VALUE for EnergySupplyDataSeeder.java's CarbonMetric.co2AvoidedKg, since that entity's `period` field is the first day of the current month (a monthly figure, not annual).</t>
  </si>
  <si>
    <t>D. Seeder Values Summary (for EnergySupplyDataSeeder.java)</t>
  </si>
  <si>
    <t>Field</t>
  </si>
  <si>
    <t>Old placeholder</t>
  </si>
  <si>
    <t>Corrected value</t>
  </si>
  <si>
    <t>pv.setCapacityValue (kWp)</t>
  </si>
  <si>
    <t>10.5</t>
  </si>
  <si>
    <t>battery.setCapacityValue (kWh)</t>
  </si>
  <si>
    <t>20.0</t>
  </si>
  <si>
    <t>metric.setCo2AvoidedKg (kg/month)</t>
  </si>
  <si>
    <t>420.00</t>
  </si>
  <si>
    <t>metric.setEmissionFactorUsed</t>
  </si>
  <si>
    <t>0.500</t>
  </si>
  <si>
    <t>E. Reference: Original 2025 File Values (not used, kept for comparison)</t>
  </si>
  <si>
    <t>Original PV capacity (18 panels x 400W)</t>
  </si>
  <si>
    <t>From original 2025 team Excel, TEAM SUMMARY sheet, PV Sizing (Revised) table.</t>
  </si>
  <si>
    <t>Original 'Grid Equivalent' CO2 figure</t>
  </si>
  <si>
    <t>FLAGGED AS INCONSISTENT: breaks the progression seen in the other scenario rows (33.58 / 115.705 / 553.705). Likely a data-entry or formula error in the original file — not used.</t>
  </si>
  <si>
    <t>Original total emissions figure</t>
  </si>
  <si>
    <t>From original 2025 team Excel, Carbon Footprint Calculator table (PV + generator emissions combined). Provided as a reference data point only.</t>
  </si>
  <si>
    <t>Panel &amp; Battery Pricing — kept unchanged from the original 2025 file</t>
  </si>
  <si>
    <t>Provided for reference / CAPEX calculations. Currency: EUR, as in the original file.</t>
  </si>
  <si>
    <t>Item</t>
  </si>
  <si>
    <t>Unit Price</t>
  </si>
  <si>
    <t>Note</t>
  </si>
  <si>
    <t>Solar panel</t>
  </si>
  <si>
    <t>Linked from Sources &amp; Methodology sheet — original 2025 file value, not modified.</t>
  </si>
  <si>
    <t>Battery (Li-ion)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</si>
</sst>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charset val="1"/>
    </font>
    <font>
      <b/>
      <sz val="14"/>
      <color rgb="FF1A2422"/>
      <name val="Times New Roman"/>
      <family val="1"/>
    </font>
    <font>
      <sz val="11"/>
      <color theme="1"/>
      <name val="Times New Roman"/>
      <family val="1"/>
    </font>
    <font>
      <i/>
      <sz val="12"/>
      <color rgb="FF5C6B68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sz val="12"/>
      <color rgb="FF0000FF"/>
      <name val="Times New Roman"/>
      <family val="1"/>
    </font>
    <font>
      <b/>
      <sz val="12"/>
      <name val="Times New Roman"/>
      <family val="1"/>
    </font>
    <font>
      <i/>
      <sz val="12"/>
      <color rgb="FFC6282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A8276"/>
        <bgColor rgb="FF00808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BE3E1"/>
      </left>
      <right style="thin">
        <color rgb="FFDBE3E1"/>
      </right>
      <top style="thin">
        <color rgb="FFDBE3E1"/>
      </top>
      <bottom style="thin">
        <color rgb="FFDBE3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2" borderId="0" xfId="0" applyFont="1" applyFill="1"/>
    <xf numFmtId="164" fontId="7" fillId="0" borderId="1" xfId="0" applyNumberFormat="1" applyFont="1" applyBorder="1"/>
    <xf numFmtId="164" fontId="8" fillId="3" borderId="1" xfId="0" applyNumberFormat="1" applyFont="1" applyFill="1" applyBorder="1"/>
    <xf numFmtId="2" fontId="6" fillId="0" borderId="1" xfId="0" applyNumberFormat="1" applyFont="1" applyBorder="1"/>
    <xf numFmtId="0" fontId="3" fillId="0" borderId="0" xfId="0" applyFont="1"/>
    <xf numFmtId="0" fontId="3" fillId="0" borderId="0" xfId="0" applyFont="1" applyAlignment="1">
      <alignment vertical="top" wrapText="1"/>
    </xf>
    <xf numFmtId="2" fontId="6" fillId="3" borderId="1" xfId="0" applyNumberFormat="1" applyFont="1" applyFill="1" applyBorder="1"/>
    <xf numFmtId="2" fontId="7" fillId="0" borderId="1" xfId="0" applyNumberFormat="1" applyFont="1" applyBorder="1"/>
    <xf numFmtId="0" fontId="6" fillId="0" borderId="1" xfId="0" applyFont="1" applyBorder="1"/>
    <xf numFmtId="0" fontId="3" fillId="0" borderId="1" xfId="0" applyFont="1" applyBorder="1"/>
    <xf numFmtId="2" fontId="8" fillId="3" borderId="1" xfId="0" applyNumberFormat="1" applyFont="1" applyFill="1" applyBorder="1"/>
    <xf numFmtId="165" fontId="7" fillId="0" borderId="1" xfId="0" applyNumberFormat="1" applyFont="1" applyBorder="1"/>
    <xf numFmtId="0" fontId="9" fillId="0" borderId="0" xfId="0" applyFont="1" applyAlignment="1">
      <alignment vertical="top" wrapText="1"/>
    </xf>
    <xf numFmtId="1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827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E3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68"/>
      <rgbColor rgb="FF969696"/>
      <rgbColor rgb="FF003366"/>
      <rgbColor rgb="FF339966"/>
      <rgbColor rgb="FF003300"/>
      <rgbColor rgb="FF333300"/>
      <rgbColor rgb="FFC62828"/>
      <rgbColor rgb="FF993366"/>
      <rgbColor rgb="FF333399"/>
      <rgbColor rgb="FF1A24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Normal="100" workbookViewId="0">
      <selection activeCell="F5" sqref="F5"/>
    </sheetView>
  </sheetViews>
  <sheetFormatPr defaultColWidth="8.6640625" defaultRowHeight="13.8" x14ac:dyDescent="0.25"/>
  <cols>
    <col min="1" max="1" width="26" style="2" customWidth="1"/>
    <col min="2" max="2" width="10" style="2" customWidth="1"/>
    <col min="3" max="3" width="12" style="2" customWidth="1"/>
    <col min="4" max="4" width="46" style="2" customWidth="1"/>
    <col min="5" max="5" width="12" style="2" customWidth="1"/>
    <col min="6" max="6" width="46" style="2" customWidth="1"/>
    <col min="7" max="16384" width="8.6640625" style="2"/>
  </cols>
  <sheetData>
    <row r="1" spans="1:6" ht="17.399999999999999" x14ac:dyDescent="0.3">
      <c r="A1" s="1" t="s">
        <v>0</v>
      </c>
      <c r="B1" s="1"/>
      <c r="C1" s="1"/>
      <c r="D1" s="1"/>
      <c r="E1" s="1"/>
      <c r="F1" s="1"/>
    </row>
    <row r="2" spans="1:6" ht="15.6" x14ac:dyDescent="0.3">
      <c r="A2" s="3" t="s">
        <v>1</v>
      </c>
      <c r="B2" s="3"/>
      <c r="C2" s="3"/>
      <c r="D2" s="3"/>
      <c r="E2" s="3"/>
      <c r="F2" s="3"/>
    </row>
    <row r="3" spans="1:6" ht="15.6" x14ac:dyDescent="0.3">
      <c r="A3" s="4"/>
      <c r="B3" s="4"/>
      <c r="C3" s="4"/>
      <c r="D3" s="4"/>
      <c r="E3" s="4"/>
      <c r="F3" s="4"/>
    </row>
    <row r="4" spans="1:6" ht="31.2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100.2" customHeight="1" x14ac:dyDescent="0.25">
      <c r="A5" s="6" t="s">
        <v>8</v>
      </c>
      <c r="B5" s="7">
        <v>5.5</v>
      </c>
      <c r="C5" s="6" t="s">
        <v>9</v>
      </c>
      <c r="D5" s="6" t="s">
        <v>10</v>
      </c>
      <c r="E5" s="6">
        <v>2018</v>
      </c>
      <c r="F5" s="6" t="s">
        <v>11</v>
      </c>
    </row>
    <row r="6" spans="1:6" ht="92.4" customHeight="1" x14ac:dyDescent="0.25">
      <c r="A6" s="6" t="s">
        <v>12</v>
      </c>
      <c r="B6" s="7">
        <v>0.75</v>
      </c>
      <c r="C6" s="6" t="s">
        <v>13</v>
      </c>
      <c r="D6" s="6" t="s">
        <v>14</v>
      </c>
      <c r="E6" s="6">
        <v>2026</v>
      </c>
      <c r="F6" s="6" t="s">
        <v>15</v>
      </c>
    </row>
    <row r="7" spans="1:6" ht="88.2" customHeight="1" x14ac:dyDescent="0.25">
      <c r="A7" s="6" t="s">
        <v>16</v>
      </c>
      <c r="B7" s="7">
        <v>0.56899999999999995</v>
      </c>
      <c r="C7" s="6" t="s">
        <v>17</v>
      </c>
      <c r="D7" s="6" t="s">
        <v>18</v>
      </c>
      <c r="E7" s="6">
        <v>2018</v>
      </c>
      <c r="F7" s="6" t="s">
        <v>19</v>
      </c>
    </row>
    <row r="8" spans="1:6" ht="84.6" customHeight="1" x14ac:dyDescent="0.25">
      <c r="A8" s="6" t="s">
        <v>20</v>
      </c>
      <c r="B8" s="7">
        <v>4.8000000000000001E-2</v>
      </c>
      <c r="C8" s="6" t="s">
        <v>17</v>
      </c>
      <c r="D8" s="6" t="s">
        <v>21</v>
      </c>
      <c r="E8" s="6">
        <v>2014</v>
      </c>
      <c r="F8" s="6" t="s">
        <v>22</v>
      </c>
    </row>
    <row r="9" spans="1:6" ht="104.4" customHeight="1" x14ac:dyDescent="0.25">
      <c r="A9" s="6" t="s">
        <v>23</v>
      </c>
      <c r="B9" s="7">
        <v>1200</v>
      </c>
      <c r="C9" s="6" t="s">
        <v>24</v>
      </c>
      <c r="D9" s="6" t="s">
        <v>25</v>
      </c>
      <c r="E9" s="6">
        <v>2025</v>
      </c>
      <c r="F9" s="6" t="s">
        <v>26</v>
      </c>
    </row>
    <row r="10" spans="1:6" ht="124.8" customHeight="1" x14ac:dyDescent="0.25">
      <c r="A10" s="6" t="s">
        <v>27</v>
      </c>
      <c r="B10" s="7">
        <v>400</v>
      </c>
      <c r="C10" s="6" t="s">
        <v>28</v>
      </c>
      <c r="D10" s="6" t="s">
        <v>29</v>
      </c>
      <c r="E10" s="6">
        <v>2025</v>
      </c>
      <c r="F10" s="6" t="s">
        <v>30</v>
      </c>
    </row>
    <row r="11" spans="1:6" ht="15.6" x14ac:dyDescent="0.3">
      <c r="A11" s="4"/>
      <c r="B11" s="4"/>
      <c r="C11" s="4"/>
      <c r="D11" s="4"/>
      <c r="E11" s="4"/>
      <c r="F11" s="4"/>
    </row>
    <row r="12" spans="1:6" ht="15.6" x14ac:dyDescent="0.3">
      <c r="A12" s="8" t="s">
        <v>31</v>
      </c>
      <c r="B12" s="4"/>
      <c r="C12" s="4"/>
      <c r="D12" s="4"/>
      <c r="E12" s="4"/>
      <c r="F12" s="4"/>
    </row>
    <row r="13" spans="1:6" ht="15.6" x14ac:dyDescent="0.3">
      <c r="A13" s="9" t="s">
        <v>32</v>
      </c>
      <c r="B13" s="4"/>
      <c r="C13" s="4"/>
      <c r="D13" s="4"/>
      <c r="E13" s="4"/>
      <c r="F13" s="4"/>
    </row>
    <row r="14" spans="1:6" ht="15.6" x14ac:dyDescent="0.3">
      <c r="A14" s="10" t="s">
        <v>33</v>
      </c>
      <c r="B14" s="4"/>
      <c r="C14" s="4"/>
      <c r="D14" s="4"/>
      <c r="E14" s="4"/>
      <c r="F14" s="4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8"/>
  <sheetViews>
    <sheetView topLeftCell="A33" zoomScaleNormal="100" workbookViewId="0">
      <selection activeCell="B171" sqref="B171"/>
    </sheetView>
  </sheetViews>
  <sheetFormatPr defaultColWidth="8.6640625" defaultRowHeight="13.8" x14ac:dyDescent="0.25"/>
  <cols>
    <col min="1" max="1" width="42" style="2" customWidth="1"/>
    <col min="2" max="2" width="20.44140625" style="2" customWidth="1"/>
    <col min="3" max="3" width="21.109375" style="2" customWidth="1"/>
    <col min="4" max="4" width="131.44140625" style="2" customWidth="1"/>
    <col min="5" max="16384" width="8.6640625" style="2"/>
  </cols>
  <sheetData>
    <row r="1" spans="1:4" ht="17.399999999999999" x14ac:dyDescent="0.3">
      <c r="A1" s="1" t="s">
        <v>34</v>
      </c>
      <c r="B1" s="1"/>
      <c r="C1" s="1"/>
      <c r="D1" s="1"/>
    </row>
    <row r="2" spans="1:4" ht="15.6" x14ac:dyDescent="0.3">
      <c r="A2" s="3" t="s">
        <v>35</v>
      </c>
      <c r="B2" s="3"/>
      <c r="C2" s="3"/>
      <c r="D2" s="3"/>
    </row>
    <row r="3" spans="1:4" ht="15.6" x14ac:dyDescent="0.3">
      <c r="A3" s="4"/>
      <c r="B3" s="4"/>
      <c r="C3" s="4"/>
      <c r="D3" s="4"/>
    </row>
    <row r="4" spans="1:4" ht="15.6" x14ac:dyDescent="0.3">
      <c r="A4" s="11" t="s">
        <v>36</v>
      </c>
      <c r="B4" s="11"/>
      <c r="C4" s="11"/>
      <c r="D4" s="11"/>
    </row>
    <row r="5" spans="1:4" ht="15.6" x14ac:dyDescent="0.3">
      <c r="A5" s="8" t="s">
        <v>37</v>
      </c>
      <c r="B5" s="8" t="s">
        <v>38</v>
      </c>
      <c r="C5" s="4"/>
      <c r="D5" s="4"/>
    </row>
    <row r="6" spans="1:4" ht="15.6" x14ac:dyDescent="0.3">
      <c r="A6" s="10" t="s">
        <v>39</v>
      </c>
      <c r="B6" s="12">
        <v>7.5</v>
      </c>
      <c r="C6" s="4"/>
      <c r="D6" s="4"/>
    </row>
    <row r="7" spans="1:4" ht="15.6" x14ac:dyDescent="0.3">
      <c r="A7" s="10" t="s">
        <v>40</v>
      </c>
      <c r="B7" s="12">
        <v>15</v>
      </c>
      <c r="C7" s="4"/>
      <c r="D7" s="4"/>
    </row>
    <row r="8" spans="1:4" ht="15.6" x14ac:dyDescent="0.3">
      <c r="A8" s="10" t="s">
        <v>41</v>
      </c>
      <c r="B8" s="12">
        <v>8</v>
      </c>
      <c r="C8" s="4"/>
      <c r="D8" s="4"/>
    </row>
    <row r="9" spans="1:4" ht="15.6" x14ac:dyDescent="0.3">
      <c r="A9" s="10" t="s">
        <v>42</v>
      </c>
      <c r="B9" s="12">
        <v>2</v>
      </c>
      <c r="C9" s="4"/>
      <c r="D9" s="4"/>
    </row>
    <row r="10" spans="1:4" ht="15.6" x14ac:dyDescent="0.3">
      <c r="A10" s="10" t="s">
        <v>43</v>
      </c>
      <c r="B10" s="12">
        <v>1</v>
      </c>
      <c r="C10" s="4"/>
      <c r="D10" s="4"/>
    </row>
    <row r="11" spans="1:4" ht="15.6" x14ac:dyDescent="0.3">
      <c r="A11" s="10" t="s">
        <v>44</v>
      </c>
      <c r="B11" s="12">
        <v>0.5</v>
      </c>
      <c r="C11" s="4"/>
      <c r="D11" s="4"/>
    </row>
    <row r="12" spans="1:4" ht="15.6" x14ac:dyDescent="0.3">
      <c r="A12" s="8" t="s">
        <v>45</v>
      </c>
      <c r="B12" s="13">
        <f>SUM(B6:B11)</f>
        <v>34</v>
      </c>
      <c r="C12" s="4"/>
      <c r="D12" s="4"/>
    </row>
    <row r="13" spans="1:4" ht="15.6" x14ac:dyDescent="0.3">
      <c r="A13" s="4"/>
      <c r="B13" s="4"/>
      <c r="C13" s="4"/>
      <c r="D13" s="4"/>
    </row>
    <row r="14" spans="1:4" ht="15.6" x14ac:dyDescent="0.3">
      <c r="A14" s="11" t="s">
        <v>46</v>
      </c>
      <c r="B14" s="11"/>
      <c r="C14" s="11"/>
      <c r="D14" s="11"/>
    </row>
    <row r="15" spans="1:4" ht="15.6" x14ac:dyDescent="0.3">
      <c r="A15" s="10" t="s">
        <v>45</v>
      </c>
      <c r="B15" s="14">
        <f>B12</f>
        <v>34</v>
      </c>
      <c r="C15" s="15" t="s">
        <v>38</v>
      </c>
      <c r="D15" s="4"/>
    </row>
    <row r="16" spans="1:4" ht="15.6" x14ac:dyDescent="0.3">
      <c r="A16" s="10" t="s">
        <v>8</v>
      </c>
      <c r="B16" s="14">
        <f>'Sources &amp; Methodology'!B5</f>
        <v>5.5</v>
      </c>
      <c r="C16" s="15" t="s">
        <v>9</v>
      </c>
      <c r="D16" s="16" t="s">
        <v>47</v>
      </c>
    </row>
    <row r="17" spans="1:4" ht="15.6" x14ac:dyDescent="0.3">
      <c r="A17" s="10" t="s">
        <v>48</v>
      </c>
      <c r="B17" s="14">
        <f>'Sources &amp; Methodology'!B6</f>
        <v>0.75</v>
      </c>
      <c r="C17" s="15" t="s">
        <v>49</v>
      </c>
      <c r="D17" s="16" t="s">
        <v>47</v>
      </c>
    </row>
    <row r="18" spans="1:4" ht="31.2" x14ac:dyDescent="0.3">
      <c r="A18" s="10" t="s">
        <v>50</v>
      </c>
      <c r="B18" s="17">
        <f>B15/(B16*B17)</f>
        <v>8.2424242424242422</v>
      </c>
      <c r="C18" s="15" t="s">
        <v>51</v>
      </c>
      <c r="D18" s="16" t="s">
        <v>52</v>
      </c>
    </row>
    <row r="19" spans="1:4" ht="31.2" x14ac:dyDescent="0.3">
      <c r="A19" s="10" t="s">
        <v>23</v>
      </c>
      <c r="B19" s="14">
        <f>'Sources &amp; Methodology'!B9</f>
        <v>1200</v>
      </c>
      <c r="C19" s="15" t="s">
        <v>24</v>
      </c>
      <c r="D19" s="16" t="s">
        <v>53</v>
      </c>
    </row>
    <row r="20" spans="1:4" ht="15.6" x14ac:dyDescent="0.3">
      <c r="A20" s="10" t="s">
        <v>54</v>
      </c>
      <c r="B20" s="17">
        <f>B18*B19</f>
        <v>9890.9090909090901</v>
      </c>
      <c r="C20" s="15" t="s">
        <v>55</v>
      </c>
      <c r="D20" s="16" t="s">
        <v>56</v>
      </c>
    </row>
    <row r="21" spans="1:4" ht="15.6" x14ac:dyDescent="0.3">
      <c r="A21" s="4"/>
      <c r="B21" s="4"/>
      <c r="C21" s="4"/>
      <c r="D21" s="4"/>
    </row>
    <row r="22" spans="1:4" ht="15.6" x14ac:dyDescent="0.3">
      <c r="A22" s="11" t="s">
        <v>57</v>
      </c>
      <c r="B22" s="11"/>
      <c r="C22" s="11"/>
      <c r="D22" s="11"/>
    </row>
    <row r="23" spans="1:4" ht="15.6" x14ac:dyDescent="0.3">
      <c r="A23" s="10" t="s">
        <v>45</v>
      </c>
      <c r="B23" s="14">
        <f>B12</f>
        <v>34</v>
      </c>
      <c r="C23" s="15" t="s">
        <v>38</v>
      </c>
      <c r="D23" s="4"/>
    </row>
    <row r="24" spans="1:4" ht="31.2" x14ac:dyDescent="0.3">
      <c r="A24" s="10" t="s">
        <v>58</v>
      </c>
      <c r="B24" s="18">
        <v>0.8</v>
      </c>
      <c r="C24" s="15" t="s">
        <v>13</v>
      </c>
      <c r="D24" s="16" t="s">
        <v>59</v>
      </c>
    </row>
    <row r="25" spans="1:4" ht="93.6" x14ac:dyDescent="0.3">
      <c r="A25" s="10" t="s">
        <v>60</v>
      </c>
      <c r="B25" s="18">
        <v>1</v>
      </c>
      <c r="C25" s="15" t="s">
        <v>61</v>
      </c>
      <c r="D25" s="16" t="s">
        <v>62</v>
      </c>
    </row>
    <row r="26" spans="1:4" ht="31.2" x14ac:dyDescent="0.3">
      <c r="A26" s="10" t="s">
        <v>63</v>
      </c>
      <c r="B26" s="17">
        <f>(B23*B25)/B24</f>
        <v>42.5</v>
      </c>
      <c r="C26" s="15" t="s">
        <v>64</v>
      </c>
      <c r="D26" s="16" t="s">
        <v>65</v>
      </c>
    </row>
    <row r="27" spans="1:4" ht="31.2" x14ac:dyDescent="0.3">
      <c r="A27" s="10" t="s">
        <v>27</v>
      </c>
      <c r="B27" s="14">
        <f>'Sources &amp; Methodology'!B10</f>
        <v>400</v>
      </c>
      <c r="C27" s="15" t="s">
        <v>28</v>
      </c>
      <c r="D27" s="16" t="s">
        <v>53</v>
      </c>
    </row>
    <row r="28" spans="1:4" ht="15.6" x14ac:dyDescent="0.3">
      <c r="A28" s="10" t="s">
        <v>66</v>
      </c>
      <c r="B28" s="17">
        <f>B26*B27</f>
        <v>17000</v>
      </c>
      <c r="C28" s="15" t="s">
        <v>55</v>
      </c>
      <c r="D28" s="16" t="s">
        <v>67</v>
      </c>
    </row>
    <row r="29" spans="1:4" ht="15.6" x14ac:dyDescent="0.3">
      <c r="A29" s="4"/>
      <c r="B29" s="4"/>
      <c r="C29" s="4"/>
      <c r="D29" s="4"/>
    </row>
    <row r="30" spans="1:4" ht="15.6" x14ac:dyDescent="0.3">
      <c r="A30" s="11" t="s">
        <v>68</v>
      </c>
      <c r="B30" s="11"/>
      <c r="C30" s="11"/>
      <c r="D30" s="11"/>
    </row>
    <row r="31" spans="1:4" ht="15.6" x14ac:dyDescent="0.3">
      <c r="A31" s="10" t="s">
        <v>45</v>
      </c>
      <c r="B31" s="14">
        <f>B12</f>
        <v>34</v>
      </c>
      <c r="C31" s="15" t="s">
        <v>38</v>
      </c>
      <c r="D31" s="4"/>
    </row>
    <row r="32" spans="1:4" ht="15.6" x14ac:dyDescent="0.3">
      <c r="A32" s="10" t="s">
        <v>69</v>
      </c>
      <c r="B32" s="14">
        <f>B31*365</f>
        <v>12410</v>
      </c>
      <c r="C32" s="15" t="s">
        <v>70</v>
      </c>
      <c r="D32" s="4"/>
    </row>
    <row r="33" spans="1:4" ht="15.6" x14ac:dyDescent="0.3">
      <c r="A33" s="10" t="s">
        <v>16</v>
      </c>
      <c r="B33" s="14">
        <f>'Sources &amp; Methodology'!B7</f>
        <v>0.56899999999999995</v>
      </c>
      <c r="C33" s="15" t="s">
        <v>17</v>
      </c>
      <c r="D33" s="16" t="s">
        <v>47</v>
      </c>
    </row>
    <row r="34" spans="1:4" ht="31.2" x14ac:dyDescent="0.3">
      <c r="A34" s="10" t="s">
        <v>71</v>
      </c>
      <c r="B34" s="14">
        <f>B32*B33</f>
        <v>7061.2899999999991</v>
      </c>
      <c r="C34" s="15" t="s">
        <v>72</v>
      </c>
      <c r="D34" s="16" t="s">
        <v>73</v>
      </c>
    </row>
    <row r="35" spans="1:4" ht="15.6" x14ac:dyDescent="0.3">
      <c r="A35" s="10" t="s">
        <v>20</v>
      </c>
      <c r="B35" s="14">
        <f>'Sources &amp; Methodology'!B8</f>
        <v>4.8000000000000001E-2</v>
      </c>
      <c r="C35" s="15" t="s">
        <v>17</v>
      </c>
      <c r="D35" s="16" t="s">
        <v>47</v>
      </c>
    </row>
    <row r="36" spans="1:4" ht="31.2" x14ac:dyDescent="0.3">
      <c r="A36" s="10" t="s">
        <v>74</v>
      </c>
      <c r="B36" s="14">
        <f>B32*B35</f>
        <v>595.68000000000006</v>
      </c>
      <c r="C36" s="15" t="s">
        <v>72</v>
      </c>
      <c r="D36" s="16" t="s">
        <v>75</v>
      </c>
    </row>
    <row r="37" spans="1:4" ht="31.2" x14ac:dyDescent="0.3">
      <c r="A37" s="10" t="s">
        <v>76</v>
      </c>
      <c r="B37" s="14">
        <f>B34-B36</f>
        <v>6465.6099999999988</v>
      </c>
      <c r="C37" s="15" t="s">
        <v>72</v>
      </c>
      <c r="D37" s="16" t="s">
        <v>77</v>
      </c>
    </row>
    <row r="38" spans="1:4" ht="93.6" x14ac:dyDescent="0.3">
      <c r="A38" s="10" t="s">
        <v>78</v>
      </c>
      <c r="B38" s="17">
        <f>B37/12</f>
        <v>538.80083333333323</v>
      </c>
      <c r="C38" s="15" t="s">
        <v>79</v>
      </c>
      <c r="D38" s="16" t="s">
        <v>80</v>
      </c>
    </row>
    <row r="39" spans="1:4" ht="15.6" x14ac:dyDescent="0.3">
      <c r="A39" s="4"/>
      <c r="B39" s="4"/>
      <c r="C39" s="4"/>
      <c r="D39" s="4"/>
    </row>
    <row r="40" spans="1:4" ht="15.6" x14ac:dyDescent="0.3">
      <c r="A40" s="11" t="s">
        <v>81</v>
      </c>
      <c r="B40" s="11"/>
      <c r="C40" s="11"/>
      <c r="D40" s="11"/>
    </row>
    <row r="41" spans="1:4" ht="15.6" x14ac:dyDescent="0.3">
      <c r="A41" s="8" t="s">
        <v>82</v>
      </c>
      <c r="B41" s="8" t="s">
        <v>83</v>
      </c>
      <c r="C41" s="8" t="s">
        <v>84</v>
      </c>
      <c r="D41" s="4"/>
    </row>
    <row r="42" spans="1:4" ht="15.6" x14ac:dyDescent="0.3">
      <c r="A42" s="19" t="s">
        <v>85</v>
      </c>
      <c r="B42" s="20" t="s">
        <v>86</v>
      </c>
      <c r="C42" s="21">
        <f>B18</f>
        <v>8.2424242424242422</v>
      </c>
      <c r="D42" s="4"/>
    </row>
    <row r="43" spans="1:4" ht="15.6" x14ac:dyDescent="0.3">
      <c r="A43" s="19" t="s">
        <v>87</v>
      </c>
      <c r="B43" s="20" t="s">
        <v>88</v>
      </c>
      <c r="C43" s="21">
        <f>B26</f>
        <v>42.5</v>
      </c>
      <c r="D43" s="4"/>
    </row>
    <row r="44" spans="1:4" ht="15.6" x14ac:dyDescent="0.3">
      <c r="A44" s="19" t="s">
        <v>89</v>
      </c>
      <c r="B44" s="20" t="s">
        <v>90</v>
      </c>
      <c r="C44" s="21">
        <f>B37/12</f>
        <v>538.80083333333323</v>
      </c>
      <c r="D44" s="4"/>
    </row>
    <row r="45" spans="1:4" ht="15.6" x14ac:dyDescent="0.3">
      <c r="A45" s="19" t="s">
        <v>91</v>
      </c>
      <c r="B45" s="20" t="s">
        <v>92</v>
      </c>
      <c r="C45" s="21">
        <f>B33</f>
        <v>0.56899999999999995</v>
      </c>
      <c r="D45" s="4"/>
    </row>
    <row r="46" spans="1:4" ht="15.6" x14ac:dyDescent="0.3">
      <c r="A46" s="4"/>
      <c r="B46" s="4"/>
      <c r="C46" s="4"/>
      <c r="D46" s="4"/>
    </row>
    <row r="47" spans="1:4" ht="15.6" x14ac:dyDescent="0.3">
      <c r="A47" s="11" t="s">
        <v>93</v>
      </c>
      <c r="B47" s="11"/>
      <c r="C47" s="11"/>
      <c r="D47" s="11"/>
    </row>
    <row r="48" spans="1:4" ht="15.6" x14ac:dyDescent="0.3">
      <c r="A48" s="10" t="s">
        <v>94</v>
      </c>
      <c r="B48" s="18">
        <v>6.87</v>
      </c>
      <c r="C48" s="15" t="s">
        <v>51</v>
      </c>
      <c r="D48" s="15" t="s">
        <v>95</v>
      </c>
    </row>
    <row r="49" spans="1:4" ht="62.4" x14ac:dyDescent="0.3">
      <c r="A49" s="10" t="s">
        <v>96</v>
      </c>
      <c r="B49" s="22">
        <v>6.2050000000000001</v>
      </c>
      <c r="C49" s="15" t="s">
        <v>72</v>
      </c>
      <c r="D49" s="23" t="s">
        <v>97</v>
      </c>
    </row>
    <row r="50" spans="1:4" ht="15.6" x14ac:dyDescent="0.3">
      <c r="A50" s="10" t="s">
        <v>98</v>
      </c>
      <c r="B50" s="12">
        <v>1700.5</v>
      </c>
      <c r="C50" s="15" t="s">
        <v>72</v>
      </c>
      <c r="D50" s="15" t="s">
        <v>99</v>
      </c>
    </row>
    <row r="51" spans="1:4" ht="15.6" x14ac:dyDescent="0.3">
      <c r="A51" s="4"/>
      <c r="B51" s="4"/>
      <c r="C51" s="4"/>
      <c r="D51" s="4"/>
    </row>
    <row r="52" spans="1:4" ht="15.6" x14ac:dyDescent="0.3">
      <c r="A52" s="4"/>
      <c r="B52" s="4"/>
      <c r="C52" s="4"/>
      <c r="D52" s="4"/>
    </row>
    <row r="53" spans="1:4" ht="15.6" x14ac:dyDescent="0.3">
      <c r="A53" s="4"/>
      <c r="B53" s="4"/>
      <c r="C53" s="4"/>
      <c r="D53" s="4"/>
    </row>
    <row r="54" spans="1:4" ht="15.6" x14ac:dyDescent="0.3">
      <c r="A54" s="4"/>
      <c r="B54" s="4"/>
      <c r="C54" s="4"/>
      <c r="D54" s="4"/>
    </row>
    <row r="55" spans="1:4" ht="15.6" x14ac:dyDescent="0.3">
      <c r="A55" s="4"/>
      <c r="B55" s="4"/>
      <c r="C55" s="4"/>
      <c r="D55" s="4"/>
    </row>
    <row r="56" spans="1:4" ht="15.6" x14ac:dyDescent="0.3">
      <c r="A56" s="4"/>
      <c r="B56" s="4"/>
      <c r="C56" s="4"/>
      <c r="D56" s="4"/>
    </row>
    <row r="57" spans="1:4" ht="15.6" x14ac:dyDescent="0.3">
      <c r="A57" s="4"/>
      <c r="B57" s="4"/>
      <c r="C57" s="4"/>
      <c r="D57" s="4"/>
    </row>
    <row r="58" spans="1:4" ht="15.6" x14ac:dyDescent="0.3">
      <c r="A58" s="4"/>
      <c r="B58" s="4"/>
      <c r="C58" s="4"/>
      <c r="D58" s="4"/>
    </row>
    <row r="59" spans="1:4" ht="15.6" x14ac:dyDescent="0.3">
      <c r="A59" s="4"/>
      <c r="B59" s="4"/>
      <c r="C59" s="4"/>
      <c r="D59" s="4"/>
    </row>
    <row r="60" spans="1:4" ht="15.6" x14ac:dyDescent="0.3">
      <c r="A60" s="4"/>
      <c r="B60" s="4"/>
      <c r="C60" s="4"/>
      <c r="D60" s="4"/>
    </row>
    <row r="61" spans="1:4" ht="15.6" x14ac:dyDescent="0.3">
      <c r="A61" s="4"/>
      <c r="B61" s="4"/>
      <c r="C61" s="4"/>
      <c r="D61" s="4"/>
    </row>
    <row r="62" spans="1:4" ht="15.6" x14ac:dyDescent="0.3">
      <c r="A62" s="4"/>
      <c r="B62" s="4"/>
      <c r="C62" s="4"/>
      <c r="D62" s="4"/>
    </row>
    <row r="63" spans="1:4" ht="15.6" x14ac:dyDescent="0.3">
      <c r="A63" s="4"/>
      <c r="B63" s="4"/>
      <c r="C63" s="4"/>
      <c r="D63" s="4"/>
    </row>
    <row r="64" spans="1:4" ht="15.6" x14ac:dyDescent="0.3">
      <c r="A64" s="4"/>
      <c r="B64" s="4"/>
      <c r="C64" s="4"/>
      <c r="D64" s="4"/>
    </row>
    <row r="65" spans="1:4" ht="15.6" x14ac:dyDescent="0.3">
      <c r="A65" s="4"/>
      <c r="B65" s="4"/>
      <c r="C65" s="4"/>
      <c r="D65" s="4"/>
    </row>
    <row r="66" spans="1:4" ht="15.6" x14ac:dyDescent="0.3">
      <c r="A66" s="4"/>
      <c r="B66" s="4"/>
      <c r="C66" s="4"/>
      <c r="D66" s="4"/>
    </row>
    <row r="67" spans="1:4" ht="15.6" x14ac:dyDescent="0.3">
      <c r="A67" s="4"/>
      <c r="B67" s="4"/>
      <c r="C67" s="4"/>
      <c r="D67" s="4"/>
    </row>
    <row r="68" spans="1:4" ht="15.6" x14ac:dyDescent="0.3">
      <c r="A68" s="4"/>
      <c r="B68" s="4"/>
      <c r="C68" s="4"/>
      <c r="D68" s="4"/>
    </row>
    <row r="69" spans="1:4" ht="15.6" x14ac:dyDescent="0.3">
      <c r="A69" s="4"/>
      <c r="B69" s="4"/>
      <c r="C69" s="4"/>
      <c r="D69" s="4"/>
    </row>
    <row r="70" spans="1:4" ht="15.6" x14ac:dyDescent="0.3">
      <c r="A70" s="4"/>
      <c r="B70" s="4"/>
      <c r="C70" s="4"/>
      <c r="D70" s="4"/>
    </row>
    <row r="71" spans="1:4" ht="15.6" x14ac:dyDescent="0.3">
      <c r="A71" s="4"/>
      <c r="B71" s="4"/>
      <c r="C71" s="4"/>
      <c r="D71" s="4"/>
    </row>
    <row r="72" spans="1:4" ht="15.6" x14ac:dyDescent="0.3">
      <c r="A72" s="4"/>
      <c r="B72" s="4"/>
      <c r="C72" s="4"/>
      <c r="D72" s="4"/>
    </row>
    <row r="73" spans="1:4" ht="15.6" x14ac:dyDescent="0.3">
      <c r="A73" s="4"/>
      <c r="B73" s="4"/>
      <c r="C73" s="4"/>
      <c r="D73" s="4"/>
    </row>
    <row r="74" spans="1:4" ht="15.6" x14ac:dyDescent="0.3">
      <c r="A74" s="4"/>
      <c r="B74" s="4"/>
      <c r="C74" s="4"/>
      <c r="D74" s="4"/>
    </row>
    <row r="75" spans="1:4" ht="15.6" x14ac:dyDescent="0.3">
      <c r="A75" s="4"/>
      <c r="B75" s="4"/>
      <c r="C75" s="4"/>
      <c r="D75" s="4"/>
    </row>
    <row r="76" spans="1:4" ht="15.6" x14ac:dyDescent="0.3">
      <c r="A76" s="4"/>
      <c r="B76" s="4"/>
      <c r="C76" s="4"/>
      <c r="D76" s="4"/>
    </row>
    <row r="77" spans="1:4" ht="15.6" x14ac:dyDescent="0.3">
      <c r="A77" s="4"/>
      <c r="B77" s="4"/>
      <c r="C77" s="4"/>
      <c r="D77" s="4"/>
    </row>
    <row r="78" spans="1:4" ht="15.6" x14ac:dyDescent="0.3">
      <c r="A78" s="4"/>
      <c r="B78" s="4"/>
      <c r="C78" s="4"/>
      <c r="D78" s="4"/>
    </row>
    <row r="79" spans="1:4" ht="15.6" x14ac:dyDescent="0.3">
      <c r="A79" s="4"/>
      <c r="B79" s="4"/>
      <c r="C79" s="4"/>
      <c r="D79" s="4"/>
    </row>
    <row r="80" spans="1:4" ht="15.6" x14ac:dyDescent="0.3">
      <c r="A80" s="4"/>
      <c r="B80" s="4"/>
      <c r="C80" s="4"/>
      <c r="D80" s="4"/>
    </row>
    <row r="81" spans="1:4" ht="15.6" x14ac:dyDescent="0.3">
      <c r="A81" s="4"/>
      <c r="B81" s="4"/>
      <c r="C81" s="4"/>
      <c r="D81" s="4"/>
    </row>
    <row r="82" spans="1:4" ht="15.6" x14ac:dyDescent="0.3">
      <c r="A82" s="4"/>
      <c r="B82" s="4"/>
      <c r="C82" s="4"/>
      <c r="D82" s="4"/>
    </row>
    <row r="83" spans="1:4" ht="15.6" x14ac:dyDescent="0.3">
      <c r="A83" s="4"/>
      <c r="B83" s="4"/>
      <c r="C83" s="4"/>
      <c r="D83" s="4"/>
    </row>
    <row r="84" spans="1:4" ht="15.6" x14ac:dyDescent="0.3">
      <c r="A84" s="4"/>
      <c r="B84" s="4"/>
      <c r="C84" s="4"/>
      <c r="D84" s="4"/>
    </row>
    <row r="85" spans="1:4" ht="15.6" x14ac:dyDescent="0.3">
      <c r="A85" s="4"/>
      <c r="B85" s="4"/>
      <c r="C85" s="4"/>
      <c r="D85" s="4"/>
    </row>
    <row r="86" spans="1:4" ht="15.6" x14ac:dyDescent="0.3">
      <c r="A86" s="4"/>
      <c r="B86" s="4"/>
      <c r="C86" s="4"/>
      <c r="D86" s="4"/>
    </row>
    <row r="87" spans="1:4" ht="15.6" x14ac:dyDescent="0.3">
      <c r="A87" s="4"/>
      <c r="B87" s="4"/>
      <c r="C87" s="4"/>
      <c r="D87" s="4"/>
    </row>
    <row r="88" spans="1:4" ht="15.6" x14ac:dyDescent="0.3">
      <c r="A88" s="4"/>
      <c r="B88" s="4"/>
      <c r="C88" s="4"/>
      <c r="D88" s="4"/>
    </row>
    <row r="89" spans="1:4" ht="15.6" x14ac:dyDescent="0.3">
      <c r="A89" s="4"/>
      <c r="B89" s="4"/>
      <c r="C89" s="4"/>
      <c r="D89" s="4"/>
    </row>
    <row r="90" spans="1:4" ht="15.6" x14ac:dyDescent="0.3">
      <c r="A90" s="4"/>
      <c r="B90" s="4"/>
      <c r="C90" s="4"/>
      <c r="D90" s="4"/>
    </row>
    <row r="91" spans="1:4" ht="15.6" x14ac:dyDescent="0.3">
      <c r="A91" s="4"/>
      <c r="B91" s="4"/>
      <c r="C91" s="4"/>
      <c r="D91" s="4"/>
    </row>
    <row r="92" spans="1:4" ht="15.6" x14ac:dyDescent="0.3">
      <c r="A92" s="4"/>
      <c r="B92" s="4"/>
      <c r="C92" s="4"/>
      <c r="D92" s="4"/>
    </row>
    <row r="93" spans="1:4" ht="15.6" x14ac:dyDescent="0.3">
      <c r="A93" s="4"/>
      <c r="B93" s="4"/>
      <c r="C93" s="4"/>
      <c r="D93" s="4"/>
    </row>
    <row r="94" spans="1:4" ht="15.6" x14ac:dyDescent="0.3">
      <c r="A94" s="4"/>
      <c r="B94" s="4"/>
      <c r="C94" s="4"/>
      <c r="D94" s="4"/>
    </row>
    <row r="95" spans="1:4" ht="15.6" x14ac:dyDescent="0.3">
      <c r="A95" s="4"/>
      <c r="B95" s="4"/>
      <c r="C95" s="4"/>
      <c r="D95" s="4"/>
    </row>
    <row r="96" spans="1:4" ht="15.6" x14ac:dyDescent="0.3">
      <c r="A96" s="4"/>
      <c r="B96" s="4"/>
      <c r="C96" s="4"/>
      <c r="D96" s="4"/>
    </row>
    <row r="97" spans="1:4" ht="15.6" x14ac:dyDescent="0.3">
      <c r="A97" s="4"/>
      <c r="B97" s="4"/>
      <c r="C97" s="4"/>
      <c r="D97" s="4"/>
    </row>
    <row r="98" spans="1:4" ht="15.6" x14ac:dyDescent="0.3">
      <c r="A98" s="4"/>
      <c r="B98" s="4"/>
      <c r="C98" s="4"/>
      <c r="D98" s="4"/>
    </row>
    <row r="99" spans="1:4" ht="15.6" x14ac:dyDescent="0.3">
      <c r="A99" s="4"/>
      <c r="B99" s="4"/>
      <c r="C99" s="4"/>
      <c r="D99" s="4"/>
    </row>
    <row r="100" spans="1:4" ht="15.6" x14ac:dyDescent="0.3">
      <c r="A100" s="4"/>
      <c r="B100" s="4"/>
      <c r="C100" s="4"/>
      <c r="D100" s="4"/>
    </row>
    <row r="101" spans="1:4" ht="15.6" x14ac:dyDescent="0.3">
      <c r="A101" s="4"/>
      <c r="B101" s="4"/>
      <c r="C101" s="4"/>
      <c r="D101" s="4"/>
    </row>
    <row r="102" spans="1:4" ht="15.6" x14ac:dyDescent="0.3">
      <c r="A102" s="4"/>
      <c r="B102" s="4"/>
      <c r="C102" s="4"/>
      <c r="D102" s="4"/>
    </row>
    <row r="103" spans="1:4" ht="15.6" x14ac:dyDescent="0.3">
      <c r="A103" s="4"/>
      <c r="B103" s="4"/>
      <c r="C103" s="4"/>
      <c r="D103" s="4"/>
    </row>
    <row r="104" spans="1:4" ht="15.6" x14ac:dyDescent="0.3">
      <c r="A104" s="4"/>
      <c r="B104" s="4"/>
      <c r="C104" s="4"/>
      <c r="D104" s="4"/>
    </row>
    <row r="105" spans="1:4" ht="15.6" x14ac:dyDescent="0.3">
      <c r="A105" s="4"/>
      <c r="B105" s="4"/>
      <c r="C105" s="4"/>
      <c r="D105" s="4"/>
    </row>
    <row r="106" spans="1:4" ht="15.6" x14ac:dyDescent="0.3">
      <c r="A106" s="4"/>
      <c r="B106" s="4"/>
      <c r="C106" s="4"/>
      <c r="D106" s="4"/>
    </row>
    <row r="107" spans="1:4" ht="15.6" x14ac:dyDescent="0.3">
      <c r="A107" s="4"/>
      <c r="B107" s="4"/>
      <c r="C107" s="4"/>
      <c r="D107" s="4"/>
    </row>
    <row r="108" spans="1:4" ht="15.6" x14ac:dyDescent="0.3">
      <c r="A108" s="4"/>
      <c r="B108" s="4"/>
      <c r="C108" s="4"/>
      <c r="D108" s="4"/>
    </row>
    <row r="109" spans="1:4" ht="15.6" x14ac:dyDescent="0.3">
      <c r="A109" s="4"/>
      <c r="B109" s="4"/>
      <c r="C109" s="4"/>
      <c r="D109" s="4"/>
    </row>
    <row r="110" spans="1:4" ht="15.6" x14ac:dyDescent="0.3">
      <c r="A110" s="4"/>
      <c r="B110" s="4"/>
      <c r="C110" s="4"/>
      <c r="D110" s="4"/>
    </row>
    <row r="111" spans="1:4" ht="15.6" x14ac:dyDescent="0.3">
      <c r="A111" s="4"/>
      <c r="B111" s="4"/>
      <c r="C111" s="4"/>
      <c r="D111" s="4"/>
    </row>
    <row r="112" spans="1:4" ht="15.6" x14ac:dyDescent="0.3">
      <c r="A112" s="4"/>
      <c r="B112" s="4"/>
      <c r="C112" s="4"/>
      <c r="D112" s="4"/>
    </row>
    <row r="113" spans="1:4" ht="15.6" x14ac:dyDescent="0.3">
      <c r="A113" s="4"/>
      <c r="B113" s="4"/>
      <c r="C113" s="4"/>
      <c r="D113" s="4"/>
    </row>
    <row r="114" spans="1:4" ht="15.6" x14ac:dyDescent="0.3">
      <c r="A114" s="4"/>
      <c r="B114" s="4"/>
      <c r="C114" s="4"/>
      <c r="D114" s="4"/>
    </row>
    <row r="115" spans="1:4" ht="15.6" x14ac:dyDescent="0.3">
      <c r="A115" s="4"/>
      <c r="B115" s="4"/>
      <c r="C115" s="4"/>
      <c r="D115" s="4"/>
    </row>
    <row r="116" spans="1:4" ht="15.6" x14ac:dyDescent="0.3">
      <c r="A116" s="4"/>
      <c r="B116" s="4"/>
      <c r="C116" s="4"/>
      <c r="D116" s="4"/>
    </row>
    <row r="117" spans="1:4" ht="15.6" x14ac:dyDescent="0.3">
      <c r="A117" s="4"/>
      <c r="B117" s="4"/>
      <c r="C117" s="4"/>
      <c r="D117" s="4"/>
    </row>
    <row r="118" spans="1:4" ht="15.6" x14ac:dyDescent="0.3">
      <c r="A118" s="4"/>
      <c r="B118" s="4"/>
      <c r="C118" s="4"/>
      <c r="D118" s="4"/>
    </row>
    <row r="119" spans="1:4" ht="15.6" x14ac:dyDescent="0.3">
      <c r="A119" s="4"/>
      <c r="B119" s="4"/>
      <c r="C119" s="4"/>
      <c r="D119" s="4"/>
    </row>
    <row r="120" spans="1:4" ht="15.6" x14ac:dyDescent="0.3">
      <c r="A120" s="4"/>
      <c r="B120" s="4"/>
      <c r="C120" s="4"/>
      <c r="D120" s="4"/>
    </row>
    <row r="121" spans="1:4" ht="15.6" x14ac:dyDescent="0.3">
      <c r="A121" s="4"/>
      <c r="B121" s="4"/>
      <c r="C121" s="4"/>
      <c r="D121" s="4"/>
    </row>
    <row r="122" spans="1:4" ht="15.6" x14ac:dyDescent="0.3">
      <c r="A122" s="4"/>
      <c r="B122" s="4"/>
      <c r="C122" s="4"/>
      <c r="D122" s="4"/>
    </row>
    <row r="123" spans="1:4" ht="15.6" x14ac:dyDescent="0.3">
      <c r="A123" s="4"/>
      <c r="B123" s="4"/>
      <c r="C123" s="4"/>
      <c r="D123" s="4"/>
    </row>
    <row r="124" spans="1:4" ht="15.6" x14ac:dyDescent="0.3">
      <c r="A124" s="4"/>
      <c r="B124" s="4"/>
      <c r="C124" s="4"/>
      <c r="D124" s="4"/>
    </row>
    <row r="125" spans="1:4" ht="15.6" x14ac:dyDescent="0.3">
      <c r="A125" s="4"/>
      <c r="B125" s="4"/>
      <c r="C125" s="4"/>
      <c r="D125" s="4"/>
    </row>
    <row r="126" spans="1:4" ht="15.6" x14ac:dyDescent="0.3">
      <c r="A126" s="4"/>
      <c r="B126" s="4"/>
      <c r="C126" s="4"/>
      <c r="D126" s="4"/>
    </row>
    <row r="127" spans="1:4" ht="15.6" x14ac:dyDescent="0.3">
      <c r="A127" s="4"/>
      <c r="B127" s="4"/>
      <c r="C127" s="4"/>
      <c r="D127" s="4"/>
    </row>
    <row r="128" spans="1:4" ht="15.6" x14ac:dyDescent="0.3">
      <c r="A128" s="4"/>
      <c r="B128" s="4"/>
      <c r="C128" s="4"/>
      <c r="D128" s="4"/>
    </row>
    <row r="129" spans="1:4" ht="15.6" x14ac:dyDescent="0.3">
      <c r="A129" s="4"/>
      <c r="B129" s="4"/>
      <c r="C129" s="4"/>
      <c r="D129" s="4"/>
    </row>
    <row r="130" spans="1:4" ht="15.6" x14ac:dyDescent="0.3">
      <c r="A130" s="4"/>
      <c r="B130" s="4"/>
      <c r="C130" s="4"/>
      <c r="D130" s="4"/>
    </row>
    <row r="131" spans="1:4" ht="15.6" x14ac:dyDescent="0.3">
      <c r="A131" s="4"/>
      <c r="B131" s="4"/>
      <c r="C131" s="4"/>
      <c r="D131" s="4"/>
    </row>
    <row r="132" spans="1:4" ht="15.6" x14ac:dyDescent="0.3">
      <c r="A132" s="4"/>
      <c r="B132" s="4"/>
      <c r="C132" s="4"/>
      <c r="D132" s="4"/>
    </row>
    <row r="133" spans="1:4" ht="15.6" x14ac:dyDescent="0.3">
      <c r="A133" s="4"/>
      <c r="B133" s="4"/>
      <c r="C133" s="4"/>
      <c r="D133" s="4"/>
    </row>
    <row r="134" spans="1:4" ht="15.6" x14ac:dyDescent="0.3">
      <c r="A134" s="4"/>
      <c r="B134" s="4"/>
      <c r="C134" s="4"/>
      <c r="D134" s="4"/>
    </row>
    <row r="135" spans="1:4" ht="15.6" x14ac:dyDescent="0.3">
      <c r="A135" s="4"/>
      <c r="B135" s="4"/>
      <c r="C135" s="4"/>
      <c r="D135" s="4"/>
    </row>
    <row r="136" spans="1:4" ht="15.6" x14ac:dyDescent="0.3">
      <c r="A136" s="4"/>
      <c r="B136" s="4"/>
      <c r="C136" s="4"/>
      <c r="D136" s="4"/>
    </row>
    <row r="137" spans="1:4" ht="15.6" x14ac:dyDescent="0.3">
      <c r="A137" s="4"/>
      <c r="B137" s="4"/>
      <c r="C137" s="4"/>
      <c r="D137" s="4"/>
    </row>
    <row r="138" spans="1:4" ht="15.6" x14ac:dyDescent="0.3">
      <c r="A138" s="4"/>
      <c r="B138" s="4"/>
      <c r="C138" s="4"/>
      <c r="D138" s="4"/>
    </row>
    <row r="139" spans="1:4" ht="15.6" x14ac:dyDescent="0.3">
      <c r="A139" s="4"/>
      <c r="B139" s="4"/>
      <c r="C139" s="4"/>
      <c r="D139" s="4"/>
    </row>
    <row r="140" spans="1:4" ht="15.6" x14ac:dyDescent="0.3">
      <c r="A140" s="4"/>
      <c r="B140" s="4"/>
      <c r="C140" s="4"/>
      <c r="D140" s="4"/>
    </row>
    <row r="141" spans="1:4" ht="15.6" x14ac:dyDescent="0.3">
      <c r="A141" s="4"/>
      <c r="B141" s="4"/>
      <c r="C141" s="4"/>
      <c r="D141" s="4"/>
    </row>
    <row r="142" spans="1:4" ht="15.6" x14ac:dyDescent="0.3">
      <c r="A142" s="4"/>
      <c r="B142" s="4"/>
      <c r="C142" s="4"/>
      <c r="D142" s="4"/>
    </row>
    <row r="143" spans="1:4" ht="15.6" x14ac:dyDescent="0.3">
      <c r="A143" s="4"/>
      <c r="B143" s="4"/>
      <c r="C143" s="4"/>
      <c r="D143" s="4"/>
    </row>
    <row r="144" spans="1:4" ht="15.6" x14ac:dyDescent="0.3">
      <c r="A144" s="4"/>
      <c r="B144" s="4"/>
      <c r="C144" s="4"/>
      <c r="D144" s="4"/>
    </row>
    <row r="145" spans="1:4" ht="15.6" x14ac:dyDescent="0.3">
      <c r="A145" s="4"/>
      <c r="B145" s="4"/>
      <c r="C145" s="4"/>
      <c r="D145" s="4"/>
    </row>
    <row r="146" spans="1:4" ht="15.6" x14ac:dyDescent="0.3">
      <c r="A146" s="4"/>
      <c r="B146" s="4"/>
      <c r="C146" s="4"/>
      <c r="D146" s="4"/>
    </row>
    <row r="147" spans="1:4" ht="15.6" x14ac:dyDescent="0.3">
      <c r="A147" s="4"/>
      <c r="B147" s="4"/>
      <c r="C147" s="4"/>
      <c r="D147" s="4"/>
    </row>
    <row r="148" spans="1:4" ht="15.6" x14ac:dyDescent="0.3">
      <c r="A148" s="4"/>
      <c r="B148" s="4"/>
      <c r="C148" s="4"/>
      <c r="D148" s="4"/>
    </row>
    <row r="149" spans="1:4" ht="15.6" x14ac:dyDescent="0.3">
      <c r="A149" s="4"/>
      <c r="B149" s="4"/>
      <c r="C149" s="4"/>
      <c r="D149" s="4"/>
    </row>
    <row r="150" spans="1:4" ht="15.6" x14ac:dyDescent="0.3">
      <c r="A150" s="4"/>
      <c r="B150" s="4"/>
      <c r="C150" s="4"/>
      <c r="D150" s="4"/>
    </row>
    <row r="151" spans="1:4" ht="15.6" x14ac:dyDescent="0.3">
      <c r="A151" s="4"/>
      <c r="B151" s="4"/>
      <c r="C151" s="4"/>
      <c r="D151" s="4"/>
    </row>
    <row r="152" spans="1:4" ht="15.6" x14ac:dyDescent="0.3">
      <c r="A152" s="4"/>
      <c r="B152" s="4"/>
      <c r="C152" s="4"/>
      <c r="D152" s="4"/>
    </row>
    <row r="153" spans="1:4" ht="15.6" x14ac:dyDescent="0.3">
      <c r="A153" s="4"/>
      <c r="B153" s="4"/>
      <c r="C153" s="4"/>
      <c r="D153" s="4"/>
    </row>
    <row r="154" spans="1:4" ht="15.6" x14ac:dyDescent="0.3">
      <c r="A154" s="4"/>
      <c r="B154" s="4"/>
      <c r="C154" s="4"/>
      <c r="D154" s="4"/>
    </row>
    <row r="155" spans="1:4" ht="15.6" x14ac:dyDescent="0.3">
      <c r="A155" s="4"/>
      <c r="B155" s="4"/>
      <c r="C155" s="4"/>
      <c r="D155" s="4"/>
    </row>
    <row r="156" spans="1:4" ht="15.6" x14ac:dyDescent="0.3">
      <c r="A156" s="4"/>
      <c r="B156" s="4"/>
      <c r="C156" s="4"/>
      <c r="D156" s="4"/>
    </row>
    <row r="157" spans="1:4" ht="15.6" x14ac:dyDescent="0.3">
      <c r="A157" s="4"/>
      <c r="B157" s="4"/>
      <c r="C157" s="4"/>
      <c r="D157" s="4"/>
    </row>
    <row r="158" spans="1:4" ht="15.6" x14ac:dyDescent="0.3">
      <c r="A158" s="4"/>
      <c r="B158" s="4"/>
      <c r="C158" s="4"/>
      <c r="D158" s="4"/>
    </row>
    <row r="159" spans="1:4" ht="15.6" x14ac:dyDescent="0.3">
      <c r="A159" s="4"/>
      <c r="B159" s="4"/>
      <c r="C159" s="4"/>
      <c r="D159" s="4"/>
    </row>
    <row r="160" spans="1:4" ht="15.6" x14ac:dyDescent="0.3">
      <c r="A160" s="4"/>
      <c r="B160" s="4"/>
      <c r="C160" s="4"/>
      <c r="D160" s="4"/>
    </row>
    <row r="161" spans="1:4" ht="15.6" x14ac:dyDescent="0.3">
      <c r="A161" s="4"/>
      <c r="B161" s="4"/>
      <c r="C161" s="4"/>
      <c r="D161" s="4"/>
    </row>
    <row r="162" spans="1:4" ht="15.6" x14ac:dyDescent="0.3">
      <c r="A162" s="4"/>
      <c r="B162" s="4"/>
      <c r="C162" s="4"/>
      <c r="D162" s="4"/>
    </row>
    <row r="163" spans="1:4" ht="15.6" x14ac:dyDescent="0.3">
      <c r="A163" s="4"/>
      <c r="B163" s="4"/>
      <c r="C163" s="4"/>
      <c r="D163" s="4"/>
    </row>
    <row r="164" spans="1:4" ht="15.6" x14ac:dyDescent="0.3">
      <c r="A164" s="4"/>
      <c r="B164" s="4"/>
      <c r="C164" s="4"/>
      <c r="D164" s="4"/>
    </row>
    <row r="165" spans="1:4" ht="15.6" x14ac:dyDescent="0.3">
      <c r="A165" s="4"/>
      <c r="B165" s="4"/>
      <c r="C165" s="4"/>
      <c r="D165" s="4"/>
    </row>
    <row r="166" spans="1:4" ht="15.6" x14ac:dyDescent="0.3">
      <c r="A166" s="4"/>
      <c r="B166" s="4"/>
      <c r="C166" s="4"/>
      <c r="D166" s="4"/>
    </row>
    <row r="167" spans="1:4" ht="15.6" x14ac:dyDescent="0.3">
      <c r="A167" s="4"/>
      <c r="B167" s="4"/>
      <c r="C167" s="4"/>
      <c r="D167" s="4"/>
    </row>
    <row r="168" spans="1:4" ht="15.6" x14ac:dyDescent="0.3">
      <c r="A168" s="4"/>
      <c r="B168" s="4"/>
      <c r="C168" s="4"/>
      <c r="D168" s="4"/>
    </row>
    <row r="169" spans="1:4" ht="15.6" x14ac:dyDescent="0.3">
      <c r="A169" s="4"/>
      <c r="B169" s="4"/>
      <c r="C169" s="4"/>
      <c r="D169" s="4"/>
    </row>
    <row r="170" spans="1:4" ht="15.6" x14ac:dyDescent="0.3">
      <c r="A170" s="4"/>
      <c r="B170" s="4"/>
      <c r="C170" s="4"/>
      <c r="D170" s="4"/>
    </row>
    <row r="171" spans="1:4" ht="15.6" x14ac:dyDescent="0.3">
      <c r="A171" s="4"/>
      <c r="B171" s="4"/>
      <c r="C171" s="4"/>
      <c r="D171" s="4"/>
    </row>
    <row r="172" spans="1:4" ht="15.6" x14ac:dyDescent="0.3">
      <c r="A172" s="4"/>
      <c r="B172" s="4"/>
      <c r="C172" s="4"/>
      <c r="D172" s="4"/>
    </row>
    <row r="173" spans="1:4" ht="15.6" x14ac:dyDescent="0.3">
      <c r="A173" s="4"/>
      <c r="B173" s="4"/>
      <c r="C173" s="4"/>
      <c r="D173" s="4"/>
    </row>
    <row r="174" spans="1:4" ht="15.6" x14ac:dyDescent="0.3">
      <c r="A174" s="4"/>
      <c r="B174" s="4"/>
      <c r="C174" s="4"/>
      <c r="D174" s="4"/>
    </row>
    <row r="175" spans="1:4" ht="15.6" x14ac:dyDescent="0.3">
      <c r="A175" s="4"/>
      <c r="B175" s="4"/>
      <c r="C175" s="4"/>
      <c r="D175" s="4"/>
    </row>
    <row r="176" spans="1:4" ht="15.6" x14ac:dyDescent="0.3">
      <c r="A176" s="4"/>
      <c r="B176" s="4"/>
      <c r="C176" s="4"/>
      <c r="D176" s="4"/>
    </row>
    <row r="177" spans="1:4" ht="15.6" x14ac:dyDescent="0.3">
      <c r="A177" s="4"/>
      <c r="B177" s="4"/>
      <c r="C177" s="4"/>
      <c r="D177" s="4"/>
    </row>
    <row r="178" spans="1:4" ht="15.6" x14ac:dyDescent="0.3">
      <c r="A178" s="4"/>
      <c r="B178" s="4"/>
      <c r="C178" s="4"/>
      <c r="D178" s="4"/>
    </row>
    <row r="179" spans="1:4" ht="15.6" x14ac:dyDescent="0.3">
      <c r="A179" s="4"/>
      <c r="B179" s="4"/>
      <c r="C179" s="4"/>
      <c r="D179" s="4"/>
    </row>
    <row r="180" spans="1:4" ht="15.6" x14ac:dyDescent="0.3">
      <c r="A180" s="4"/>
      <c r="B180" s="4"/>
      <c r="C180" s="4"/>
      <c r="D180" s="4"/>
    </row>
    <row r="181" spans="1:4" ht="15.6" x14ac:dyDescent="0.3">
      <c r="A181" s="4"/>
      <c r="B181" s="4"/>
      <c r="C181" s="4"/>
      <c r="D181" s="4"/>
    </row>
    <row r="182" spans="1:4" ht="15.6" x14ac:dyDescent="0.3">
      <c r="A182" s="4"/>
      <c r="B182" s="4"/>
      <c r="C182" s="4"/>
      <c r="D182" s="4"/>
    </row>
    <row r="183" spans="1:4" ht="15.6" x14ac:dyDescent="0.3">
      <c r="A183" s="4"/>
      <c r="B183" s="4"/>
      <c r="C183" s="4"/>
      <c r="D183" s="4"/>
    </row>
    <row r="184" spans="1:4" ht="15.6" x14ac:dyDescent="0.3">
      <c r="A184" s="4"/>
      <c r="B184" s="4"/>
      <c r="C184" s="4"/>
      <c r="D184" s="4"/>
    </row>
    <row r="185" spans="1:4" ht="15.6" x14ac:dyDescent="0.3">
      <c r="A185" s="4"/>
      <c r="B185" s="4"/>
      <c r="C185" s="4"/>
      <c r="D185" s="4"/>
    </row>
    <row r="186" spans="1:4" ht="15.6" x14ac:dyDescent="0.3">
      <c r="A186" s="4"/>
      <c r="B186" s="4"/>
      <c r="C186" s="4"/>
      <c r="D186" s="4"/>
    </row>
    <row r="187" spans="1:4" ht="15.6" x14ac:dyDescent="0.3">
      <c r="A187" s="4"/>
      <c r="B187" s="4"/>
      <c r="C187" s="4"/>
      <c r="D187" s="4"/>
    </row>
    <row r="188" spans="1:4" ht="15.6" x14ac:dyDescent="0.3">
      <c r="A188" s="4"/>
      <c r="B188" s="4"/>
      <c r="C188" s="4"/>
      <c r="D188" s="4"/>
    </row>
  </sheetData>
  <mergeCells count="8">
    <mergeCell ref="A30:D30"/>
    <mergeCell ref="A40:D40"/>
    <mergeCell ref="A47:D47"/>
    <mergeCell ref="A1:D1"/>
    <mergeCell ref="A2:D2"/>
    <mergeCell ref="A4:D4"/>
    <mergeCell ref="A14:D14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Normal="100" workbookViewId="0">
      <selection activeCell="G3" sqref="G3"/>
    </sheetView>
  </sheetViews>
  <sheetFormatPr defaultColWidth="8.6640625" defaultRowHeight="13.8" x14ac:dyDescent="0.25"/>
  <cols>
    <col min="1" max="1" width="22" style="2" customWidth="1"/>
    <col min="2" max="2" width="14" style="2" customWidth="1"/>
    <col min="3" max="3" width="12" style="2" customWidth="1"/>
    <col min="4" max="4" width="55" style="2" customWidth="1"/>
    <col min="5" max="16384" width="8.6640625" style="2"/>
  </cols>
  <sheetData>
    <row r="1" spans="1:4" ht="17.399999999999999" x14ac:dyDescent="0.3">
      <c r="A1" s="1" t="s">
        <v>100</v>
      </c>
      <c r="B1" s="1"/>
      <c r="C1" s="1"/>
      <c r="D1" s="1"/>
    </row>
    <row r="2" spans="1:4" ht="15.6" x14ac:dyDescent="0.3">
      <c r="A2" s="3" t="s">
        <v>101</v>
      </c>
      <c r="B2" s="3"/>
      <c r="C2" s="3"/>
      <c r="D2" s="3"/>
    </row>
    <row r="3" spans="1:4" ht="15.6" x14ac:dyDescent="0.3">
      <c r="A3" s="4"/>
      <c r="B3" s="4"/>
      <c r="C3" s="4"/>
      <c r="D3" s="4"/>
    </row>
    <row r="4" spans="1:4" ht="15.6" x14ac:dyDescent="0.25">
      <c r="A4" s="5" t="s">
        <v>102</v>
      </c>
      <c r="B4" s="5" t="s">
        <v>103</v>
      </c>
      <c r="C4" s="5" t="s">
        <v>4</v>
      </c>
      <c r="D4" s="5" t="s">
        <v>104</v>
      </c>
    </row>
    <row r="5" spans="1:4" ht="30" customHeight="1" x14ac:dyDescent="0.3">
      <c r="A5" s="10" t="s">
        <v>105</v>
      </c>
      <c r="B5" s="24">
        <f>'Sources &amp; Methodology'!B9</f>
        <v>1200</v>
      </c>
      <c r="C5" s="15" t="s">
        <v>24</v>
      </c>
      <c r="D5" s="16" t="s">
        <v>106</v>
      </c>
    </row>
    <row r="6" spans="1:4" ht="30" customHeight="1" x14ac:dyDescent="0.3">
      <c r="A6" s="10" t="s">
        <v>107</v>
      </c>
      <c r="B6" s="24">
        <f>'Sources &amp; Methodology'!B10</f>
        <v>400</v>
      </c>
      <c r="C6" s="15" t="s">
        <v>28</v>
      </c>
      <c r="D6" s="16" t="s">
        <v>106</v>
      </c>
    </row>
    <row r="7" spans="1:4" ht="15.6" x14ac:dyDescent="0.3">
      <c r="A7" s="4"/>
      <c r="B7" s="4"/>
      <c r="C7" s="4"/>
      <c r="D7" s="4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Sources &amp; Methodology</vt:lpstr>
      <vt:lpstr>Base Scenario - PV &amp; CO2</vt:lpstr>
      <vt:lpstr>Panel &amp; Battery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Aida MADIEGA</cp:lastModifiedBy>
  <cp:revision>0</cp:revision>
  <dcterms:created xsi:type="dcterms:W3CDTF">2026-09-24T14:46:23Z</dcterms:created>
  <dcterms:modified xsi:type="dcterms:W3CDTF">2026-09-24T20:40:34Z</dcterms:modified>
  <dc:language>en-US</dc:language>
</cp:coreProperties>
</file>