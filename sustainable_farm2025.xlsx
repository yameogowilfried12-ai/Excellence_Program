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0"/>
  <workbookPr/>
  <xr:revisionPtr revIDLastSave="520" documentId="120_S{896023CD-FDF9-579F-9CB3-18C151858C7A}" xr6:coauthVersionLast="47" xr6:coauthVersionMax="47" xr10:uidLastSave="{A461DEC4-FB26-4ECE-8CAC-3D147CC019EF}"/>
  <bookViews>
    <workbookView xWindow="240" yWindow="105" windowWidth="14805" windowHeight="8010" firstSheet="7" activeTab="2" xr2:uid="{00000000-000D-0000-FFFF-FFFF00000000}"/>
  </bookViews>
  <sheets>
    <sheet name="Overall Farm" sheetId="1" r:id="rId1"/>
    <sheet name="Plants(Zalka)" sheetId="2" r:id="rId2"/>
    <sheet name="Irrigation System(Arcus)" sheetId="3" r:id="rId3"/>
    <sheet name="Processing Machines(Ange Marie)" sheetId="4" r:id="rId4"/>
    <sheet name="Smart Dryer(Cedric)" sheetId="5" r:id="rId5"/>
    <sheet name="Solar PV power plant(Abdoul)" sheetId="6" r:id="rId6"/>
    <sheet name="Solar tracking(Narcisse)" sheetId="7" r:id="rId7"/>
    <sheet name="Narcisse" sheetId="10" r:id="rId8"/>
    <sheet name="No Reesa(Afiatou)" sheetId="8" r:id="rId9"/>
    <sheet name="Face Recognition(Yanick)" sheetId="9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1" i="3" l="1"/>
  <c r="Y32" i="3"/>
  <c r="Y30" i="3"/>
  <c r="S34" i="3"/>
  <c r="S39" i="3"/>
  <c r="S40" i="3"/>
  <c r="D56" i="5"/>
  <c r="F18" i="9"/>
  <c r="D57" i="5"/>
  <c r="D129" i="5" s="1"/>
  <c r="E129" i="5" s="1"/>
  <c r="F129" i="5" s="1"/>
  <c r="E56" i="5"/>
  <c r="H56" i="5" s="1"/>
  <c r="M56" i="5" s="1"/>
  <c r="D55" i="5"/>
  <c r="D127" i="5" s="1"/>
  <c r="E127" i="5" s="1"/>
  <c r="F127" i="5" s="1"/>
  <c r="D54" i="5"/>
  <c r="D126" i="5" s="1"/>
  <c r="E126" i="5" s="1"/>
  <c r="F126" i="5" s="1"/>
  <c r="D53" i="5"/>
  <c r="D125" i="5" s="1"/>
  <c r="E125" i="5" s="1"/>
  <c r="F125" i="5" s="1"/>
  <c r="D52" i="5"/>
  <c r="D124" i="5" s="1"/>
  <c r="E124" i="5" s="1"/>
  <c r="F124" i="5" s="1"/>
  <c r="D51" i="5"/>
  <c r="D123" i="5" s="1"/>
  <c r="E123" i="5" s="1"/>
  <c r="F123" i="5" s="1"/>
  <c r="D50" i="5"/>
  <c r="D122" i="5" s="1"/>
  <c r="E122" i="5" s="1"/>
  <c r="F122" i="5" s="1"/>
  <c r="D49" i="5"/>
  <c r="F56" i="5"/>
  <c r="G24" i="3"/>
  <c r="C16" i="6"/>
  <c r="C10" i="6"/>
  <c r="P31" i="3"/>
  <c r="P32" i="3"/>
  <c r="P33" i="3"/>
  <c r="P34" i="3"/>
  <c r="P35" i="3"/>
  <c r="P30" i="3"/>
  <c r="P36" i="3"/>
  <c r="C22" i="6"/>
  <c r="C18" i="6"/>
  <c r="H24" i="3"/>
  <c r="AC30" i="3" l="1"/>
  <c r="AC32" i="3"/>
  <c r="AC31" i="3"/>
  <c r="S31" i="3"/>
  <c r="Q24" i="3"/>
  <c r="Z32" i="3"/>
  <c r="Z31" i="3"/>
  <c r="Z30" i="3"/>
  <c r="D121" i="5"/>
  <c r="E121" i="5" s="1"/>
  <c r="F121" i="5" s="1"/>
  <c r="D103" i="5"/>
  <c r="D81" i="5"/>
  <c r="D63" i="5"/>
  <c r="D102" i="5"/>
  <c r="E102" i="5" s="1"/>
  <c r="D120" i="5"/>
  <c r="E120" i="5" s="1"/>
  <c r="F120" i="5" s="1"/>
  <c r="D110" i="5"/>
  <c r="E110" i="5" s="1"/>
  <c r="D128" i="5"/>
  <c r="E128" i="5" s="1"/>
  <c r="F128" i="5" s="1"/>
  <c r="I24" i="3"/>
  <c r="J24" i="3"/>
  <c r="S33" i="3"/>
  <c r="R24" i="3" s="1"/>
  <c r="S41" i="3"/>
  <c r="H120" i="5"/>
  <c r="H121" i="5"/>
  <c r="H122" i="5"/>
  <c r="H123" i="5"/>
  <c r="H124" i="5"/>
  <c r="H125" i="5"/>
  <c r="H126" i="5"/>
  <c r="H127" i="5"/>
  <c r="H128" i="5"/>
  <c r="H129" i="5"/>
  <c r="E103" i="5"/>
  <c r="D82" i="5"/>
  <c r="E82" i="5" s="1"/>
  <c r="D104" i="5"/>
  <c r="E104" i="5" s="1"/>
  <c r="D83" i="5"/>
  <c r="E83" i="5" s="1"/>
  <c r="D105" i="5"/>
  <c r="E105" i="5" s="1"/>
  <c r="D84" i="5"/>
  <c r="E84" i="5" s="1"/>
  <c r="D106" i="5"/>
  <c r="E106" i="5" s="1"/>
  <c r="D85" i="5"/>
  <c r="E85" i="5" s="1"/>
  <c r="D107" i="5"/>
  <c r="E107" i="5" s="1"/>
  <c r="D86" i="5"/>
  <c r="E86" i="5" s="1"/>
  <c r="D108" i="5"/>
  <c r="E108" i="5" s="1"/>
  <c r="D87" i="5"/>
  <c r="E87" i="5" s="1"/>
  <c r="D109" i="5"/>
  <c r="E109" i="5" s="1"/>
  <c r="D89" i="5"/>
  <c r="E89" i="5" s="1"/>
  <c r="D111" i="5"/>
  <c r="E111" i="5" s="1"/>
  <c r="F103" i="5"/>
  <c r="H103" i="5"/>
  <c r="F104" i="5"/>
  <c r="H104" i="5"/>
  <c r="F105" i="5"/>
  <c r="H105" i="5"/>
  <c r="F106" i="5"/>
  <c r="H106" i="5"/>
  <c r="F107" i="5"/>
  <c r="H107" i="5"/>
  <c r="F108" i="5"/>
  <c r="H108" i="5"/>
  <c r="F109" i="5"/>
  <c r="H109" i="5"/>
  <c r="F110" i="5"/>
  <c r="H110" i="5"/>
  <c r="F111" i="5"/>
  <c r="H111" i="5"/>
  <c r="F102" i="5"/>
  <c r="H102" i="5"/>
  <c r="D80" i="5"/>
  <c r="E80" i="5" s="1"/>
  <c r="H80" i="5" s="1"/>
  <c r="M80" i="5" s="1"/>
  <c r="D62" i="5"/>
  <c r="D70" i="5"/>
  <c r="E70" i="5" s="1"/>
  <c r="D88" i="5"/>
  <c r="E88" i="5" s="1"/>
  <c r="F83" i="5"/>
  <c r="H83" i="5"/>
  <c r="F84" i="5"/>
  <c r="H84" i="5"/>
  <c r="F85" i="5"/>
  <c r="H85" i="5"/>
  <c r="F86" i="5"/>
  <c r="H86" i="5"/>
  <c r="F87" i="5"/>
  <c r="H87" i="5"/>
  <c r="F88" i="5"/>
  <c r="H88" i="5"/>
  <c r="F89" i="5"/>
  <c r="H89" i="5"/>
  <c r="F82" i="5"/>
  <c r="H82" i="5"/>
  <c r="E81" i="5"/>
  <c r="H81" i="5" s="1"/>
  <c r="M81" i="5" s="1"/>
  <c r="F81" i="5"/>
  <c r="F80" i="5"/>
  <c r="E49" i="5"/>
  <c r="E62" i="5"/>
  <c r="E63" i="5"/>
  <c r="E50" i="5"/>
  <c r="D64" i="5"/>
  <c r="E64" i="5" s="1"/>
  <c r="E51" i="5"/>
  <c r="D65" i="5"/>
  <c r="E65" i="5" s="1"/>
  <c r="E52" i="5"/>
  <c r="D66" i="5"/>
  <c r="E66" i="5" s="1"/>
  <c r="E53" i="5"/>
  <c r="D67" i="5"/>
  <c r="E67" i="5" s="1"/>
  <c r="E54" i="5"/>
  <c r="D68" i="5"/>
  <c r="E68" i="5" s="1"/>
  <c r="E55" i="5"/>
  <c r="D69" i="5"/>
  <c r="E69" i="5" s="1"/>
  <c r="E57" i="5"/>
  <c r="D71" i="5"/>
  <c r="E71" i="5" s="1"/>
  <c r="F71" i="5"/>
  <c r="H71" i="5"/>
  <c r="F70" i="5"/>
  <c r="H70" i="5"/>
  <c r="F69" i="5"/>
  <c r="H69" i="5"/>
  <c r="F68" i="5"/>
  <c r="H68" i="5"/>
  <c r="F67" i="5"/>
  <c r="H67" i="5"/>
  <c r="F66" i="5"/>
  <c r="H66" i="5"/>
  <c r="F65" i="5"/>
  <c r="H65" i="5"/>
  <c r="F64" i="5"/>
  <c r="H64" i="5"/>
  <c r="F63" i="5"/>
  <c r="H63" i="5"/>
  <c r="F62" i="5"/>
  <c r="H62" i="5"/>
  <c r="L56" i="5"/>
  <c r="AA30" i="3" l="1"/>
  <c r="AB30" i="3" s="1"/>
  <c r="AA31" i="3"/>
  <c r="AB31" i="3" s="1"/>
  <c r="AA32" i="3"/>
  <c r="AB32" i="3" s="1"/>
  <c r="L24" i="3"/>
  <c r="M24" i="3" s="1"/>
  <c r="N24" i="3" s="1"/>
  <c r="O24" i="3" s="1"/>
  <c r="K24" i="3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L111" i="5"/>
  <c r="M111" i="5"/>
  <c r="L110" i="5"/>
  <c r="M110" i="5"/>
  <c r="L109" i="5"/>
  <c r="M109" i="5"/>
  <c r="L108" i="5"/>
  <c r="M108" i="5"/>
  <c r="L107" i="5"/>
  <c r="M107" i="5"/>
  <c r="L106" i="5"/>
  <c r="M106" i="5"/>
  <c r="L105" i="5"/>
  <c r="M105" i="5"/>
  <c r="L104" i="5"/>
  <c r="M104" i="5"/>
  <c r="L103" i="5"/>
  <c r="M103" i="5"/>
  <c r="L102" i="5"/>
  <c r="M102" i="5"/>
  <c r="L82" i="5"/>
  <c r="M82" i="5"/>
  <c r="L89" i="5"/>
  <c r="M89" i="5"/>
  <c r="L88" i="5"/>
  <c r="M88" i="5"/>
  <c r="L87" i="5"/>
  <c r="M87" i="5"/>
  <c r="L86" i="5"/>
  <c r="M86" i="5"/>
  <c r="L85" i="5"/>
  <c r="M85" i="5"/>
  <c r="L84" i="5"/>
  <c r="M84" i="5"/>
  <c r="L83" i="5"/>
  <c r="M83" i="5"/>
  <c r="L81" i="5"/>
  <c r="L80" i="5"/>
  <c r="L63" i="5"/>
  <c r="M63" i="5"/>
  <c r="L64" i="5"/>
  <c r="M64" i="5"/>
  <c r="L65" i="5"/>
  <c r="M65" i="5"/>
  <c r="L66" i="5"/>
  <c r="M66" i="5"/>
  <c r="L67" i="5"/>
  <c r="M67" i="5"/>
  <c r="L68" i="5"/>
  <c r="M68" i="5"/>
  <c r="L69" i="5"/>
  <c r="M69" i="5"/>
  <c r="L70" i="5"/>
  <c r="M70" i="5"/>
  <c r="L71" i="5"/>
  <c r="M71" i="5"/>
  <c r="L62" i="5"/>
  <c r="M62" i="5"/>
  <c r="H57" i="5"/>
  <c r="F57" i="5"/>
  <c r="H55" i="5"/>
  <c r="F55" i="5"/>
  <c r="H54" i="5"/>
  <c r="F54" i="5"/>
  <c r="H53" i="5"/>
  <c r="F53" i="5"/>
  <c r="H52" i="5"/>
  <c r="F52" i="5"/>
  <c r="H51" i="5"/>
  <c r="F51" i="5"/>
  <c r="H50" i="5"/>
  <c r="F50" i="5"/>
  <c r="H49" i="5"/>
  <c r="F49" i="5"/>
  <c r="M49" i="5" l="1"/>
  <c r="L49" i="5"/>
  <c r="M50" i="5"/>
  <c r="L50" i="5"/>
  <c r="M51" i="5"/>
  <c r="L51" i="5"/>
  <c r="M52" i="5"/>
  <c r="L52" i="5"/>
  <c r="M53" i="5"/>
  <c r="L53" i="5"/>
  <c r="M54" i="5"/>
  <c r="L54" i="5"/>
  <c r="M55" i="5"/>
  <c r="L55" i="5"/>
  <c r="M57" i="5"/>
  <c r="L5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tc={B5CA61C2-7C5C-4BD6-B04E-23162FE0E237}</author>
    <author>tc={87341C9E-B9DB-46D3-A2AE-F69101F97733}</author>
    <author>tc={A2EC88CB-F0FA-4B5A-87BE-4EFA3FD8B23F}</author>
    <author>tc={E19C23D8-BDDB-4941-BC67-7D4382D1D427}</author>
    <author>tc={E63A8420-42E4-475E-9B92-4E143EEB8E76}</author>
    <author>tc={19629B0B-C54E-4B3C-8465-8E35837978E0}</author>
    <author>tc={2A25DE7A-0856-4475-AD35-68E9FCF33CAC}</author>
    <author>tc={892C97E1-21AA-4D14-AE88-EC5916786E41}</author>
    <author>tc={4A14AA5F-08E0-4FCB-A3C9-8381563E4600}</author>
    <author>tc={CC67322F-66CC-4932-B3F8-6FFF15835BFE}</author>
    <author>tc={0509A75C-744A-4D34-A90C-256795441E77}</author>
    <author>tc={73136E15-C0EE-4511-87AF-28D1D6E443C1}</author>
    <author>tc={76E52E48-D57E-45CC-8C24-B37A110B39FE}</author>
    <author>tc={1F6F246C-E630-4B82-BC73-079414E2AE0A}</author>
    <author>tc={D5590B21-3252-4B15-A613-BD2E41FDBFA8}</author>
    <author>tc={CB6F7D8E-A003-43C3-86F6-5C1E11FFE1C1}</author>
    <author>tc={30737756-ECBA-4179-BDAF-FE843EB63C53}</author>
  </authors>
  <commentList>
    <comment ref="C2" authorId="0" shapeId="0" xr:uid="{B5CA61C2-7C5C-4BD6-B04E-23162FE0E237}">
      <text>
        <t>[Threaded comment]
Your version of Excel allows you to read this threaded comment; however, any edits to it will get removed if the file is opened in a newer version of Excel. Learn more: https://go.microsoft.com/fwlink/?linkid=870924
Comment:
    To improve the irrigation system, we can use smart IoT control to monitor soil moisture and automate irrigation scheduling, include a remote monitoring dashboard in the system for performance tracking like PV output, water levels, etc, add water recycling and filtration units for better sustainability</t>
      </text>
    </comment>
    <comment ref="G24" authorId="1" shapeId="0" xr:uid="{87341C9E-B9DB-46D3-A2AE-F69101F97733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does 100 comes from? report, study, guess? 
Reply:
    this depends on how big is the spacing between the trees as well. could you add this parameter to the input column
Reply:
    100 is the estimated number of trees in 1 hectare with a space of 10 m between the trees. You can see the details in the input parameters and definitions</t>
      </text>
    </comment>
    <comment ref="H24" authorId="2" shapeId="0" xr:uid="{A2EC88CB-F0FA-4B5A-87BE-4EFA3FD8B23F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make the formula easy to explain e.g. what is 1000? what is 100? you could make a separate column for  the input parameters
Reply:
    You can find the explanation in the input parameters and definition table</t>
      </text>
    </comment>
    <comment ref="I24" authorId="3" shapeId="0" xr:uid="{E19C23D8-BDDB-4941-BC67-7D4382D1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the tree age play a role? e.g. young trees vs mature trees
Reply:
    does this number applies to all year long and all climate conditions e.g. in rainy season the number could be low, ..etc.
Reply:
    this is for mature mango trees in dry season</t>
      </text>
    </comment>
    <comment ref="J24" authorId="4" shapeId="0" xr:uid="{E63A8420-42E4-475E-9B92-4E143EEB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5? please explain as suggested with input column
Reply:
    it represents the daily irrigation duration</t>
      </text>
    </comment>
    <comment ref="K24" authorId="5" shapeId="0" xr:uid="{19629B0B-C54E-4B3C-8465-8E35837978E0}">
      <text>
        <t>[Threaded comment]
Your version of Excel allows you to read this threaded comment; however, any edits to it will get removed if the file is opened in a newer version of Excel. Learn more: https://go.microsoft.com/fwlink/?linkid=870924
Comment:
    60 is the number of minutes in 1 hour</t>
      </text>
    </comment>
    <comment ref="P24" authorId="6" shapeId="0" xr:uid="{2A25DE7A-0856-4475-AD35-68E9FCF3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this calculation include any buffer to compensate for losses e.g. efficiency, variations ...etc.?please consider that and adjust your calculations accordingly
Reply:
    yes, it does include any buffer for compensation in case of losses</t>
      </text>
    </comment>
    <comment ref="L28" authorId="7" shapeId="0" xr:uid="{892C97E1-21AA-4D14-AE88-EC5916786E41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of the cost are local cost. For the smart add-on, drip irrigation, filtration+MPPT costs, it has been estimated basing on the international market</t>
      </text>
    </comment>
    <comment ref="L30" authorId="8" shapeId="0" xr:uid="{4A14AA5F-08E0-4FCB-A3C9-8381563E4600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capacity of the tank?</t>
      </text>
    </comment>
    <comment ref="P30" authorId="9" shapeId="0" xr:uid="{CC67322F-66CC-4932-B3F8-6FFF15835BFE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you consider any cheaper alternatives?
Reply:
    Yes I considered now</t>
      </text>
    </comment>
    <comment ref="Y30" authorId="10" shapeId="0" xr:uid="{0509A75C-744A-4D34-A90C-256795441E77}">
      <text>
        <t>[Threaded comment]
Your version of Excel allows you to read this threaded comment; however, any edits to it will get removed if the file is opened in a newer version of Excel. Learn more: https://go.microsoft.com/fwlink/?linkid=870924
Comment:
    100 represents the daily needs in terms of water per tree</t>
      </text>
    </comment>
    <comment ref="U31" authorId="11" shapeId="0" xr:uid="{73136E15-C0EE-4511-87AF-28D1D6E443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CAPEX (Capital Expenditure)</t>
      </text>
    </comment>
    <comment ref="O32" authorId="12" shapeId="0" xr:uid="{76E52E48-D57E-45CC-8C24-B37A110B39FE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which market? burkina faso, china, germany?</t>
      </text>
    </comment>
    <comment ref="P36" authorId="13" shapeId="0" xr:uid="{1F6F246C-E630-4B82-BC73-079414E2AE0A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much time do you think you can get this investment sum repaid back. payback period is short means a profitable project, if payback period is long it means less profitable project. make assumptions to calculate payback period
Reply:
    You can see it on the calculation table</t>
      </text>
    </comment>
    <comment ref="S36" authorId="14" shapeId="0" xr:uid="{D5590B21-3252-4B15-A613-BD2E41FDBF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years; 2 replacement in total during the project lifetime</t>
      </text>
    </comment>
    <comment ref="S37" authorId="15" shapeId="0" xr:uid="{CB6F7D8E-A003-43C3-86F6-5C1E11FFE1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years; 2 replacement in total</t>
      </text>
    </comment>
    <comment ref="S38" authorId="16" shapeId="0" xr:uid="{30737756-ECBA-4179-BDAF-FE843EB63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 also; 2 replacement in total during the project lifetime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tc={3B5B4A5C-1540-4A5C-B265-7A9B69BF94B1}</author>
    <author>tc={55E8B360-440F-4231-87DA-16F19DBD6083}</author>
    <author>tc={DA61F77F-54E6-4B0E-9684-90D85F7012AC}</author>
    <author>tc={5E36174B-72D2-4061-AA6B-C464FF877BA9}</author>
    <author>tc={825DA654-6A40-49AF-B694-1A3FC6FE8696}</author>
    <author>tc={13DC0BDD-8FD5-44D4-980D-3FAC0AA6374D}</author>
  </authors>
  <commentList>
    <comment ref="A2" authorId="0" shapeId="0" xr:uid="{3B5B4A5C-1540-4A5C-B265-7A9B69BF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we might not need a ball mill for the mango but what we need are machines which can be used for cutting the mango</t>
      </text>
    </comment>
    <comment ref="B3" authorId="1" shapeId="0" xr:uid="{55E8B360-440F-4231-87DA-16F19DBD6083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are the numbers fluctuating?
Reply:
    The numbers rise and fall because in Burkina Faso there are periods when mango production is very high and when this period passes production also falls.</t>
      </text>
    </comment>
    <comment ref="C3" authorId="2" shapeId="0" xr:uid="{DA61F77F-54E6-4B0E-9684-90D85F7012AC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calculated?
Reply:
    The number is based on study showing that the waste generated is around 50% of the quantity of processed mangoes.</t>
      </text>
    </comment>
    <comment ref="D3" authorId="3" shapeId="0" xr:uid="{5E36174B-72D2-4061-AA6B-C464FF877BA9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biogas calculated? is it assumed or based on study?
Reply:
    The biogas is calculated by following this formula : 1 kg of mango waste gives 0.043 m³ of biogas. This formula is based on study from the net.</t>
      </text>
    </comment>
    <comment ref="Q3" authorId="4" shapeId="0" xr:uid="{825DA654-6A40-49AF-B694-1A3FC6FE869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annual output is from the plant sheet in the common excel</t>
      </text>
    </comment>
    <comment ref="L4" authorId="5" shapeId="0" xr:uid="{13DC0BDD-8FD5-44D4-980D-3FAC0AA63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biogas volume was used to calculate biogas outputs for each month of the year.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tc={753BF6E2-4B3E-4436-9CF2-5A0882711F66}</author>
    <author>tc={C7EF18BD-B85D-4954-87E5-07E6AE76388A}</author>
    <author>tc={D951C372-0506-4115-8AB7-F872A9CFC94B}</author>
    <author>tc={8C26E72D-0395-4FCD-B593-447B3BF16F18}</author>
    <author>tc={06AD86B0-7E8C-4A63-8CBD-D8D0C8A8EF7A}</author>
    <author>tc={8023BE6E-9434-439C-8570-AF29F0292DA8}</author>
    <author>tc={125BEC1E-245A-4C9A-A0A9-4D2B90AD1CA7}</author>
    <author>tc={F5972CDE-4248-415E-AF64-7D93634046F5}</author>
    <author>tc={DF8695E9-6696-4920-8BDF-FD7B96FB6012}</author>
    <author>tc={D279D25C-3385-411C-B4F1-7B65C1C8AEC6}</author>
    <author>tc={0515190D-1523-48D3-B116-8EDF74B7E455}</author>
    <author>tc={624A26E7-0561-4706-998D-854E8C54F4DD}</author>
    <author>tc={343D0121-6C45-4CAE-8065-B6BA7846309F}</author>
    <author>tc={B24F0E4A-1782-4739-8599-C50F0D4C0E24}</author>
    <author>tc={49BAD0B2-8887-4A5E-90C8-1F2C46A611EA}</author>
    <author>tc={F541040C-BEE0-41F7-A593-2E9D0DF678BE}</author>
    <author>tc={C87ABDE0-E7AD-4415-B3C2-3E9FBAD8B851}</author>
    <author>tc={494C4857-ABBC-4C45-8BD1-2C6D1D43D130}</author>
  </authors>
  <commentList>
    <comment ref="C16" authorId="0" shapeId="0" xr:uid="{753BF6E2-4B3E-4436-9CF2-5A0882711F66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is the source of this value, report? study? historical data? or assumption
Reply:
    https://www.researchgate.net/publication/242642925_The_mango_tree_in_central_and_northern_Benin_Cultivar_inventory_yield_assessment_infested_stages_and_loss_due_to_fruit_flies_Diptera_Tephritidae</t>
      </text>
    </comment>
    <comment ref="C17" authorId="1" shapeId="0" xr:uid="{C7EF18BD-B85D-4954-87E5-07E6AE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recovery rate means?
Reply:
    The proportion of usable, good-quality product that remains after harvesting, handling, and processing compared to the total originally harvested.</t>
      </text>
    </comment>
    <comment ref="C18" authorId="2" shapeId="0" xr:uid="{D951C372-0506-4115-8AB7-F872A9CFC94B}">
      <text>
        <t>[Threaded comment]
Your version of Excel allows you to read this threaded comment; however, any edits to it will get removed if the file is opened in a newer version of Excel. Learn more: https://go.microsoft.com/fwlink/?linkid=870924
Comment:
    I understood the term transformation ration but I didn't get 4? e.g. if I put 1 kg of fresh mango how much dried mango I get?
Reply:
    I have added the link saying that It takes between 12 to 15 kg of fresh mangoes to produce 1 kg of dried fruit, although some estimates put the conversion rate closer to 10%. Then with 1 kg appying 10% outputs 0.1kg</t>
      </text>
    </comment>
    <comment ref="C20" authorId="3" shapeId="0" xr:uid="{8C26E72D-0395-4FCD-B593-447B3BF16F18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indicate the source of the price is there a portal which tracks these information and publish them?
Reply:
    Alright</t>
      </text>
    </comment>
    <comment ref="C22" authorId="4" shapeId="0" xr:uid="{06AD86B0-7E8C-4A63-8CBD-D8D0C8A8EF7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campaign here?
Reply:
    It refers to the mango active harvesting season in Burkina.</t>
      </text>
    </comment>
    <comment ref="C24" authorId="5" shapeId="0" xr:uid="{8023BE6E-9434-439C-8570-AF29F0292D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calculation column in Euro values 
Reply:
    Alright</t>
      </text>
    </comment>
    <comment ref="C25" authorId="6" shapeId="0" xr:uid="{125BEC1E-245A-4C9A-A0A9-4D2B90AD1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wondering here how did you consider the 1 hectar area, or 3 hectar area, did you consider that 2.2. 2hectar farm could yield 10 ton mango every month and based on that the calculations are made
Reply:
    yes
Reply:
    But i considered the fact that  1 hectar farm could yield 10 ton mango every year</t>
      </text>
    </comment>
    <comment ref="C26" authorId="7" shapeId="0" xr:uid="{F5972CDE-4248-415E-AF64-7D93634046F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selected size of the farm is the 2 hectar please do the calculatoins for that
Reply:
    I thought we should use the last cohort findings.</t>
      </text>
    </comment>
    <comment ref="B48" authorId="8" shapeId="0" xr:uid="{DF8695E9-6696-4920-8BDF-FD7B96FB6012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49" authorId="9" shapeId="0" xr:uid="{D279D25C-3385-411C-B4F1-7B65C1C8AEC6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49" authorId="10" shapeId="0" xr:uid="{0515190D-1523-48D3-B116-8EDF74B7E455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49" authorId="11" shapeId="0" xr:uid="{624A26E7-0561-4706-998D-854E8C54F4DD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49" authorId="12" shapeId="0" xr:uid="{343D0121-6C45-4CAE-8065-B6BA7846309F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  <comment ref="B119" authorId="13" shapeId="0" xr:uid="{B24F0E4A-1782-4739-8599-C50F0D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120" authorId="14" shapeId="0" xr:uid="{49BAD0B2-8887-4A5E-90C8-1F2C46A611E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120" authorId="15" shapeId="0" xr:uid="{F541040C-BEE0-41F7-A593-2E9D0DF678BE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120" authorId="16" shapeId="0" xr:uid="{C87ABDE0-E7AD-4415-B3C2-3E9FBAD8B851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120" authorId="17" shapeId="0" xr:uid="{494C4857-ABBC-4C45-8BD1-2C6D1D43D130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tc={2057BC50-2FB4-4737-A9F7-799BCFC0BEE7}</author>
    <author>tc={C6353A66-E392-49DB-BFDF-8484511A7CC8}</author>
    <author>tc={FD2D9EAE-BDCF-46E7-B61F-ABFAA18D7E3A}</author>
    <author>tc={FA25FB5E-137C-4583-81C6-699DC5C8F135}</author>
    <author>tc={976A7DD3-3766-4FAD-8D8E-E1D7EB52E343}</author>
    <author>tc={8A2FF993-3F77-4D6C-831C-0BC82BCA3533}</author>
  </authors>
  <commentList>
    <comment ref="C4" authorId="0" shapeId="0" xr:uid="{2057BC50-2FB4-4737-A9F7-799BCFC0BEE7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a small pump? would it be enough for the farm?</t>
      </text>
    </comment>
    <comment ref="C5" authorId="1" shapeId="0" xr:uid="{C6353A66-E392-49DB-BFDF-8484511A7CC8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did you assume that the pump is needed only for 4 hours?</t>
      </text>
    </comment>
    <comment ref="B8" authorId="2" shapeId="0" xr:uid="{FD2D9EAE-BDCF-46E7-B61F-ABFAA18D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Misc??</t>
      </text>
    </comment>
    <comment ref="B12" authorId="3" shapeId="0" xr:uid="{FA25FB5E-137C-4583-81C6-699DC5C8F135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PSH stands for? could you explain?</t>
      </text>
    </comment>
    <comment ref="B15" authorId="4" shapeId="0" xr:uid="{976A7DD3-3766-4FAD-8D8E-E1D7EB52E343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Derate?</t>
      </text>
    </comment>
    <comment ref="B25" authorId="5" shapeId="0" xr:uid="{8A2FF993-3F77-4D6C-831C-0BC82BCA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add the costs calculations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tc={5B692EBC-535C-4702-B45A-9B4DA3629A2C}</author>
  </authors>
  <commentList>
    <comment ref="F18" authorId="0" shapeId="0" xr:uid="{5B692EBC-535C-4702-B45A-9B4DA3629A2C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would be the payback period of this investment?</t>
      </text>
    </comment>
  </commentList>
</comments>
</file>

<file path=xl/sharedStrings.xml><?xml version="1.0" encoding="utf-8"?>
<sst xmlns="http://schemas.openxmlformats.org/spreadsheetml/2006/main" count="1585" uniqueCount="956">
  <si>
    <t>Farm sizing</t>
  </si>
  <si>
    <t>Surface Area (ha)</t>
  </si>
  <si>
    <t>Number of trees</t>
  </si>
  <si>
    <t xml:space="preserve">Tree-to-tree spacing </t>
  </si>
  <si>
    <t>0.5ha</t>
  </si>
  <si>
    <t>8meters</t>
  </si>
  <si>
    <t>2ha</t>
  </si>
  <si>
    <t>10ha</t>
  </si>
  <si>
    <t>10meters</t>
  </si>
  <si>
    <t>50ha</t>
  </si>
  <si>
    <t xml:space="preserve">  </t>
  </si>
  <si>
    <t>Variety of mango</t>
  </si>
  <si>
    <t>Surface(ha)</t>
  </si>
  <si>
    <t>Output(Kg)</t>
  </si>
  <si>
    <t>Kent</t>
  </si>
  <si>
    <t>0.5</t>
  </si>
  <si>
    <t>40 000</t>
  </si>
  <si>
    <t>200 000</t>
  </si>
  <si>
    <t>1 000 000</t>
  </si>
  <si>
    <t>Keitt</t>
  </si>
  <si>
    <t>11 000</t>
  </si>
  <si>
    <t>44 000</t>
  </si>
  <si>
    <t>220 000</t>
  </si>
  <si>
    <t>1 100 000</t>
  </si>
  <si>
    <t>Amelie</t>
  </si>
  <si>
    <t>8 000</t>
  </si>
  <si>
    <t>32 000</t>
  </si>
  <si>
    <t>160 000</t>
  </si>
  <si>
    <t>800 000</t>
  </si>
  <si>
    <t>We assume that we will focus on growing Keitt mangoes because of their high yield.</t>
  </si>
  <si>
    <t>water requirement per month in L</t>
  </si>
  <si>
    <t>Monitoring the health of trees and fruit</t>
  </si>
  <si>
    <t xml:space="preserve">water requirement </t>
  </si>
  <si>
    <t>all varieties combined</t>
  </si>
  <si>
    <t>Health Level (%)</t>
  </si>
  <si>
    <t>Observation</t>
  </si>
  <si>
    <t xml:space="preserve"> water requirement  per tree </t>
  </si>
  <si>
    <t>20000 - 250000 L</t>
  </si>
  <si>
    <t>0 - 20%</t>
  </si>
  <si>
    <t>Trees and fruit under stress, risk of high yield loss</t>
  </si>
  <si>
    <t xml:space="preserve"> water requirement  per 0.5ha</t>
  </si>
  <si>
    <t>640 000 - 800 000 L</t>
  </si>
  <si>
    <t>21 - 40%</t>
  </si>
  <si>
    <t>Weakened trees, affected fruit development</t>
  </si>
  <si>
    <t>water requirement  per 2 ha</t>
  </si>
  <si>
    <t>2 560 000 - 3 200 00 L</t>
  </si>
  <si>
    <t>41 - 60%</t>
  </si>
  <si>
    <t>Trees in average health, fruit growing normally</t>
  </si>
  <si>
    <t>water requirement  per 10 ha</t>
  </si>
  <si>
    <t>20 000 000 -25 000 000 L</t>
  </si>
  <si>
    <t>61 - 80%</t>
  </si>
  <si>
    <t>Healthy trees, high-quality fruit</t>
  </si>
  <si>
    <t>water requirement  per 50 ha</t>
  </si>
  <si>
    <t>20 000 000 - 25 000 000 L</t>
  </si>
  <si>
    <t>81 - 100%</t>
  </si>
  <si>
    <t>Very healthy trees, excellent fruit</t>
  </si>
  <si>
    <t>Equipment Pricing Based on Farm Size</t>
  </si>
  <si>
    <t>Purchase price of plots</t>
  </si>
  <si>
    <t>Equipment</t>
  </si>
  <si>
    <t>0.5ha (XOF)</t>
  </si>
  <si>
    <t>2 ha (XOF)</t>
  </si>
  <si>
    <t>10 ha (XOF)</t>
  </si>
  <si>
    <t>50 ha (XOF)</t>
  </si>
  <si>
    <t>Tractor / Power tiller</t>
  </si>
  <si>
    <t xml:space="preserve">	2 500 000</t>
  </si>
  <si>
    <t>4 500 000</t>
  </si>
  <si>
    <t xml:space="preserve">	35 000 000</t>
  </si>
  <si>
    <t>Land (XOF)</t>
  </si>
  <si>
    <t>19 000 000</t>
  </si>
  <si>
    <t xml:space="preserve"> 76 000 000</t>
  </si>
  <si>
    <t xml:space="preserve"> 380  000 000</t>
  </si>
  <si>
    <t>1 900 000 000</t>
  </si>
  <si>
    <t>Motor pump / Irrigation</t>
  </si>
  <si>
    <t>1 500 000</t>
  </si>
  <si>
    <t>3 000 000</t>
  </si>
  <si>
    <t>20 000 000</t>
  </si>
  <si>
    <t>Administrative Fees (XOF)</t>
  </si>
  <si>
    <t>950 000</t>
  </si>
  <si>
    <t>3 800 000</t>
  </si>
  <si>
    <t>95 000 000</t>
  </si>
  <si>
    <t>Planting and harvesting tools</t>
  </si>
  <si>
    <t xml:space="preserve">750 000	</t>
  </si>
  <si>
    <t>1 200 000</t>
  </si>
  <si>
    <t>10 000 000</t>
  </si>
  <si>
    <t>Labor over 5 years (XOF)</t>
  </si>
  <si>
    <t xml:space="preserve">	7 500 000</t>
  </si>
  <si>
    <t>80 000 000</t>
  </si>
  <si>
    <t>350 000 000</t>
  </si>
  <si>
    <t>Post-harvest equipment</t>
  </si>
  <si>
    <t>750 000</t>
  </si>
  <si>
    <t xml:space="preserve">	1 500 000</t>
  </si>
  <si>
    <t xml:space="preserve">8,000,000	</t>
  </si>
  <si>
    <t>25 000 000</t>
  </si>
  <si>
    <t>Equipment (XOF)</t>
  </si>
  <si>
    <t>6 500 000</t>
  </si>
  <si>
    <t>12 700 000</t>
  </si>
  <si>
    <t>34 500 000</t>
  </si>
  <si>
    <t xml:space="preserve">100 000 000	</t>
  </si>
  <si>
    <t xml:space="preserve">Inputs (fertilizers, seeds)	 </t>
  </si>
  <si>
    <t>4 000 000</t>
  </si>
  <si>
    <t>Total Investment (XOF)</t>
  </si>
  <si>
    <t>33 950 000</t>
  </si>
  <si>
    <t>112 500 000</t>
  </si>
  <si>
    <t>513 500 000</t>
  </si>
  <si>
    <t>2 445 000 000</t>
  </si>
  <si>
    <t xml:space="preserve">Total Price of equipment </t>
  </si>
  <si>
    <t xml:space="preserve">34 500 000	</t>
  </si>
  <si>
    <t>Financial analysis</t>
  </si>
  <si>
    <t>Initial equipment cost on 5years (XOF)</t>
  </si>
  <si>
    <t>Operational Cost per year (XOF)</t>
  </si>
  <si>
    <t>Operational Cost per 5 years (XOF)</t>
  </si>
  <si>
    <t>Investment Cost per 5 years (XOF)</t>
  </si>
  <si>
    <r>
      <rPr>
        <b/>
        <sz val="14"/>
        <color rgb="FFFFFFFF"/>
        <rFont val="Aptos Narrow"/>
        <scheme val="minor"/>
      </rPr>
      <t>T</t>
    </r>
    <r>
      <rPr>
        <b/>
        <sz val="12"/>
        <color rgb="FFFFFFFF"/>
        <rFont val="Aptos Narrow"/>
        <scheme val="minor"/>
      </rPr>
      <t>otal income over 5 years (XOF)</t>
    </r>
  </si>
  <si>
    <t>plots Investissement total (XOF)</t>
  </si>
  <si>
    <t>ROI (%)</t>
  </si>
  <si>
    <t>Payback period (years)</t>
  </si>
  <si>
    <t xml:space="preserve">5 000 000	</t>
  </si>
  <si>
    <t>2 200 000</t>
  </si>
  <si>
    <t>10 600 000</t>
  </si>
  <si>
    <t>32 725 000</t>
  </si>
  <si>
    <t xml:space="preserve">	-3.63%</t>
  </si>
  <si>
    <t>15 000 000</t>
  </si>
  <si>
    <t>4 400 000</t>
  </si>
  <si>
    <t>22 000 000</t>
  </si>
  <si>
    <t>130 900 000</t>
  </si>
  <si>
    <t xml:space="preserve">	16.34%</t>
  </si>
  <si>
    <t>30 000 000</t>
  </si>
  <si>
    <t xml:space="preserve">22 000 000	</t>
  </si>
  <si>
    <t>100 000 000</t>
  </si>
  <si>
    <t xml:space="preserve">110 000 000 </t>
  </si>
  <si>
    <t xml:space="preserve">	654 500 000</t>
  </si>
  <si>
    <t>50 000 000</t>
  </si>
  <si>
    <t>110 000 000</t>
  </si>
  <si>
    <t>500 000 000</t>
  </si>
  <si>
    <t>550 000 000</t>
  </si>
  <si>
    <t>3 272 500 000</t>
  </si>
  <si>
    <t>`</t>
  </si>
  <si>
    <t>final estimate for a 2-hectare farm</t>
  </si>
  <si>
    <t>Step</t>
  </si>
  <si>
    <t>Description</t>
  </si>
  <si>
    <t>Values</t>
  </si>
  <si>
    <t>Number of Trees to Plant</t>
  </si>
  <si>
    <t>Total trees on 2 hectares</t>
  </si>
  <si>
    <t xml:space="preserve">200 trees </t>
  </si>
  <si>
    <t>Spacing</t>
  </si>
  <si>
    <t>8 meters between trees</t>
  </si>
  <si>
    <t>Planting Period</t>
  </si>
  <si>
    <t>Best planting time</t>
  </si>
  <si>
    <t>Beginning of the rainy season</t>
  </si>
  <si>
    <t>Growth phases</t>
  </si>
  <si>
    <t>Years 0 to 2: establishment         Years 3 to 5: gradual production                                Year 5–7: full production</t>
  </si>
  <si>
    <t>Investment Costs</t>
  </si>
  <si>
    <t>Land purchase and Administrative fees</t>
  </si>
  <si>
    <t>79 800 000</t>
  </si>
  <si>
    <t>Labor and equipment</t>
  </si>
  <si>
    <t>32 700 000</t>
  </si>
  <si>
    <t>Revenue and Operating</t>
  </si>
  <si>
    <t>Total revenue (5 years)</t>
  </si>
  <si>
    <t>Annual operating cost</t>
  </si>
  <si>
    <t>Average annual net profit</t>
  </si>
  <si>
    <t>21 780 000</t>
  </si>
  <si>
    <t>ROI and payback period</t>
  </si>
  <si>
    <t xml:space="preserve">ROI </t>
  </si>
  <si>
    <t>16.3% over 5 years</t>
  </si>
  <si>
    <t>Payback period</t>
  </si>
  <si>
    <t>5.2 years</t>
  </si>
  <si>
    <t xml:space="preserve"> </t>
  </si>
  <si>
    <t>Summary Table – 2 Hectares Smart Irrigation System</t>
  </si>
  <si>
    <t>Parameter / Item</t>
  </si>
  <si>
    <t>Symbol / Unit</t>
  </si>
  <si>
    <t>Value</t>
  </si>
  <si>
    <t>Comment / Description</t>
  </si>
  <si>
    <t>Area</t>
  </si>
  <si>
    <t>A [ha]</t>
  </si>
  <si>
    <t>Cultivated surface</t>
  </si>
  <si>
    <t>N [trees]</t>
  </si>
  <si>
    <t>8×8 m spacing</t>
  </si>
  <si>
    <t>Water demand per tree</t>
  </si>
  <si>
    <t>Wₜ [L/day]</t>
  </si>
  <si>
    <t>Mature mango tree</t>
  </si>
  <si>
    <t>Total water demand</t>
  </si>
  <si>
    <t>[m³/day]</t>
  </si>
  <si>
    <t>200 × 100 / 1000</t>
  </si>
  <si>
    <t>Irrigation hours/day</t>
  </si>
  <si>
    <t>t [h/day]</t>
  </si>
  <si>
    <t>Daily irrigation duration</t>
  </si>
  <si>
    <t>Flow rate</t>
  </si>
  <si>
    <t>Q [m³/h]</t>
  </si>
  <si>
    <t>20 ÷ 5</t>
  </si>
  <si>
    <t>Hydraulic power</t>
  </si>
  <si>
    <t>Pₕ [kW]</t>
  </si>
  <si>
    <t>0.378</t>
  </si>
  <si>
    <t>(ρ × g × Q × H)/3.6×10⁶</t>
  </si>
  <si>
    <t>Electric power</t>
  </si>
  <si>
    <t>Pₑ [kW]</t>
  </si>
  <si>
    <t>0.44</t>
  </si>
  <si>
    <t>Considering 85% efficiency</t>
  </si>
  <si>
    <t>PV size</t>
  </si>
  <si>
    <t>[kWp]</t>
  </si>
  <si>
    <t>0.52</t>
  </si>
  <si>
    <t>For 1 kW pump use</t>
  </si>
  <si>
    <t>PV panels</t>
  </si>
  <si>
    <t>[units]</t>
  </si>
  <si>
    <t>400 Wp each</t>
  </si>
  <si>
    <t>Tank capacity</t>
  </si>
  <si>
    <t>[m³]</t>
  </si>
  <si>
    <t>1.5-day storage buffer</t>
  </si>
  <si>
    <t>Total investment cost</t>
  </si>
  <si>
    <t>[€]</t>
  </si>
  <si>
    <t>CAPEX (equipment only)</t>
  </si>
  <si>
    <t>[years]</t>
  </si>
  <si>
    <t>7.2</t>
  </si>
  <si>
    <t>Annual savings</t>
  </si>
  <si>
    <t>Water &amp; fuel cost savings</t>
  </si>
  <si>
    <t>Project lifetime</t>
  </si>
  <si>
    <t>PV and system lifespan</t>
  </si>
  <si>
    <t>Calculation with 2 hectares scenarios</t>
  </si>
  <si>
    <t>Scenarios</t>
  </si>
  <si>
    <t>Area (ha)</t>
  </si>
  <si>
    <t>Trees</t>
  </si>
  <si>
    <t>Water demand (m³ /day)</t>
  </si>
  <si>
    <t>Water demand (m³/ week)</t>
  </si>
  <si>
    <t>Flow Q (m³/h)</t>
  </si>
  <si>
    <t>Flow Q (L/min)</t>
  </si>
  <si>
    <t>Hydraulic power P_h (kW)</t>
  </si>
  <si>
    <t>Electric power P_e (kW)</t>
  </si>
  <si>
    <t>Pump required (kWh)</t>
  </si>
  <si>
    <t>PV size (kWp)</t>
  </si>
  <si>
    <t>PV Panels (400 Wp)</t>
  </si>
  <si>
    <t>Investment Cost</t>
  </si>
  <si>
    <t>2 hectares</t>
  </si>
  <si>
    <t>Definitions</t>
  </si>
  <si>
    <t>Input parameters and definitions</t>
  </si>
  <si>
    <t>Cost calculations</t>
  </si>
  <si>
    <t>Irrigation strategy</t>
  </si>
  <si>
    <t>Term / Abbreviation</t>
  </si>
  <si>
    <t>Definition</t>
  </si>
  <si>
    <t>Parameter</t>
  </si>
  <si>
    <t>Symbol</t>
  </si>
  <si>
    <t>Unit</t>
  </si>
  <si>
    <t>Material</t>
  </si>
  <si>
    <t>Quantity</t>
  </si>
  <si>
    <t>Unit cost (€)</t>
  </si>
  <si>
    <t>Total cost (€)</t>
  </si>
  <si>
    <t xml:space="preserve">Unit </t>
  </si>
  <si>
    <t>Comment</t>
  </si>
  <si>
    <t>Frequency</t>
  </si>
  <si>
    <t>Dose per tree per event (L)</t>
  </si>
  <si>
    <t>Total per event (m3)</t>
  </si>
  <si>
    <t>Pump runtime per event</t>
  </si>
  <si>
    <t>Pump runtime per day</t>
  </si>
  <si>
    <t>Tank sufficiency</t>
  </si>
  <si>
    <t>Area [ha]</t>
  </si>
  <si>
    <t>Cultivated surface area in hectares</t>
  </si>
  <si>
    <t>A</t>
  </si>
  <si>
    <t>ha</t>
  </si>
  <si>
    <t>Total cultivated area</t>
  </si>
  <si>
    <t>Tank (30 m³)</t>
  </si>
  <si>
    <t>unit</t>
  </si>
  <si>
    <t>Annual water cost saved</t>
  </si>
  <si>
    <t>€/year</t>
  </si>
  <si>
    <t>Estimated savings vs. manual irrigation labor and diesel pump use</t>
  </si>
  <si>
    <t>daily</t>
  </si>
  <si>
    <t>Number of mango trees</t>
  </si>
  <si>
    <t>S</t>
  </si>
  <si>
    <t>m x m</t>
  </si>
  <si>
    <t>8 x 8</t>
  </si>
  <si>
    <t>Distance between mango trees</t>
  </si>
  <si>
    <t>Drip irrigation</t>
  </si>
  <si>
    <t>m</t>
  </si>
  <si>
    <t>Investment cost</t>
  </si>
  <si>
    <t>€</t>
  </si>
  <si>
    <t>Total CAPEX (equipment only)</t>
  </si>
  <si>
    <t>every 2 days</t>
  </si>
  <si>
    <t>Water demand [m³/d]</t>
  </si>
  <si>
    <t>Required irrigation water per day in cubic meters</t>
  </si>
  <si>
    <t>N</t>
  </si>
  <si>
    <t>tree</t>
  </si>
  <si>
    <t>Based on 8×8 m spacing (2 ha → 200 trees)</t>
  </si>
  <si>
    <t>PV panels (400 Wp, JinkoSolar / Trina)</t>
  </si>
  <si>
    <t xml:space="preserve">Annual maintenance </t>
  </si>
  <si>
    <t>Estimated cost for cleaning filters, IoT subscription, small replacements</t>
  </si>
  <si>
    <t>every 5 days</t>
  </si>
  <si>
    <t>Flow rate in cubic meters per hour</t>
  </si>
  <si>
    <t>Wt</t>
  </si>
  <si>
    <t>L/day</t>
  </si>
  <si>
    <t>Estimated for mature mango trees in dry season</t>
  </si>
  <si>
    <t>Pump (1 kW DC solar pump)</t>
  </si>
  <si>
    <t>Years</t>
  </si>
  <si>
    <t>This is acceptable for rural solar investment. It means that the farmer will get the investment money back in 7.2 years</t>
  </si>
  <si>
    <t>Q [L/min]</t>
  </si>
  <si>
    <t>Flow rate in liters per minute</t>
  </si>
  <si>
    <t>Conversion factor</t>
  </si>
  <si>
    <t>-</t>
  </si>
  <si>
    <t>Liters to cubic meters</t>
  </si>
  <si>
    <t>Filtration + MPPT</t>
  </si>
  <si>
    <t>set</t>
  </si>
  <si>
    <t>Annuak net saving</t>
  </si>
  <si>
    <t>P_h [kW]</t>
  </si>
  <si>
    <t>Hydraulic pump power</t>
  </si>
  <si>
    <t>t</t>
  </si>
  <si>
    <t>h/day</t>
  </si>
  <si>
    <t>Smart add-ons</t>
  </si>
  <si>
    <t>years</t>
  </si>
  <si>
    <t>P_e [kW]</t>
  </si>
  <si>
    <t>Electric pump power required</t>
  </si>
  <si>
    <t>System efficiency</t>
  </si>
  <si>
    <t>η</t>
  </si>
  <si>
    <t>%</t>
  </si>
  <si>
    <t>Includes hydraulic &amp; electrical losses</t>
  </si>
  <si>
    <t>TOTAL</t>
  </si>
  <si>
    <t>_</t>
  </si>
  <si>
    <t>Pump replacement</t>
  </si>
  <si>
    <t>PV [kWp]</t>
  </si>
  <si>
    <t>Photovoltaic power peak required</t>
  </si>
  <si>
    <t>Pump head</t>
  </si>
  <si>
    <t>H</t>
  </si>
  <si>
    <t>Static + dynamic head estimation</t>
  </si>
  <si>
    <t>MPPT/Controller replacement</t>
  </si>
  <si>
    <t>MPPT</t>
  </si>
  <si>
    <t>Maximum Power Point Tracking (PV controller technology)</t>
  </si>
  <si>
    <t>m³</t>
  </si>
  <si>
    <t>Storage for 1.5-day buffer (30 m³ for 2-ha orchard)</t>
  </si>
  <si>
    <t>Smart add-on replacement</t>
  </si>
  <si>
    <t>IoT devices, sensors, controllers, and communication modules for smart irrigation management (e.g., soil moisture sensors, flow meters, GSM/Wi-Fi monitoring, automated scheduling)</t>
  </si>
  <si>
    <t>Water density</t>
  </si>
  <si>
    <t>ρ</t>
  </si>
  <si>
    <t>kg/m³</t>
  </si>
  <si>
    <t>Density of water</t>
  </si>
  <si>
    <t>Total replacement cost</t>
  </si>
  <si>
    <t>Gravity</t>
  </si>
  <si>
    <t>g</t>
  </si>
  <si>
    <t>m/s²</t>
  </si>
  <si>
    <t>Acceleration due to gravity</t>
  </si>
  <si>
    <t>Total saving over 25 years of the project</t>
  </si>
  <si>
    <t>Q</t>
  </si>
  <si>
    <t>m³/h</t>
  </si>
  <si>
    <t>Hourly discharge to meet water demand</t>
  </si>
  <si>
    <t>Total project cost</t>
  </si>
  <si>
    <r>
      <rPr>
        <sz val="36"/>
        <color rgb="FF186C24"/>
        <rFont val="Aptos Narrow"/>
        <scheme val="minor"/>
      </rPr>
      <t xml:space="preserve"> </t>
    </r>
    <r>
      <rPr>
        <b/>
        <sz val="36"/>
        <color rgb="FF186C24"/>
        <rFont val="Times New Roman"/>
      </rPr>
      <t>2-Hectare Mango Farm Weekly Financial Projection (EUR)</t>
    </r>
  </si>
  <si>
    <t>Financial and technical plan - Ball mill + biogas (12 months)</t>
  </si>
  <si>
    <t>Month</t>
  </si>
  <si>
    <t>Processed mangoes (kg) |</t>
  </si>
  <si>
    <t xml:space="preserve"> Waste generated (kg)</t>
  </si>
  <si>
    <t>Biogas produced (m³)</t>
  </si>
  <si>
    <t>Available energy (kWh)</t>
  </si>
  <si>
    <t>Monthly cost (Euro)</t>
  </si>
  <si>
    <t>Dried mango income (Euro)</t>
  </si>
  <si>
    <t>Compost income (Euro)</t>
  </si>
  <si>
    <t>Net profit (Euro) |</t>
  </si>
  <si>
    <t>Assumptions used</t>
  </si>
  <si>
    <t>Benefits of the project</t>
  </si>
  <si>
    <t>274.41</t>
  </si>
  <si>
    <t>152.45</t>
  </si>
  <si>
    <t>564.06</t>
  </si>
  <si>
    <t>1 kg of mango waste</t>
  </si>
  <si>
    <t xml:space="preserve"> 0.043 m³ of biogas</t>
  </si>
  <si>
    <t>1. Energy independence thanks to biogas</t>
  </si>
  <si>
    <t>Weekly Mango Input</t>
  </si>
  <si>
    <t>754.62</t>
  </si>
  <si>
    <t>167.69</t>
  </si>
  <si>
    <t>647.91</t>
  </si>
  <si>
    <t>1 m³ of biogas</t>
  </si>
  <si>
    <t xml:space="preserve"> 6 kWh</t>
  </si>
  <si>
    <t>2. Waste conversion into compost and energy</t>
  </si>
  <si>
    <t>- Annual output: 44,000 kg [AN1] → 44,000 ÷ 12 ≈ 3,667 kg/month</t>
  </si>
  <si>
    <t>857.52</t>
  </si>
  <si>
    <t>190.56</t>
  </si>
  <si>
    <t>773.67</t>
  </si>
  <si>
    <t xml:space="preserve">Fixed monthly cost </t>
  </si>
  <si>
    <t>274.41 Euro (labor, maintenance, packaging)</t>
  </si>
  <si>
    <t>3. Reduction in fossil fuel costs</t>
  </si>
  <si>
    <t>- Weekly output: 3,667 ÷ 4 ≈ 917 kg/week</t>
  </si>
  <si>
    <t>926.12</t>
  </si>
  <si>
    <t>205.81</t>
  </si>
  <si>
    <t xml:space="preserve">Selling price of dried mangoes </t>
  </si>
  <si>
    <t xml:space="preserve"> 1 Euro/kg</t>
  </si>
  <si>
    <t>4. Potential for carbon credits or green subsidies</t>
  </si>
  <si>
    <t xml:space="preserve"> Processing Yields</t>
  </si>
  <si>
    <t>1029.03</t>
  </si>
  <si>
    <t>228.67</t>
  </si>
  <si>
    <t>983.29</t>
  </si>
  <si>
    <t xml:space="preserve">Compost selling price </t>
  </si>
  <si>
    <t xml:space="preserve"> 0.5 Euro/kg</t>
  </si>
  <si>
    <t>5. Creation of local jobs and strengthening of the agricultural value chain</t>
  </si>
  <si>
    <t>- Dried mango: 25% of fresh → 917 × 0.25 ≈ 229 kg/week</t>
  </si>
  <si>
    <t>1097.63</t>
  </si>
  <si>
    <t>243.92</t>
  </si>
  <si>
    <t>1067.14</t>
  </si>
  <si>
    <t>No additional energy costs thanks to biogas.</t>
  </si>
  <si>
    <t>- Mango powder: 50% of dried → 229 × 0.5 ≈ 114.5 kg/week</t>
  </si>
  <si>
    <t>960.42</t>
  </si>
  <si>
    <t>213.43</t>
  </si>
  <si>
    <t>899.44</t>
  </si>
  <si>
    <t>- Waste (peels + seeds): 917 – 229 ≈ 688 kg/week → can be used for biogas or compost</t>
  </si>
  <si>
    <t>891.82</t>
  </si>
  <si>
    <t>198.18</t>
  </si>
  <si>
    <t>815.6</t>
  </si>
  <si>
    <t>Technical parameters of the ball mill</t>
  </si>
  <si>
    <t xml:space="preserve"> Processing Machine Capacity Needed</t>
  </si>
  <si>
    <t>823.22</t>
  </si>
  <si>
    <t>182.94</t>
  </si>
  <si>
    <t>731.75</t>
  </si>
  <si>
    <t xml:space="preserve">Element                     </t>
  </si>
  <si>
    <t xml:space="preserve"> Value               </t>
  </si>
  <si>
    <t xml:space="preserve">    Unity     </t>
  </si>
  <si>
    <t>Comments</t>
  </si>
  <si>
    <t>Machine Type</t>
  </si>
  <si>
    <t>Capacity Needed</t>
  </si>
  <si>
    <t>Notes</t>
  </si>
  <si>
    <t>647.9</t>
  </si>
  <si>
    <t xml:space="preserve"> Engine power       </t>
  </si>
  <si>
    <t xml:space="preserve">   kW            </t>
  </si>
  <si>
    <t xml:space="preserve">Suitable for a 2-hectare farm </t>
  </si>
  <si>
    <t>Washing &amp; Peeling</t>
  </si>
  <si>
    <t>Manual/Mechanical Peeler</t>
  </si>
  <si>
    <t>200–300 kg/hour</t>
  </si>
  <si>
    <t>1–2 hours/week sufficient</t>
  </si>
  <si>
    <t xml:space="preserve">Operating time </t>
  </si>
  <si>
    <t xml:space="preserve">  h/day        </t>
  </si>
  <si>
    <t xml:space="preserve"> Daily average</t>
  </si>
  <si>
    <t>Slicing &amp; Drying</t>
  </si>
  <si>
    <t>Electric/Solar Dehydrator</t>
  </si>
  <si>
    <t>50 kg/batch → 5 batches/week</t>
  </si>
  <si>
    <t>Matches 229 kg/week dried mango output</t>
  </si>
  <si>
    <t>617.42</t>
  </si>
  <si>
    <t>137.2</t>
  </si>
  <si>
    <t>480.21</t>
  </si>
  <si>
    <t xml:space="preserve">  Monthly consumption</t>
  </si>
  <si>
    <t xml:space="preserve"> kWh/month </t>
  </si>
  <si>
    <t xml:space="preserve">      3 kW × 5 h × 30 days     </t>
  </si>
  <si>
    <t>Milling to Powder</t>
  </si>
  <si>
    <t>Hammer/Ball Mill</t>
  </si>
  <si>
    <t>50 kg/hour → ~2.5 hours/week</t>
  </si>
  <si>
    <t>Efficient for 114.5 kg powder/week</t>
  </si>
  <si>
    <t xml:space="preserve">Energy required in biogas </t>
  </si>
  <si>
    <t xml:space="preserve"> m³/month    </t>
  </si>
  <si>
    <t xml:space="preserve"> 1 m³ ≈ 6 kWh  </t>
  </si>
  <si>
    <t>Weekly Revenue (EUR)</t>
  </si>
  <si>
    <t>Biogas production</t>
  </si>
  <si>
    <t>Features of the ball mill</t>
  </si>
  <si>
    <t>- Dried mango: €7.44/kg → 229 × 7.44 ≈ €1,702</t>
  </si>
  <si>
    <t>Source of waste</t>
  </si>
  <si>
    <t>Quantity (kg/month)</t>
  </si>
  <si>
    <t>Biogas produced (m³/month)</t>
  </si>
  <si>
    <t>Compost produced (kg/month)</t>
  </si>
  <si>
    <t>Estimated value</t>
  </si>
  <si>
    <t>Unity</t>
  </si>
  <si>
    <t xml:space="preserve">  List of acronyms from the waste of biogas sheet </t>
  </si>
  <si>
    <t>- Mango powder: €13.95/kg → 114.5 × 13.95 ≈ €1,596</t>
  </si>
  <si>
    <t>Mango waste</t>
  </si>
  <si>
    <t>1,400 to 2,500</t>
  </si>
  <si>
    <t>60 to 150</t>
  </si>
  <si>
    <t>400 to 750</t>
  </si>
  <si>
    <t>Type of shredder</t>
  </si>
  <si>
    <t>With cannonballs (small model)</t>
  </si>
  <si>
    <t>—</t>
  </si>
  <si>
    <t>Suitable for small-scale farming</t>
  </si>
  <si>
    <t xml:space="preserve"> Acronyms</t>
  </si>
  <si>
    <t xml:space="preserve"> Meaning</t>
  </si>
  <si>
    <t>- Biogas (waste 688 kg × €0.465/kg) ≈ €320</t>
  </si>
  <si>
    <t>Motor power</t>
  </si>
  <si>
    <t>3 to 5</t>
  </si>
  <si>
    <t>kW</t>
  </si>
  <si>
    <t>Electric motor and biogas</t>
  </si>
  <si>
    <t xml:space="preserve"> m³</t>
  </si>
  <si>
    <t xml:space="preserve"> Cubic meter</t>
  </si>
  <si>
    <t>- Compost (waste 688 kg × €0.279/kg) ≈ €192</t>
  </si>
  <si>
    <t>Grinding capacity</t>
  </si>
  <si>
    <t>200 to 300</t>
  </si>
  <si>
    <t>kg/h</t>
  </si>
  <si>
    <t>Fresh or pre-treated mangoes</t>
  </si>
  <si>
    <t xml:space="preserve"> kW</t>
  </si>
  <si>
    <t xml:space="preserve"> Kilowatt</t>
  </si>
  <si>
    <t xml:space="preserve"> Total weekly revenue: €3,810/week</t>
  </si>
  <si>
    <t xml:space="preserve">Monthly economic model </t>
  </si>
  <si>
    <t>Operating time</t>
  </si>
  <si>
    <t>4 to 6</t>
  </si>
  <si>
    <t>Daily average</t>
  </si>
  <si>
    <t xml:space="preserve"> Kilogram per hour</t>
  </si>
  <si>
    <t>Position</t>
  </si>
  <si>
    <t>Estimated value (Euro/month)</t>
  </si>
  <si>
    <t>Energy consumption</t>
  </si>
  <si>
    <t>360 to 900</t>
  </si>
  <si>
    <t>kWh/month</t>
  </si>
  <si>
    <t>Depending on use</t>
  </si>
  <si>
    <t xml:space="preserve"> h/day </t>
  </si>
  <si>
    <t xml:space="preserve"> Hour per day</t>
  </si>
  <si>
    <t>Weekly Costs (EUR)</t>
  </si>
  <si>
    <t>Operating cost</t>
  </si>
  <si>
    <t xml:space="preserve"> 274.41</t>
  </si>
  <si>
    <t>Biogas requirement</t>
  </si>
  <si>
    <t>m³/month</t>
  </si>
  <si>
    <t>1 m³ ≈ 6 kWh</t>
  </si>
  <si>
    <t xml:space="preserve"> kWh</t>
  </si>
  <si>
    <t xml:space="preserve"> Kilowatt hour</t>
  </si>
  <si>
    <t>- Raw mango: 917 kg × €1.86/kg ≈ €1,706</t>
  </si>
  <si>
    <t>Dried mango revenue</t>
  </si>
  <si>
    <t>686 to 1097.63</t>
  </si>
  <si>
    <t xml:space="preserve"> kg/month</t>
  </si>
  <si>
    <t xml:space="preserve"> Kilogram per month</t>
  </si>
  <si>
    <t>- Labor: 2 workers × €23/week ≈ €46</t>
  </si>
  <si>
    <t>Compost income</t>
  </si>
  <si>
    <t>152.45 to 243.92</t>
  </si>
  <si>
    <t xml:space="preserve"> m³/month</t>
  </si>
  <si>
    <t xml:space="preserve"> Cubic meter per month </t>
  </si>
  <si>
    <t>- Energy &amp; maintenance: €46/week</t>
  </si>
  <si>
    <t>Net profit</t>
  </si>
  <si>
    <t>564.06 to 1067.14</t>
  </si>
  <si>
    <t xml:space="preserve"> Kilowatt hour per month</t>
  </si>
  <si>
    <t>- Packaging: €0.465/kg × (229 + 114.5) ≈ €159</t>
  </si>
  <si>
    <t>kg</t>
  </si>
  <si>
    <t>Kilogram</t>
  </si>
  <si>
    <r>
      <rPr>
        <sz val="18"/>
        <color rgb="FF000000"/>
        <rFont val="Aptos Narrow"/>
        <scheme val="minor"/>
      </rPr>
      <t xml:space="preserve"> </t>
    </r>
    <r>
      <rPr>
        <b/>
        <sz val="18"/>
        <color rgb="FFC00000"/>
        <rFont val="Aptos Narrow"/>
        <scheme val="minor"/>
      </rPr>
      <t>Total weekly cost: €1,957/week</t>
    </r>
  </si>
  <si>
    <t xml:space="preserve"> Weekly Profit &amp; Margin</t>
  </si>
  <si>
    <t>- Profit/week: 3,810 – 1,957 ≈ €1,853/week</t>
  </si>
  <si>
    <t>- Profit margin: 1,853 ÷ 3,810 ≈ 48.6%</t>
  </si>
  <si>
    <t>ROI Estimation</t>
  </si>
  <si>
    <t>- Initial investment (machines, setup): €9,300</t>
  </si>
  <si>
    <t>- Weekly profit: €1,853</t>
  </si>
  <si>
    <t>- Weeks to ROI: 9,300 ÷ 1,853 ≈ 5 weeks (~1.25 months)</t>
  </si>
  <si>
    <t xml:space="preserve"> Very fast ROI for small-scale setup!</t>
  </si>
  <si>
    <t>Summary Table (Weekly)</t>
  </si>
  <si>
    <t>Fresh mango/week</t>
  </si>
  <si>
    <t>917 kg</t>
  </si>
  <si>
    <t>Dried mango/week</t>
  </si>
  <si>
    <t>229 kg</t>
  </si>
  <si>
    <t>Mango powder/week</t>
  </si>
  <si>
    <t>114.5 kg</t>
  </si>
  <si>
    <t>Waste/week</t>
  </si>
  <si>
    <t>688 kg</t>
  </si>
  <si>
    <t>Revenue/week</t>
  </si>
  <si>
    <t>Costs/week</t>
  </si>
  <si>
    <t>Profit/week</t>
  </si>
  <si>
    <t>Initial investment</t>
  </si>
  <si>
    <t>ROI</t>
  </si>
  <si>
    <t>~5 weeks</t>
  </si>
  <si>
    <t> </t>
  </si>
  <si>
    <t>Notes / Adjustments:</t>
  </si>
  <si>
    <t>1. Solar drying may take longer; multiple batches may be needed.</t>
  </si>
  <si>
    <t>2. Biogas and compost add extra revenue (~€512/week).</t>
  </si>
  <si>
    <t>3. Scaling production (more mangoes) linearly increases revenue &amp; profit.</t>
  </si>
  <si>
    <t>4. Export prices may be higher → increases total revenue.</t>
  </si>
  <si>
    <t>Smart dryer financial planning (10 Years)</t>
  </si>
  <si>
    <t>equivalence between euro and FCFA (xof): 1€ = ... FCFA</t>
  </si>
  <si>
    <r>
      <t>Our mango drying investment pays for itself in less than a year and generates between </t>
    </r>
    <r>
      <rPr>
        <b/>
        <sz val="11"/>
        <color rgb="FF000000"/>
        <rFont val="Aptos Narrow"/>
        <family val="2"/>
        <scheme val="minor"/>
      </rPr>
      <t>5 and 8% annual ROI</t>
    </r>
    <r>
      <rPr>
        <sz val="13.5"/>
        <color rgb="FF000000"/>
        <rFont val="Aptos Narrow"/>
        <family val="2"/>
        <scheme val="minor"/>
      </rPr>
      <t>, depending on the farm size.</t>
    </r>
  </si>
  <si>
    <t>1 million FCFA (xof) = ...€</t>
  </si>
  <si>
    <t>Data are based on an average farmed area of 7.93ha</t>
  </si>
  <si>
    <t>Parameters (final output)</t>
  </si>
  <si>
    <t>Variables</t>
  </si>
  <si>
    <t>Modalities</t>
  </si>
  <si>
    <t>Frequencies (%)</t>
  </si>
  <si>
    <t>Source</t>
  </si>
  <si>
    <t>Unit / Note</t>
  </si>
  <si>
    <t>Value (€)</t>
  </si>
  <si>
    <t>Drying units</t>
  </si>
  <si>
    <t>Producers</t>
  </si>
  <si>
    <t>Yield per ha</t>
  </si>
  <si>
    <t>kg/ha/an</t>
  </si>
  <si>
    <t>Link - researchgate</t>
  </si>
  <si>
    <t>Sex</t>
  </si>
  <si>
    <t>Man</t>
  </si>
  <si>
    <t>BOBO-DIOULASSO AND ORODARA AREAS  ASSESSMENT (BURKINA FASO)</t>
  </si>
  <si>
    <t>Recovery rate</t>
  </si>
  <si>
    <t>Rate (80%)</t>
  </si>
  <si>
    <t>Women</t>
  </si>
  <si>
    <t>Transformation ratio (fresh to dry)</t>
  </si>
  <si>
    <t>kg fresh -&gt; 0,4 kg dried</t>
  </si>
  <si>
    <t>Link from cbi.eu</t>
  </si>
  <si>
    <t>Age</t>
  </si>
  <si>
    <t>] 20 ; 29[</t>
  </si>
  <si>
    <t>Cost of a fresh mango</t>
  </si>
  <si>
    <t>FCFA/kg</t>
  </si>
  <si>
    <t>0.23</t>
  </si>
  <si>
    <t>] 30 ; 39[</t>
  </si>
  <si>
    <t>8, 33</t>
  </si>
  <si>
    <t xml:space="preserve">Export price (dried) </t>
  </si>
  <si>
    <t>FCFA/kg dried</t>
  </si>
  <si>
    <t>Link - gebana.com</t>
  </si>
  <si>
    <t>] 40 ; 49[</t>
  </si>
  <si>
    <t>Capacity per cycle (dryer)</t>
  </si>
  <si>
    <t>kg fresh/cycle</t>
  </si>
  <si>
    <t>Link - thaiscience.info</t>
  </si>
  <si>
    <t>] 50 ; 59[</t>
  </si>
  <si>
    <t>Campaign duration</t>
  </si>
  <si>
    <t>days (4 months)</t>
  </si>
  <si>
    <t>Link -eservices.colead</t>
  </si>
  <si>
    <t>&gt; 60</t>
  </si>
  <si>
    <t>Max cycles per dryer (4 months)</t>
  </si>
  <si>
    <t>cycles</t>
  </si>
  <si>
    <t>Education level</t>
  </si>
  <si>
    <t>Illiterate</t>
  </si>
  <si>
    <t>41.18</t>
  </si>
  <si>
    <t>Unit cost per dryer</t>
  </si>
  <si>
    <t>FCFA</t>
  </si>
  <si>
    <t>Literate</t>
  </si>
  <si>
    <t>11.76</t>
  </si>
  <si>
    <t>Unit cost (1ha)</t>
  </si>
  <si>
    <t>Link - pseau.org</t>
  </si>
  <si>
    <t>Primary</t>
  </si>
  <si>
    <t>35.29</t>
  </si>
  <si>
    <t>Unit cost (3ha)</t>
  </si>
  <si>
    <t>Secondary</t>
  </si>
  <si>
    <t>83.33</t>
  </si>
  <si>
    <t>Unit cost (30ha)</t>
  </si>
  <si>
    <t>Superior</t>
  </si>
  <si>
    <t>12.5</t>
  </si>
  <si>
    <t>Unit cost (60ha)</t>
  </si>
  <si>
    <t>Experience in activity</t>
  </si>
  <si>
    <t>] 5 ; 10[</t>
  </si>
  <si>
    <t>87.78</t>
  </si>
  <si>
    <t>17.65</t>
  </si>
  <si>
    <t>] 10 ; 15[</t>
  </si>
  <si>
    <t>3.33</t>
  </si>
  <si>
    <t>29.41</t>
  </si>
  <si>
    <t>] 15 ; 20[</t>
  </si>
  <si>
    <t>5.56</t>
  </si>
  <si>
    <t>&gt; 20</t>
  </si>
  <si>
    <t>IOT</t>
  </si>
  <si>
    <t>add_fan_power_kW</t>
  </si>
  <si>
    <t>sensor_cost_per_dryer_FCFA</t>
  </si>
  <si>
    <t>gateway_cost_per_site_FCFA</t>
  </si>
  <si>
    <t>connectivity_monthly_per_dryer_FCFA</t>
  </si>
  <si>
    <t>cloud_subscription_annual_FCFA</t>
  </si>
  <si>
    <t>installation_cost_per_dryer_FCFA</t>
  </si>
  <si>
    <t>iot_capex_lifetime_years</t>
  </si>
  <si>
    <t xml:space="preserve">YEARLY COSTS WITH FORMULAS (FCFA or XOF) </t>
  </si>
  <si>
    <t>WEEKLY COSTS</t>
  </si>
  <si>
    <t>1ha detailed costs</t>
  </si>
  <si>
    <t>Scenario_ha</t>
  </si>
  <si>
    <t>Year</t>
  </si>
  <si>
    <t>Usable_fresh_kg</t>
  </si>
  <si>
    <t>Dried_kg</t>
  </si>
  <si>
    <t>Export_price_FCFA</t>
  </si>
  <si>
    <t>Unit_cost_FCFA_per_kg</t>
  </si>
  <si>
    <t>Cost_yearly_dried_mango_FCFA</t>
  </si>
  <si>
    <t>Cycles</t>
  </si>
  <si>
    <t>Energy_cost_FCFA</t>
  </si>
  <si>
    <t>Maintenance_FCFA</t>
  </si>
  <si>
    <t>Total_costs_all_FCFA</t>
  </si>
  <si>
    <t>Net_profit_FCFA</t>
  </si>
  <si>
    <t>Inventory_turnover_per_year</t>
  </si>
  <si>
    <t>Dryers_used</t>
  </si>
  <si>
    <t>Weekly_dried_avg_kg</t>
  </si>
  <si>
    <t>Weekly_revenue_avg_FCFA</t>
  </si>
  <si>
    <t>Weekly_prod_cost_avg_FCFA</t>
  </si>
  <si>
    <t>Weekly_energy_avg_FCFA</t>
  </si>
  <si>
    <t>Weekly_maintenance_avg_FCFA</t>
  </si>
  <si>
    <t>Weekly_profit_avg_FCFA</t>
  </si>
  <si>
    <t>Weekly_profit_avg_EUR</t>
  </si>
  <si>
    <t>3ha detailed costs</t>
  </si>
  <si>
    <t>Maintenance</t>
  </si>
  <si>
    <t>30ha detailed costs</t>
  </si>
  <si>
    <t>60ha detailed costs</t>
  </si>
  <si>
    <t>2ha detailed costs</t>
  </si>
  <si>
    <t xml:space="preserve">COSTS  (EURO) </t>
  </si>
  <si>
    <t>24391.84 €</t>
  </si>
  <si>
    <t>2.77 €</t>
  </si>
  <si>
    <t>2219.66 €</t>
  </si>
  <si>
    <t>167.69 €</t>
  </si>
  <si>
    <t>45.73 €</t>
  </si>
  <si>
    <t>26611.50 €</t>
  </si>
  <si>
    <t>2006.23 €</t>
  </si>
  <si>
    <t>48783.68 €</t>
  </si>
  <si>
    <t>4439.31 €</t>
  </si>
  <si>
    <t>137.20 €</t>
  </si>
  <si>
    <t>53222.99 €</t>
  </si>
  <si>
    <t>4256.38 €</t>
  </si>
  <si>
    <t>73175.52 €</t>
  </si>
  <si>
    <t>2.58 €</t>
  </si>
  <si>
    <t>6201.63 €</t>
  </si>
  <si>
    <t>365.88 €</t>
  </si>
  <si>
    <t>91.47 €</t>
  </si>
  <si>
    <t>79377.15 €</t>
  </si>
  <si>
    <t>5744.28 €</t>
  </si>
  <si>
    <t>731755.20 €</t>
  </si>
  <si>
    <t>2.06 €</t>
  </si>
  <si>
    <t>49393.48 €</t>
  </si>
  <si>
    <t>914.69 €</t>
  </si>
  <si>
    <t>457.35 €</t>
  </si>
  <si>
    <t>781148.68 €</t>
  </si>
  <si>
    <t>48021.44 €</t>
  </si>
  <si>
    <t>60ha detailed costs﻿</t>
  </si>
  <si>
    <t>1463510.40 €</t>
  </si>
  <si>
    <t>1.83 €</t>
  </si>
  <si>
    <t>87664.27 €</t>
  </si>
  <si>
    <t>1524.49 €</t>
  </si>
  <si>
    <t>1551174.67 €</t>
  </si>
  <si>
    <t>85225.09 €</t>
  </si>
  <si>
    <t>Small Farm 2 ha</t>
  </si>
  <si>
    <t>Metric</t>
  </si>
  <si>
    <t>Calculation / Notes</t>
  </si>
  <si>
    <t>Pump Load</t>
  </si>
  <si>
    <t>kw</t>
  </si>
  <si>
    <t>Pump Hours</t>
  </si>
  <si>
    <t>h</t>
  </si>
  <si>
    <t>Dryer Load</t>
  </si>
  <si>
    <t>Dryer Hours</t>
  </si>
  <si>
    <t>Misc. Load</t>
  </si>
  <si>
    <t>Misc. Hours</t>
  </si>
  <si>
    <t>Daily Energy</t>
  </si>
  <si>
    <t>kwh</t>
  </si>
  <si>
    <t>---</t>
  </si>
  <si>
    <t>PSH</t>
  </si>
  <si>
    <t>Tracker Gain</t>
  </si>
  <si>
    <t>User-provided assumption</t>
  </si>
  <si>
    <t>Effective PSH</t>
  </si>
  <si>
    <t>5.5 h * (1 + 0.20)</t>
  </si>
  <si>
    <t>System Derate</t>
  </si>
  <si>
    <t>Required PV (kWp)</t>
  </si>
  <si>
    <t>kwp</t>
  </si>
  <si>
    <t>Panel Wattage</t>
  </si>
  <si>
    <t>w</t>
  </si>
  <si>
    <t>Number of Panels</t>
  </si>
  <si>
    <t>19 panels</t>
  </si>
  <si>
    <t>Inverter Efficiency</t>
  </si>
  <si>
    <t>Battery DoD</t>
  </si>
  <si>
    <t>Required Battery (usable)</t>
  </si>
  <si>
    <t>Inverter Size</t>
  </si>
  <si>
    <t>costs???</t>
  </si>
  <si>
    <t>Scenario</t>
  </si>
  <si>
    <t>Daily Energy (kWh/day)</t>
  </si>
  <si>
    <t>Required PV Array (kWp)</t>
  </si>
  <si>
    <t>Number of 400 W Panels</t>
  </si>
  <si>
    <t>Required Battery (usable kWh)</t>
  </si>
  <si>
    <t>Inverter Size (kW, nominal)</t>
  </si>
  <si>
    <t>Small farm (≈2 ha)</t>
  </si>
  <si>
    <t>Calculation Summary</t>
  </si>
  <si>
    <t>Fixed-Tilt (Baseline)</t>
  </si>
  <si>
    <t>With Tracking</t>
  </si>
  <si>
    <t>37 kWh/day</t>
  </si>
  <si>
    <t>PV Power</t>
  </si>
  <si>
    <t>7.5 kWp</t>
  </si>
  <si>
    <t>6.0 kWp</t>
  </si>
  <si>
    <t>400W Panels</t>
  </si>
  <si>
    <t>Total System Cost</t>
  </si>
  <si>
    <t>ROI (Payback Period)</t>
  </si>
  <si>
    <t>32.4 years</t>
  </si>
  <si>
    <t>31.7 years</t>
  </si>
  <si>
    <t>Annual Savings</t>
  </si>
  <si>
    <t>€1,351/year</t>
  </si>
  <si>
    <t>WHY DO YOU NEED 37 kWh?</t>
  </si>
  <si>
    <t>Usage</t>
  </si>
  <si>
    <t>kWh/day</t>
  </si>
  <si>
    <t>% Total</t>
  </si>
  <si>
    <t>Explanation</t>
  </si>
  <si>
    <t>Irrigation</t>
  </si>
  <si>
    <t>17 kWh</t>
  </si>
  <si>
    <t>Efficient pumps, main daytime usage</t>
  </si>
  <si>
    <t>Ventilation/Greenhouses</t>
  </si>
  <si>
    <t>7 kWh</t>
  </si>
  <si>
    <t>Automated systems, climate control</t>
  </si>
  <si>
    <t>Storage/Cooling</t>
  </si>
  <si>
    <t>5 kWh</t>
  </si>
  <si>
    <t>Fridges for fresh produce</t>
  </si>
  <si>
    <t>Tools/Machinery</t>
  </si>
  <si>
    <t>4 kWh</t>
  </si>
  <si>
    <t>Partial electrification of equipment</t>
  </si>
  <si>
    <t>Electric Fences</t>
  </si>
  <si>
    <t>2 kWh</t>
  </si>
  <si>
    <t>Livestock/crop protection</t>
  </si>
  <si>
    <t>Management/Office</t>
  </si>
  <si>
    <t>Monitoring, office lighting</t>
  </si>
  <si>
    <t>37 kWh</t>
  </si>
  <si>
    <t>Optimized sustainable farm</t>
  </si>
  <si>
    <t>HOW BIG IS SOLAR PV SYSTEM? AT WHICH COST?</t>
  </si>
  <si>
    <r>
      <rPr>
        <b/>
        <sz val="16"/>
        <color rgb="FF000000"/>
        <rFont val="Aptos Narrow"/>
        <scheme val="minor"/>
      </rPr>
      <t xml:space="preserve">System Size:
</t>
    </r>
    <r>
      <rPr>
        <sz val="16"/>
        <color rgb="FF000000"/>
        <rFont val="Aptos Narrow"/>
        <scheme val="minor"/>
      </rPr>
      <t>Fixed-Tilt (Table Baseline): 7.5 kWp = 19 panels × 400W
With Tracking: 6.0 kWp = 15 panels × 400W(20% reduction thanks to 30% tracking yield gain)</t>
    </r>
  </si>
  <si>
    <t>Component</t>
  </si>
  <si>
    <t>Unit Price</t>
  </si>
  <si>
    <t>Fixed-Tilt</t>
  </si>
  <si>
    <t>Tracking</t>
  </si>
  <si>
    <t>Difference</t>
  </si>
  <si>
    <t>PV Panels</t>
  </si>
  <si>
    <t>1,200€/kWp</t>
  </si>
  <si>
    <t>Tracking Hardware</t>
  </si>
  <si>
    <t>500€/kWp</t>
  </si>
  <si>
    <t>Mounting/Installation</t>
  </si>
  <si>
    <t>Estimated total cost (unit not specified)</t>
  </si>
  <si>
    <t>Battery</t>
  </si>
  <si>
    <t>400€/kWh (×52 usable kWh)</t>
  </si>
  <si>
    <t>Inverter</t>
  </si>
  <si>
    <t>500€/kW (×6.3 kW nominal)</t>
  </si>
  <si>
    <t>Net Savings: €975 due to fewer panels despite tracking hardware cost.</t>
  </si>
  <si>
    <t>WHAT IS THE ROI?</t>
  </si>
  <si>
    <t>Excel Formula</t>
  </si>
  <si>
    <t>Annual Production</t>
  </si>
  <si>
    <t>13,505 kWh</t>
  </si>
  <si>
    <t>=37×365</t>
  </si>
  <si>
    <t>Electricity Rate</t>
  </si>
  <si>
    <t>0.10 €/kWh</t>
  </si>
  <si>
    <t>Agricultural rate</t>
  </si>
  <si>
    <t>=Production×Rate</t>
  </si>
  <si>
    <t>System Cost</t>
  </si>
  <si>
    <t>Ref. cost table</t>
  </si>
  <si>
    <t>=Cost/Savings</t>
  </si>
  <si>
    <t>Design of an Energy-Efficient Warehouse for Preserving Dried Mangoes Until Distribution</t>
  </si>
  <si>
    <t>Zone</t>
  </si>
  <si>
    <t>Purpose</t>
  </si>
  <si>
    <t>Length (m)</t>
  </si>
  <si>
    <t>Width (m)</t>
  </si>
  <si>
    <t>Area (m²)</t>
  </si>
  <si>
    <t>Target Temp (°C)</t>
  </si>
  <si>
    <t>Target RH (%)</t>
  </si>
  <si>
    <t>Energy-efficient tech</t>
  </si>
  <si>
    <t>Estimated CAPEX (€)</t>
  </si>
  <si>
    <t>Estimated OPEX/year (€)</t>
  </si>
  <si>
    <t>Approx. Cooling Load (kW)</t>
  </si>
  <si>
    <t>Receiving &amp; Inspection</t>
  </si>
  <si>
    <t>Unloading trucks, quality check, initial sorting</t>
  </si>
  <si>
    <t>20 to 25</t>
  </si>
  <si>
    <t>40-60</t>
  </si>
  <si>
    <t>Unloading table, scales, pallets</t>
  </si>
  <si>
    <t>LED lighting, motion sensors, natural daylighting</t>
  </si>
  <si>
    <t>Conditioning / Re-drying</t>
  </si>
  <si>
    <t>Optional re-drying or moisture equilibration</t>
  </si>
  <si>
    <t>40 to 60 (process)</t>
  </si>
  <si>
    <t>10-20 (process)</t>
  </si>
  <si>
    <t>Hot air oven, hygrometer</t>
  </si>
  <si>
    <t>Heat-recovery ventilator, insulated chamber, PID control</t>
  </si>
  <si>
    <t>6 (process heating)</t>
  </si>
  <si>
    <t>Bulk Dry Storage (racked)</t>
  </si>
  <si>
    <t>Main storage for dried mango in bulk or boxes</t>
  </si>
  <si>
    <t>15 to 20</t>
  </si>
  <si>
    <t>50-55</t>
  </si>
  <si>
    <t>Racks, fans, dehumidifier</t>
  </si>
  <si>
    <t>Insulated envelope, dehumidifier with hygrostats, HVAC with heat recovery, LED</t>
  </si>
  <si>
    <t>Packaging &amp; Sealing</t>
  </si>
  <si>
    <t>Weighing, packaging, vacuum/MAP sealing, labeling</t>
  </si>
  <si>
    <t>18 to 22</t>
  </si>
  <si>
    <t>50-60</t>
  </si>
  <si>
    <t>Tables, scales, MAP sealer, labeler</t>
  </si>
  <si>
    <t>Efficient packers, LED, schedule-based ventilation</t>
  </si>
  <si>
    <t>Cold Holding (optional)</t>
  </si>
  <si>
    <t>Short-term holding for packaged product before shipment</t>
  </si>
  <si>
    <t>10 to 15</t>
  </si>
  <si>
    <t>30-50</t>
  </si>
  <si>
    <t>Cold room, mobile racks</t>
  </si>
  <si>
    <t>High-efficiency compressor, door curtains, variable-speed drives</t>
  </si>
  <si>
    <t>Loading &amp; Dispatch</t>
  </si>
  <si>
    <t>Staging for outbound shipments</t>
  </si>
  <si>
    <t>Pallets, pallet jacks</t>
  </si>
  <si>
    <t>LED lighting, insulated loading doors</t>
  </si>
  <si>
    <t>Utilities &amp; Mechanical</t>
  </si>
  <si>
    <t>House HVAC, dehumidifiers, solar inverter, backup generator</t>
  </si>
  <si>
    <t>N/A</t>
  </si>
  <si>
    <t>Central HVAC, dehumidifier, inverter, generator</t>
  </si>
  <si>
    <t>Solar PV + battery, energy monitoring, VFD on fans</t>
  </si>
  <si>
    <t>Office &amp; QC Lab</t>
  </si>
  <si>
    <t>Admin, quality control testing, record keeping</t>
  </si>
  <si>
    <t>20 to 24</t>
  </si>
  <si>
    <t>Desks, PCs, microscopes, scales</t>
  </si>
  <si>
    <t>Efficient appliances, daylighting, timers</t>
  </si>
  <si>
    <t>Glossary / Abbreviations:</t>
  </si>
  <si>
    <r>
      <t>CAPEX</t>
    </r>
    <r>
      <rPr>
        <sz val="16"/>
        <color theme="1"/>
        <rFont val="Times New Roman"/>
      </rPr>
      <t xml:space="preserve"> = Capital Expenditure (investment in equipment &amp; infrastructure)</t>
    </r>
  </si>
  <si>
    <t>Estimated Totals:</t>
  </si>
  <si>
    <r>
      <t>OPEX</t>
    </r>
    <r>
      <rPr>
        <sz val="16"/>
        <color theme="1"/>
        <rFont val="Times New Roman"/>
      </rPr>
      <t xml:space="preserve"> = Operational Expenditure (annual operating costs)</t>
    </r>
  </si>
  <si>
    <r>
      <t>Total CAPEX</t>
    </r>
    <r>
      <rPr>
        <sz val="16"/>
        <color theme="1"/>
        <rFont val="Times New Roman"/>
      </rPr>
      <t xml:space="preserve"> ≈ €51,000</t>
    </r>
  </si>
  <si>
    <r>
      <t>MAP</t>
    </r>
    <r>
      <rPr>
        <sz val="16"/>
        <color theme="1"/>
        <rFont val="Times New Roman"/>
      </rPr>
      <t xml:space="preserve"> = Modified Atmosphere Packaging (technique to preserve food)</t>
    </r>
  </si>
  <si>
    <r>
      <t>Total annual OPEX</t>
    </r>
    <r>
      <rPr>
        <sz val="16"/>
        <color theme="1"/>
        <rFont val="Times New Roman"/>
      </rPr>
      <t xml:space="preserve"> ≈ €8,400</t>
    </r>
  </si>
  <si>
    <r>
      <t>kW</t>
    </r>
    <r>
      <rPr>
        <sz val="16"/>
        <color theme="1"/>
        <rFont val="Times New Roman"/>
      </rPr>
      <t xml:space="preserve"> = Kilowatt (unit of power / cooling load)</t>
    </r>
  </si>
  <si>
    <r>
      <t>N/A</t>
    </r>
    <r>
      <rPr>
        <sz val="16"/>
        <color theme="1"/>
        <rFont val="Times New Roman"/>
      </rPr>
      <t xml:space="preserve"> = Not Applicable</t>
    </r>
  </si>
  <si>
    <r>
      <rPr>
        <b/>
        <sz val="16"/>
        <color rgb="FF000000"/>
        <rFont val="Times New Roman"/>
      </rPr>
      <t xml:space="preserve">QC Lab = </t>
    </r>
    <r>
      <rPr>
        <sz val="16"/>
        <color rgb="FF000000"/>
        <rFont val="Times New Roman"/>
      </rPr>
      <t xml:space="preserve">Quality Control Laboratory </t>
    </r>
  </si>
  <si>
    <r>
      <rPr>
        <b/>
        <sz val="16"/>
        <color rgb="FF000000"/>
        <rFont val="Times New Roman"/>
      </rPr>
      <t>HVAC</t>
    </r>
    <r>
      <rPr>
        <sz val="16"/>
        <color rgb="FF000000"/>
        <rFont val="Times New Roman"/>
      </rPr>
      <t xml:space="preserve"> = Heating, Ventilation, and Air Conditioning</t>
    </r>
  </si>
  <si>
    <r>
      <t>RH</t>
    </r>
    <r>
      <rPr>
        <sz val="16"/>
        <color theme="1"/>
        <rFont val="Times New Roman"/>
      </rPr>
      <t xml:space="preserve"> = Relative Humidity (humidity % to maintain product quality)</t>
    </r>
  </si>
  <si>
    <t>Importance of Moore → German Voice Translation in the Dried Mango Trade</t>
  </si>
  <si>
    <t>Indicator</t>
  </si>
  <si>
    <t>Without Voice Translation App (per year)</t>
  </si>
  <si>
    <t>With Voice Translation App (per year)</t>
  </si>
  <si>
    <t>Gain due to No-Reesa App</t>
  </si>
  <si>
    <t>Impact (%)</t>
  </si>
  <si>
    <t>Number of international buyers reached</t>
  </si>
  <si>
    <t>Total sales (million XOF)</t>
  </si>
  <si>
    <t>8.5</t>
  </si>
  <si>
    <t xml:space="preserve">                                               15.2</t>
  </si>
  <si>
    <t xml:space="preserve">               +6.7</t>
  </si>
  <si>
    <t xml:space="preserve">           78.8%</t>
  </si>
  <si>
    <t>Amount spent on interpreters (million XOF)</t>
  </si>
  <si>
    <t>2.1</t>
  </si>
  <si>
    <t xml:space="preserve">               +2.1</t>
  </si>
  <si>
    <t>Export success rate</t>
  </si>
  <si>
    <t xml:space="preserve">            54.5%</t>
  </si>
  <si>
    <t>Customer satisfaction rate</t>
  </si>
  <si>
    <t xml:space="preserve">            53.3%</t>
  </si>
  <si>
    <t>Average delivery agreements per month</t>
  </si>
  <si>
    <t>BUSINESS MODEL CANVAS</t>
  </si>
  <si>
    <t>Key Partners</t>
  </si>
  <si>
    <t>Key Activities</t>
  </si>
  <si>
    <t>Value Propositions</t>
  </si>
  <si>
    <t>Customer Relationships</t>
  </si>
  <si>
    <t>Customer Segments</t>
  </si>
  <si>
    <t>Moore language experts</t>
  </si>
  <si>
    <t>Data Collection &amp; Labeling for Moore Language</t>
  </si>
  <si>
    <t>Unleash Language Barriers between Moore speakers and German speakers</t>
  </si>
  <si>
    <t>Social Media &amp; Community Engagement</t>
  </si>
  <si>
    <t>Farm managers</t>
  </si>
  <si>
    <t>AI/ML Developers &amp; Engineers</t>
  </si>
  <si>
    <t xml:space="preserve">AI Model Training &amp; Optimization </t>
  </si>
  <si>
    <t>Travelers &amp; Tourists</t>
  </si>
  <si>
    <t>Universities &amp; Research Institutions</t>
  </si>
  <si>
    <t>Mobile App Development &amp; Maintenance (Flutter, FastAPI)</t>
  </si>
  <si>
    <t>Government &amp; NGOs</t>
  </si>
  <si>
    <t>Cloud Service Providers (e.g., Google Cloud, AWS, or Azure)</t>
  </si>
  <si>
    <t>Marketing &amp; Partnership Building</t>
  </si>
  <si>
    <t>Real-time Voice Translation for quick communication</t>
  </si>
  <si>
    <t>Customer Support &amp; Feedback Collection</t>
  </si>
  <si>
    <t>Key Resources</t>
  </si>
  <si>
    <t>Time &amp; Cost Saving For Farmers and their visitors</t>
  </si>
  <si>
    <t>Channels</t>
  </si>
  <si>
    <t>Trained AI Model &amp; Voice Data</t>
  </si>
  <si>
    <t>Mobile App (Google Play Store, Apple App Store)</t>
  </si>
  <si>
    <t>Mobile App (Flutter) &amp; Backend API (FastAPI)</t>
  </si>
  <si>
    <t>Cloud Infrastructure (for hosting &amp; processing)</t>
  </si>
  <si>
    <t>Social Media (Facebook, Twitter, LinkedIn)</t>
  </si>
  <si>
    <t>Technical Team (AI Engineers, Developers, Linguists)</t>
  </si>
  <si>
    <t>Cost Structure</t>
  </si>
  <si>
    <t>Revenue Streams</t>
  </si>
  <si>
    <t>AI Model Development &amp; Training</t>
  </si>
  <si>
    <t>Freemium Model (Basic free version, premium features via subscription)</t>
  </si>
  <si>
    <t>Mobile App &amp; Backend Server Maintenance</t>
  </si>
  <si>
    <t>B2B Partnerships (Businesses</t>
  </si>
  <si>
    <t>Cloud Storage &amp; API Hosting Costs</t>
  </si>
  <si>
    <t>Government &amp; NGO Grants (For language development projects)</t>
  </si>
  <si>
    <t>Team Salaries &amp; Consultants</t>
  </si>
  <si>
    <t>Project: Security system design for a 2-hectare mango drying farm.</t>
  </si>
  <si>
    <t>Scope: Perimeter fencing, surveillance cameras, access control, and monitoring system.</t>
  </si>
  <si>
    <t>Objective: Protect the farm from theft, improve workforce management, and ensure long-term security.</t>
  </si>
  <si>
    <t>Item / Description</t>
  </si>
  <si>
    <t>Unit Price (€)</t>
  </si>
  <si>
    <t>Total (€)</t>
  </si>
  <si>
    <t>Abbreviation / Term</t>
  </si>
  <si>
    <t xml:space="preserve">Perimeter fence </t>
  </si>
  <si>
    <t>meter (unit of length)</t>
  </si>
  <si>
    <t>Perimeter cameras</t>
  </si>
  <si>
    <t>Euro (currency used for costs)</t>
  </si>
  <si>
    <t>Facial recognition cameras</t>
  </si>
  <si>
    <t>Cameras</t>
  </si>
  <si>
    <t>Surveillance devices (perimeter / internal)</t>
  </si>
  <si>
    <t>Internal cameras</t>
  </si>
  <si>
    <t>Face Recognition</t>
  </si>
  <si>
    <t>Camera equipped with facial detection system</t>
  </si>
  <si>
    <t>Access control system (gates)</t>
  </si>
  <si>
    <t>Gates</t>
  </si>
  <si>
    <t>Access control system (gate/entry point)</t>
  </si>
  <si>
    <t>Storage &amp; monitoring system</t>
  </si>
  <si>
    <t>Total Estimated Cost</t>
  </si>
  <si>
    <t>Estimated Annual Savings</t>
  </si>
  <si>
    <t>Savings Breakdown (Sources of Annual Savings)</t>
  </si>
  <si>
    <t>Estimated Value [€ / year]</t>
  </si>
  <si>
    <t>Reduction of theft and vandalism losses</t>
  </si>
  <si>
    <t>Reduction of security personnel costs</t>
  </si>
  <si>
    <t>Improved monitoring efficiency and maintenance</t>
  </si>
  <si>
    <t>Total Estimated Annual Savings</t>
  </si>
  <si>
    <t xml:space="preserve">Payback Period </t>
  </si>
  <si>
    <t>≈ 1.1 years</t>
  </si>
  <si>
    <t>Calculation/ Payback Period</t>
  </si>
  <si>
    <t>10 700 / 9 400 = 1.1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</si>
</sst>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.000"/>
    <numFmt numFmtId="165" formatCode="0.0"/>
  </numFmts>
  <fonts count="119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b/>
      <sz val="18"/>
      <color rgb="FF4EA72E"/>
      <name val="Aptos Narrow"/>
      <scheme val="minor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b/>
      <sz val="16"/>
      <color rgb="FF000000"/>
      <name val="Times New Roman"/>
      <family val="1"/>
    </font>
    <font>
      <sz val="16"/>
      <color rgb="FF000000"/>
      <name val="Times New Roman"/>
      <family val="1"/>
    </font>
    <font>
      <sz val="16"/>
      <color rgb="FF000000"/>
      <name val="Calibri"/>
      <family val="2"/>
    </font>
    <font>
      <sz val="16"/>
      <color theme="1"/>
      <name val="Aptos Narrow"/>
      <family val="2"/>
      <scheme val="minor"/>
    </font>
    <font>
      <b/>
      <sz val="14"/>
      <color rgb="FF215C98"/>
      <name val="Times New Roman"/>
    </font>
    <font>
      <b/>
      <sz val="14"/>
      <color rgb="FF000000"/>
      <name val="Times New Roman"/>
    </font>
    <font>
      <sz val="14"/>
      <color rgb="FF000000"/>
      <name val="Times New Roman"/>
    </font>
    <font>
      <sz val="14"/>
      <color rgb="FFFF0000"/>
      <name val="Times New Roman"/>
    </font>
    <font>
      <b/>
      <sz val="16"/>
      <color rgb="FF4EA72E"/>
      <name val="Times New Roman"/>
    </font>
    <font>
      <b/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70C0"/>
      <name val="Aptos Narrow"/>
      <scheme val="minor"/>
    </font>
    <font>
      <b/>
      <sz val="24"/>
      <color rgb="FF215C98"/>
      <name val="Times New Roman"/>
    </font>
    <font>
      <b/>
      <sz val="48"/>
      <color theme="0"/>
      <name val="Times New Roman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b/>
      <sz val="15"/>
      <color theme="0"/>
      <name val="Arial"/>
      <family val="2"/>
    </font>
    <font>
      <b/>
      <sz val="11"/>
      <color theme="3" tint="0.249977111117893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rgb="FF002060"/>
      <name val="Calibri"/>
    </font>
    <font>
      <sz val="12"/>
      <color theme="1"/>
      <name val="Aptos Narrow"/>
      <family val="2"/>
      <scheme val="minor"/>
    </font>
    <font>
      <b/>
      <sz val="14"/>
      <color theme="7"/>
      <name val="Aptos Narrow"/>
      <family val="2"/>
      <scheme val="minor"/>
    </font>
    <font>
      <b/>
      <sz val="14"/>
      <color theme="7"/>
      <name val="Aptos Narrow"/>
      <charset val="1"/>
    </font>
    <font>
      <b/>
      <sz val="14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4"/>
      <color theme="1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b/>
      <sz val="16"/>
      <color rgb="FFED7D31"/>
      <name val="Times New Roman"/>
      <family val="1"/>
    </font>
    <font>
      <u/>
      <sz val="11"/>
      <color theme="3" tint="0.249977111117893"/>
      <name val="Aptos Narrow"/>
      <family val="2"/>
      <scheme val="minor"/>
    </font>
    <font>
      <b/>
      <sz val="14"/>
      <color rgb="FF1D1D1D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1D1D1D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4"/>
      <color rgb="FFFFFFFF"/>
      <name val="Aptos Narrow"/>
      <scheme val="minor"/>
    </font>
    <font>
      <b/>
      <sz val="12"/>
      <color rgb="FFFFFFFF"/>
      <name val="Aptos Narrow"/>
      <scheme val="minor"/>
    </font>
    <font>
      <b/>
      <sz val="11"/>
      <color theme="1" tint="4.9989318521683403E-2"/>
      <name val="Calibri"/>
      <charset val="134"/>
    </font>
    <font>
      <sz val="14"/>
      <color theme="1"/>
      <name val="Aptos Narrow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Times New Roman"/>
    </font>
    <font>
      <sz val="11"/>
      <color rgb="FF000000"/>
      <name val="Consolas"/>
      <charset val="1"/>
    </font>
    <font>
      <b/>
      <sz val="11"/>
      <color rgb="FF000000"/>
      <name val="Calibri"/>
      <charset val="1"/>
    </font>
    <font>
      <b/>
      <sz val="24"/>
      <color rgb="FF215C98"/>
      <name val="Times New Roman"/>
      <charset val="1"/>
    </font>
    <font>
      <b/>
      <sz val="11"/>
      <color rgb="FF0D0D0D"/>
      <name val="Calibri"/>
    </font>
    <font>
      <b/>
      <sz val="12"/>
      <color rgb="FF0E2841"/>
      <name val="Times New Roman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Aptos Narrow"/>
      <scheme val="minor"/>
    </font>
    <font>
      <b/>
      <sz val="11"/>
      <color rgb="FF0E2841"/>
      <name val="Calibri"/>
    </font>
    <font>
      <b/>
      <sz val="12"/>
      <color rgb="FF145F82"/>
      <name val="Times New Roman"/>
    </font>
    <font>
      <b/>
      <sz val="11"/>
      <color rgb="FF145F82"/>
      <name val="Aptos Narrow"/>
      <scheme val="minor"/>
    </font>
    <font>
      <sz val="14"/>
      <color rgb="FF000000"/>
      <name val="Aptos Narrow"/>
      <charset val="1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11"/>
      <color rgb="FFFFFFFF"/>
      <name val="Aptos Narrow"/>
    </font>
    <font>
      <b/>
      <sz val="11"/>
      <color theme="0"/>
      <name val="Calibri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rgb="FF1D1D1D"/>
      <name val="Calibri"/>
    </font>
    <font>
      <sz val="11"/>
      <color rgb="FF1D1D1D"/>
      <name val="Calibri"/>
    </font>
    <font>
      <b/>
      <sz val="11"/>
      <color rgb="FF1D1D1D"/>
      <name val="Calibri"/>
    </font>
    <font>
      <b/>
      <sz val="11"/>
      <color theme="0"/>
      <name val="Calibri"/>
    </font>
    <font>
      <b/>
      <sz val="14"/>
      <color rgb="FF4EA72E"/>
      <name val="Times New Roman"/>
    </font>
    <font>
      <b/>
      <sz val="48"/>
      <color rgb="FF215C98"/>
      <name val="Times New Roman"/>
    </font>
    <font>
      <b/>
      <sz val="24"/>
      <color rgb="FF145F82"/>
      <name val="Times New Roman"/>
    </font>
    <font>
      <b/>
      <sz val="24"/>
      <color theme="4"/>
      <name val="Times New Roman"/>
    </font>
    <font>
      <sz val="14"/>
      <color rgb="FF000000"/>
      <name val="Aptos Narrow"/>
      <scheme val="minor"/>
    </font>
    <font>
      <b/>
      <sz val="14"/>
      <color theme="1"/>
      <name val="Times New Roman"/>
    </font>
    <font>
      <sz val="11"/>
      <color theme="1"/>
      <name val="Times New Roman"/>
    </font>
    <font>
      <sz val="11"/>
      <color rgb="FF1D1D1D"/>
      <name val="Times New Roman"/>
    </font>
    <font>
      <b/>
      <sz val="20"/>
      <color theme="3"/>
      <name val="Times New Roman"/>
    </font>
    <font>
      <b/>
      <sz val="20"/>
      <color rgb="FF002060"/>
      <name val="Times New Roman"/>
    </font>
    <font>
      <sz val="14"/>
      <color rgb="FF002060"/>
      <name val="Aptos Narrow"/>
      <family val="2"/>
      <scheme val="minor"/>
    </font>
    <font>
      <sz val="12"/>
      <color rgb="FF000000"/>
      <name val="Calibri"/>
    </font>
    <font>
      <sz val="26"/>
      <color rgb="FF17365D"/>
      <name val="Times New Roman"/>
      <family val="1"/>
      <charset val="1"/>
    </font>
    <font>
      <sz val="36"/>
      <color rgb="FF186C24"/>
      <name val="Aptos Narrow"/>
      <scheme val="minor"/>
    </font>
    <font>
      <b/>
      <sz val="36"/>
      <color rgb="FF186C24"/>
      <name val="Times New Roman"/>
    </font>
    <font>
      <sz val="36"/>
      <color rgb="FF186C24"/>
      <name val="Aptos Narrow"/>
      <family val="2"/>
      <scheme val="minor"/>
    </font>
    <font>
      <b/>
      <sz val="18"/>
      <color rgb="FF365F91"/>
      <name val="Times New Roman"/>
      <family val="1"/>
      <charset val="1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sz val="18"/>
      <color theme="1"/>
      <name val="Times New Roman"/>
      <family val="1"/>
      <charset val="1"/>
    </font>
    <font>
      <b/>
      <sz val="18"/>
      <color theme="1"/>
      <name val="Times New Roman"/>
      <family val="1"/>
      <charset val="1"/>
    </font>
    <font>
      <b/>
      <sz val="18"/>
      <color rgb="FFC00000"/>
      <name val="Aptos Narrow"/>
      <scheme val="minor"/>
    </font>
    <font>
      <b/>
      <sz val="18"/>
      <color rgb="FFC0504D"/>
      <name val="Times New Roman"/>
      <family val="1"/>
      <charset val="1"/>
    </font>
    <font>
      <sz val="18"/>
      <color theme="1"/>
      <name val="Aptos Narrow"/>
      <scheme val="minor"/>
    </font>
    <font>
      <sz val="18"/>
      <color rgb="FF000000"/>
      <name val="Aptos Narrow"/>
      <scheme val="minor"/>
    </font>
    <font>
      <b/>
      <sz val="18"/>
      <color rgb="FF000000"/>
      <name val="Aptos Narrow"/>
      <scheme val="minor"/>
    </font>
    <font>
      <b/>
      <sz val="13.5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3.5"/>
      <color rgb="FF000000"/>
      <name val="Aptos Narrow"/>
      <family val="2"/>
      <scheme val="minor"/>
    </font>
    <font>
      <b/>
      <sz val="13.5"/>
      <color rgb="FF000000"/>
      <name val="Aptos Narrow"/>
      <family val="2"/>
      <scheme val="minor"/>
    </font>
    <font>
      <b/>
      <sz val="16"/>
      <color theme="1"/>
      <name val="Times New Roman"/>
    </font>
    <font>
      <sz val="16"/>
      <color theme="1"/>
      <name val="Times New Roman"/>
    </font>
    <font>
      <sz val="16"/>
      <color rgb="FF000000"/>
      <name val="Times New Roman"/>
    </font>
    <font>
      <b/>
      <sz val="16"/>
      <color rgb="FF000000"/>
      <name val="Times New Roman"/>
    </font>
    <font>
      <b/>
      <sz val="18"/>
      <color theme="1"/>
      <name val="Aptos Narrow"/>
      <family val="2"/>
      <scheme val="minor"/>
    </font>
    <font>
      <b/>
      <sz val="16"/>
      <color rgb="FF00B0F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BFBFB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078276"/>
      </left>
      <right/>
      <top style="thin">
        <color rgb="FF078276"/>
      </top>
      <bottom/>
      <diagonal/>
    </border>
    <border>
      <left style="thin">
        <color rgb="FF078276"/>
      </left>
      <right style="thin">
        <color rgb="FF078276"/>
      </right>
      <top style="thin">
        <color rgb="FF078276"/>
      </top>
      <bottom/>
      <diagonal/>
    </border>
    <border>
      <left/>
      <right/>
      <top style="thin">
        <color rgb="FF078276"/>
      </top>
      <bottom/>
      <diagonal/>
    </border>
    <border>
      <left/>
      <right style="thin">
        <color rgb="FF078276"/>
      </right>
      <top style="thin">
        <color rgb="FF078276"/>
      </top>
      <bottom/>
      <diagonal/>
    </border>
    <border>
      <left style="thin">
        <color rgb="FF078276"/>
      </left>
      <right/>
      <top/>
      <bottom style="thin">
        <color rgb="FF078276"/>
      </bottom>
      <diagonal/>
    </border>
    <border>
      <left style="thin">
        <color rgb="FF078276"/>
      </left>
      <right/>
      <top/>
      <bottom/>
      <diagonal/>
    </border>
    <border>
      <left style="thin">
        <color rgb="FF078276"/>
      </left>
      <right style="thin">
        <color rgb="FF078276"/>
      </right>
      <top/>
      <bottom style="thin">
        <color rgb="FF078276"/>
      </bottom>
      <diagonal/>
    </border>
    <border>
      <left/>
      <right/>
      <top/>
      <bottom style="thin">
        <color rgb="FF078276"/>
      </bottom>
      <diagonal/>
    </border>
    <border>
      <left/>
      <right style="thin">
        <color rgb="FF078276"/>
      </right>
      <top/>
      <bottom style="thin">
        <color rgb="FF078276"/>
      </bottom>
      <diagonal/>
    </border>
    <border>
      <left/>
      <right style="thin">
        <color rgb="FF078276"/>
      </right>
      <top/>
      <bottom/>
      <diagonal/>
    </border>
    <border>
      <left style="thin">
        <color rgb="FF078276"/>
      </left>
      <right style="thin">
        <color rgb="FF078276"/>
      </right>
      <top/>
      <bottom/>
      <diagonal/>
    </border>
    <border>
      <left style="thin">
        <color rgb="FF078276"/>
      </left>
      <right/>
      <top style="thin">
        <color rgb="FF078276"/>
      </top>
      <bottom style="thin">
        <color rgb="FF078276"/>
      </bottom>
      <diagonal/>
    </border>
    <border>
      <left/>
      <right/>
      <top style="thin">
        <color rgb="FF078276"/>
      </top>
      <bottom style="thin">
        <color rgb="FF078276"/>
      </bottom>
      <diagonal/>
    </border>
    <border>
      <left/>
      <right style="thin">
        <color rgb="FF078276"/>
      </right>
      <top style="thin">
        <color rgb="FF078276"/>
      </top>
      <bottom style="thin">
        <color rgb="FF078276"/>
      </bottom>
      <diagonal/>
    </border>
    <border>
      <left/>
      <right/>
      <top/>
      <bottom style="medium">
        <color rgb="FF4F81BD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453">
    <xf numFmtId="0" fontId="0" fillId="0" borderId="0" xfId="0"/>
    <xf numFmtId="3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2" fillId="0" borderId="0" xfId="0" applyFont="1" applyFill="1" applyBorder="1" applyAlignment="1">
      <alignment horizontal="center"/>
    </xf>
    <xf numFmtId="0" fontId="11" fillId="0" borderId="0" xfId="0" applyFont="1" applyFill="1" applyAlignment="1">
      <alignment horizontal="center"/>
    </xf>
    <xf numFmtId="0" fontId="1" fillId="0" borderId="3" xfId="0" applyFont="1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16" fillId="0" borderId="0" xfId="0" applyFont="1" applyFill="1" applyBorder="1" applyAlignment="1">
      <alignment horizontal="left" wrapText="1"/>
    </xf>
    <xf numFmtId="0" fontId="19" fillId="0" borderId="0" xfId="0" applyFont="1"/>
    <xf numFmtId="6" fontId="0" fillId="0" borderId="0" xfId="0" applyNumberFormat="1"/>
    <xf numFmtId="0" fontId="23" fillId="0" borderId="0" xfId="0" applyFont="1"/>
    <xf numFmtId="0" fontId="0" fillId="0" borderId="0" xfId="0" applyBorder="1"/>
    <xf numFmtId="0" fontId="14" fillId="0" borderId="0" xfId="0" applyFont="1" applyFill="1" applyBorder="1" applyAlignment="1"/>
    <xf numFmtId="0" fontId="22" fillId="0" borderId="0" xfId="0" applyFont="1" applyFill="1" applyBorder="1" applyAlignment="1"/>
    <xf numFmtId="0" fontId="27" fillId="0" borderId="13" xfId="0" applyFont="1" applyBorder="1"/>
    <xf numFmtId="0" fontId="32" fillId="0" borderId="27" xfId="0" applyFont="1" applyBorder="1"/>
    <xf numFmtId="0" fontId="36" fillId="0" borderId="27" xfId="0" applyFont="1" applyBorder="1"/>
    <xf numFmtId="0" fontId="37" fillId="0" borderId="30" xfId="0" applyFont="1" applyFill="1" applyBorder="1" applyAlignment="1">
      <alignment wrapText="1"/>
    </xf>
    <xf numFmtId="0" fontId="37" fillId="0" borderId="31" xfId="0" applyFont="1" applyFill="1" applyBorder="1" applyAlignment="1">
      <alignment wrapText="1"/>
    </xf>
    <xf numFmtId="0" fontId="37" fillId="0" borderId="32" xfId="0" applyFont="1" applyFill="1" applyBorder="1" applyAlignment="1">
      <alignment wrapText="1"/>
    </xf>
    <xf numFmtId="0" fontId="37" fillId="0" borderId="32" xfId="0" quotePrefix="1" applyFont="1" applyFill="1" applyBorder="1" applyAlignment="1">
      <alignment wrapText="1"/>
    </xf>
    <xf numFmtId="0" fontId="37" fillId="0" borderId="0" xfId="0" applyFont="1" applyFill="1" applyBorder="1" applyAlignment="1">
      <alignment wrapText="1"/>
    </xf>
    <xf numFmtId="0" fontId="37" fillId="0" borderId="0" xfId="0" quotePrefix="1" applyFont="1" applyFill="1" applyBorder="1" applyAlignment="1">
      <alignment wrapText="1"/>
    </xf>
    <xf numFmtId="9" fontId="37" fillId="0" borderId="0" xfId="0" applyNumberFormat="1" applyFont="1" applyFill="1" applyBorder="1" applyAlignment="1">
      <alignment wrapText="1"/>
    </xf>
    <xf numFmtId="0" fontId="37" fillId="0" borderId="33" xfId="0" applyFont="1" applyFill="1" applyBorder="1" applyAlignment="1">
      <alignment horizontal="center" wrapText="1"/>
    </xf>
    <xf numFmtId="0" fontId="37" fillId="0" borderId="33" xfId="0" quotePrefix="1" applyFont="1" applyFill="1" applyBorder="1" applyAlignment="1">
      <alignment horizontal="center" wrapText="1"/>
    </xf>
    <xf numFmtId="9" fontId="37" fillId="0" borderId="33" xfId="0" applyNumberFormat="1" applyFont="1" applyFill="1" applyBorder="1" applyAlignment="1">
      <alignment horizontal="center" wrapText="1"/>
    </xf>
    <xf numFmtId="0" fontId="32" fillId="0" borderId="0" xfId="0" applyFont="1" applyBorder="1"/>
    <xf numFmtId="0" fontId="32" fillId="0" borderId="27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/>
    </xf>
    <xf numFmtId="0" fontId="38" fillId="0" borderId="26" xfId="0" applyFont="1" applyBorder="1" applyAlignment="1">
      <alignment horizontal="center"/>
    </xf>
    <xf numFmtId="0" fontId="38" fillId="0" borderId="27" xfId="0" applyFont="1" applyBorder="1" applyAlignment="1">
      <alignment horizontal="center" wrapText="1"/>
    </xf>
    <xf numFmtId="0" fontId="38" fillId="0" borderId="27" xfId="0" applyFont="1" applyBorder="1" applyAlignment="1">
      <alignment horizontal="center" vertical="center"/>
    </xf>
    <xf numFmtId="0" fontId="36" fillId="0" borderId="29" xfId="0" applyFont="1" applyBorder="1" applyAlignment="1">
      <alignment horizontal="center" vertical="center"/>
    </xf>
    <xf numFmtId="0" fontId="32" fillId="0" borderId="29" xfId="0" applyFont="1" applyBorder="1" applyAlignment="1">
      <alignment horizontal="center" vertical="center" wrapText="1"/>
    </xf>
    <xf numFmtId="0" fontId="32" fillId="0" borderId="29" xfId="0" applyFont="1" applyBorder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19" fillId="7" borderId="0" xfId="0" applyFont="1" applyFill="1" applyAlignment="1">
      <alignment wrapText="1"/>
    </xf>
    <xf numFmtId="0" fontId="41" fillId="5" borderId="0" xfId="0" applyFont="1" applyFill="1"/>
    <xf numFmtId="0" fontId="0" fillId="0" borderId="0" xfId="0" applyAlignment="1">
      <alignment horizontal="center"/>
    </xf>
    <xf numFmtId="0" fontId="44" fillId="0" borderId="6" xfId="0" applyFont="1" applyBorder="1" applyAlignment="1">
      <alignment horizontal="center" vertical="center"/>
    </xf>
    <xf numFmtId="0" fontId="45" fillId="0" borderId="6" xfId="0" applyFont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3" fontId="44" fillId="5" borderId="6" xfId="0" applyNumberFormat="1" applyFont="1" applyFill="1" applyBorder="1" applyAlignment="1">
      <alignment horizontal="center" vertical="center"/>
    </xf>
    <xf numFmtId="3" fontId="45" fillId="5" borderId="8" xfId="0" applyNumberFormat="1" applyFont="1" applyFill="1" applyBorder="1" applyAlignment="1">
      <alignment horizontal="center" vertical="center"/>
    </xf>
    <xf numFmtId="3" fontId="45" fillId="5" borderId="6" xfId="0" applyNumberFormat="1" applyFont="1" applyFill="1" applyBorder="1" applyAlignment="1">
      <alignment horizontal="center" vertical="center"/>
    </xf>
    <xf numFmtId="0" fontId="44" fillId="0" borderId="12" xfId="0" applyFont="1" applyBorder="1" applyAlignment="1">
      <alignment horizontal="left"/>
    </xf>
    <xf numFmtId="0" fontId="44" fillId="0" borderId="13" xfId="0" applyFont="1" applyBorder="1" applyAlignment="1">
      <alignment horizontal="left"/>
    </xf>
    <xf numFmtId="3" fontId="44" fillId="0" borderId="6" xfId="0" applyNumberFormat="1" applyFont="1" applyBorder="1" applyAlignment="1">
      <alignment horizontal="center" vertical="center"/>
    </xf>
    <xf numFmtId="3" fontId="45" fillId="0" borderId="6" xfId="0" applyNumberFormat="1" applyFont="1" applyBorder="1" applyAlignment="1">
      <alignment horizontal="center" vertical="center"/>
    </xf>
    <xf numFmtId="3" fontId="44" fillId="0" borderId="6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3" fontId="44" fillId="0" borderId="8" xfId="0" applyNumberFormat="1" applyFont="1" applyBorder="1" applyAlignment="1">
      <alignment horizontal="center" vertical="center"/>
    </xf>
    <xf numFmtId="3" fontId="45" fillId="0" borderId="8" xfId="0" applyNumberFormat="1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6" xfId="0" applyBorder="1"/>
    <xf numFmtId="0" fontId="0" fillId="0" borderId="13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0" fontId="51" fillId="10" borderId="8" xfId="0" applyFont="1" applyFill="1" applyBorder="1" applyAlignment="1">
      <alignment horizontal="center" wrapText="1"/>
    </xf>
    <xf numFmtId="0" fontId="51" fillId="10" borderId="17" xfId="0" applyFont="1" applyFill="1" applyBorder="1" applyAlignment="1">
      <alignment horizontal="center" vertical="center" wrapText="1"/>
    </xf>
    <xf numFmtId="0" fontId="51" fillId="10" borderId="10" xfId="0" applyFont="1" applyFill="1" applyBorder="1" applyAlignment="1">
      <alignment horizontal="center" wrapText="1"/>
    </xf>
    <xf numFmtId="0" fontId="51" fillId="10" borderId="6" xfId="0" applyFont="1" applyFill="1" applyBorder="1" applyAlignment="1">
      <alignment horizontal="center" vertical="center" wrapText="1"/>
    </xf>
    <xf numFmtId="0" fontId="51" fillId="10" borderId="12" xfId="0" applyFont="1" applyFill="1" applyBorder="1" applyAlignment="1">
      <alignment horizontal="center" vertical="center" wrapText="1"/>
    </xf>
    <xf numFmtId="0" fontId="51" fillId="10" borderId="6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/>
    </xf>
    <xf numFmtId="0" fontId="22" fillId="5" borderId="13" xfId="0" applyFont="1" applyFill="1" applyBorder="1" applyAlignment="1"/>
    <xf numFmtId="0" fontId="22" fillId="5" borderId="6" xfId="0" applyFont="1" applyFill="1" applyBorder="1" applyAlignment="1"/>
    <xf numFmtId="0" fontId="22" fillId="5" borderId="12" xfId="0" applyFont="1" applyFill="1" applyBorder="1" applyAlignment="1"/>
    <xf numFmtId="0" fontId="22" fillId="5" borderId="16" xfId="0" applyFont="1" applyFill="1" applyBorder="1" applyAlignment="1"/>
    <xf numFmtId="0" fontId="22" fillId="5" borderId="8" xfId="0" applyFont="1" applyFill="1" applyBorder="1" applyAlignment="1"/>
    <xf numFmtId="0" fontId="22" fillId="5" borderId="17" xfId="0" applyFont="1" applyFill="1" applyBorder="1" applyAlignment="1"/>
    <xf numFmtId="0" fontId="21" fillId="11" borderId="14" xfId="0" applyFont="1" applyFill="1" applyBorder="1" applyAlignment="1"/>
    <xf numFmtId="0" fontId="21" fillId="11" borderId="9" xfId="0" applyFont="1" applyFill="1" applyBorder="1" applyAlignment="1"/>
    <xf numFmtId="0" fontId="21" fillId="11" borderId="15" xfId="0" applyFont="1" applyFill="1" applyBorder="1" applyAlignment="1"/>
    <xf numFmtId="0" fontId="52" fillId="11" borderId="14" xfId="0" applyFont="1" applyFill="1" applyBorder="1" applyAlignment="1"/>
    <xf numFmtId="0" fontId="52" fillId="11" borderId="9" xfId="0" applyFont="1" applyFill="1" applyBorder="1" applyAlignment="1"/>
    <xf numFmtId="0" fontId="21" fillId="11" borderId="18" xfId="0" applyFont="1" applyFill="1" applyBorder="1" applyAlignment="1"/>
    <xf numFmtId="0" fontId="21" fillId="11" borderId="19" xfId="0" applyFont="1" applyFill="1" applyBorder="1" applyAlignment="1"/>
    <xf numFmtId="0" fontId="21" fillId="11" borderId="11" xfId="0" applyFont="1" applyFill="1" applyBorder="1" applyAlignment="1"/>
    <xf numFmtId="0" fontId="33" fillId="0" borderId="0" xfId="0" applyFont="1" applyBorder="1" applyAlignment="1"/>
    <xf numFmtId="0" fontId="0" fillId="5" borderId="6" xfId="0" applyFill="1" applyBorder="1"/>
    <xf numFmtId="0" fontId="22" fillId="5" borderId="8" xfId="0" applyFont="1" applyFill="1" applyBorder="1"/>
    <xf numFmtId="0" fontId="22" fillId="5" borderId="16" xfId="0" applyFont="1" applyFill="1" applyBorder="1"/>
    <xf numFmtId="0" fontId="22" fillId="5" borderId="14" xfId="0" applyFont="1" applyFill="1" applyBorder="1" applyAlignment="1"/>
    <xf numFmtId="0" fontId="22" fillId="5" borderId="9" xfId="0" applyFont="1" applyFill="1" applyBorder="1" applyAlignment="1"/>
    <xf numFmtId="0" fontId="22" fillId="5" borderId="15" xfId="0" applyFont="1" applyFill="1" applyBorder="1" applyAlignment="1"/>
    <xf numFmtId="164" fontId="32" fillId="0" borderId="27" xfId="0" applyNumberFormat="1" applyFont="1" applyBorder="1"/>
    <xf numFmtId="2" fontId="32" fillId="0" borderId="27" xfId="0" applyNumberFormat="1" applyFont="1" applyBorder="1"/>
    <xf numFmtId="165" fontId="32" fillId="0" borderId="27" xfId="0" applyNumberFormat="1" applyFont="1" applyBorder="1"/>
    <xf numFmtId="0" fontId="35" fillId="0" borderId="26" xfId="0" applyFont="1" applyBorder="1" applyAlignment="1">
      <alignment horizontal="center" vertical="center"/>
    </xf>
    <xf numFmtId="0" fontId="53" fillId="0" borderId="27" xfId="0" applyFont="1" applyBorder="1" applyAlignment="1">
      <alignment horizontal="center"/>
    </xf>
    <xf numFmtId="0" fontId="53" fillId="0" borderId="26" xfId="0" applyFont="1" applyBorder="1" applyAlignment="1">
      <alignment horizontal="center" vertical="center"/>
    </xf>
    <xf numFmtId="0" fontId="53" fillId="0" borderId="27" xfId="0" applyFont="1" applyBorder="1"/>
    <xf numFmtId="0" fontId="53" fillId="0" borderId="27" xfId="0" applyFont="1" applyBorder="1" applyAlignment="1">
      <alignment horizontal="center" vertical="center"/>
    </xf>
    <xf numFmtId="0" fontId="53" fillId="0" borderId="36" xfId="0" applyFont="1" applyBorder="1" applyAlignment="1">
      <alignment horizontal="center"/>
    </xf>
    <xf numFmtId="0" fontId="53" fillId="0" borderId="24" xfId="0" applyFont="1" applyBorder="1" applyAlignment="1">
      <alignment horizontal="center" vertical="center"/>
    </xf>
    <xf numFmtId="0" fontId="53" fillId="0" borderId="25" xfId="0" applyFont="1" applyBorder="1" applyAlignment="1">
      <alignment horizontal="center" vertical="center"/>
    </xf>
    <xf numFmtId="0" fontId="35" fillId="0" borderId="27" xfId="0" applyFont="1" applyBorder="1" applyAlignment="1">
      <alignment horizontal="center" vertical="center"/>
    </xf>
    <xf numFmtId="0" fontId="53" fillId="0" borderId="27" xfId="0" applyFont="1" applyBorder="1" applyAlignment="1">
      <alignment horizontal="center" vertical="center" wrapText="1"/>
    </xf>
    <xf numFmtId="0" fontId="53" fillId="0" borderId="27" xfId="0" applyFont="1" applyBorder="1" applyAlignment="1">
      <alignment horizontal="center" wrapText="1"/>
    </xf>
    <xf numFmtId="0" fontId="53" fillId="0" borderId="34" xfId="0" applyFont="1" applyBorder="1" applyAlignment="1">
      <alignment horizontal="center" vertical="center"/>
    </xf>
    <xf numFmtId="0" fontId="53" fillId="0" borderId="34" xfId="0" applyFont="1" applyBorder="1" applyAlignment="1">
      <alignment horizontal="center" wrapText="1"/>
    </xf>
    <xf numFmtId="0" fontId="22" fillId="0" borderId="0" xfId="0" applyFont="1" applyFill="1" applyBorder="1" applyAlignment="1">
      <alignment wrapText="1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54" fillId="0" borderId="8" xfId="0" applyFont="1" applyBorder="1" applyAlignment="1">
      <alignment horizontal="center"/>
    </xf>
    <xf numFmtId="0" fontId="54" fillId="0" borderId="9" xfId="0" applyFont="1" applyBorder="1" applyAlignment="1">
      <alignment horizontal="center"/>
    </xf>
    <xf numFmtId="0" fontId="55" fillId="0" borderId="0" xfId="1" applyBorder="1" applyAlignment="1">
      <alignment textRotation="180"/>
    </xf>
    <xf numFmtId="0" fontId="54" fillId="0" borderId="0" xfId="0" applyFont="1" applyBorder="1"/>
    <xf numFmtId="0" fontId="0" fillId="0" borderId="19" xfId="0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6" fillId="0" borderId="6" xfId="0" applyFont="1" applyBorder="1" applyAlignment="1">
      <alignment horizontal="center"/>
    </xf>
    <xf numFmtId="0" fontId="54" fillId="0" borderId="6" xfId="0" applyFont="1" applyBorder="1" applyAlignment="1">
      <alignment horizontal="center"/>
    </xf>
    <xf numFmtId="0" fontId="57" fillId="0" borderId="6" xfId="0" applyFont="1" applyFill="1" applyBorder="1" applyAlignment="1">
      <alignment horizontal="center"/>
    </xf>
    <xf numFmtId="0" fontId="54" fillId="0" borderId="12" xfId="0" applyFont="1" applyBorder="1" applyAlignment="1">
      <alignment horizontal="center"/>
    </xf>
    <xf numFmtId="0" fontId="58" fillId="0" borderId="8" xfId="0" quotePrefix="1" applyFont="1" applyBorder="1" applyAlignment="1">
      <alignment horizontal="center"/>
    </xf>
    <xf numFmtId="0" fontId="24" fillId="0" borderId="7" xfId="0" applyFont="1" applyFill="1" applyBorder="1" applyAlignment="1">
      <alignment horizontal="center" wrapText="1"/>
    </xf>
    <xf numFmtId="0" fontId="55" fillId="5" borderId="6" xfId="1" applyFill="1" applyBorder="1"/>
    <xf numFmtId="0" fontId="55" fillId="5" borderId="13" xfId="1" applyFill="1" applyBorder="1"/>
    <xf numFmtId="0" fontId="55" fillId="5" borderId="13" xfId="1" applyFill="1" applyBorder="1" applyAlignment="1"/>
    <xf numFmtId="3" fontId="0" fillId="5" borderId="8" xfId="0" applyNumberFormat="1" applyFill="1" applyBorder="1"/>
    <xf numFmtId="0" fontId="0" fillId="5" borderId="6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8" xfId="0" applyBorder="1" applyAlignment="1">
      <alignment horizontal="right"/>
    </xf>
    <xf numFmtId="0" fontId="0" fillId="5" borderId="6" xfId="0" applyFill="1" applyBorder="1" applyAlignment="1">
      <alignment horizontal="right"/>
    </xf>
    <xf numFmtId="0" fontId="52" fillId="11" borderId="6" xfId="0" applyFont="1" applyFill="1" applyBorder="1" applyAlignment="1"/>
    <xf numFmtId="0" fontId="22" fillId="5" borderId="8" xfId="0" applyFont="1" applyFill="1" applyBorder="1" applyAlignment="1">
      <alignment horizontal="center"/>
    </xf>
    <xf numFmtId="0" fontId="22" fillId="5" borderId="16" xfId="0" applyFont="1" applyFill="1" applyBorder="1" applyAlignment="1">
      <alignment horizontal="center"/>
    </xf>
    <xf numFmtId="0" fontId="20" fillId="5" borderId="0" xfId="0" applyFont="1" applyFill="1"/>
    <xf numFmtId="6" fontId="20" fillId="5" borderId="0" xfId="0" applyNumberFormat="1" applyFont="1" applyFill="1"/>
    <xf numFmtId="0" fontId="20" fillId="5" borderId="0" xfId="0" quotePrefix="1" applyFont="1" applyFill="1"/>
    <xf numFmtId="6" fontId="8" fillId="5" borderId="0" xfId="0" applyNumberFormat="1" applyFont="1" applyFill="1"/>
    <xf numFmtId="0" fontId="19" fillId="5" borderId="0" xfId="0" applyFont="1" applyFill="1"/>
    <xf numFmtId="0" fontId="22" fillId="5" borderId="6" xfId="0" applyFont="1" applyFill="1" applyBorder="1"/>
    <xf numFmtId="0" fontId="62" fillId="5" borderId="0" xfId="0" applyFont="1" applyFill="1"/>
    <xf numFmtId="0" fontId="24" fillId="0" borderId="0" xfId="0" applyFont="1" applyFill="1" applyBorder="1" applyAlignment="1">
      <alignment horizontal="center"/>
    </xf>
    <xf numFmtId="0" fontId="63" fillId="0" borderId="0" xfId="0" applyFont="1" applyAlignment="1">
      <alignment horizontal="center"/>
    </xf>
    <xf numFmtId="0" fontId="30" fillId="5" borderId="38" xfId="0" applyFont="1" applyFill="1" applyBorder="1" applyAlignment="1"/>
    <xf numFmtId="0" fontId="9" fillId="5" borderId="37" xfId="0" applyFont="1" applyFill="1" applyBorder="1" applyAlignment="1">
      <alignment wrapText="1"/>
    </xf>
    <xf numFmtId="0" fontId="9" fillId="5" borderId="38" xfId="0" applyFont="1" applyFill="1" applyBorder="1" applyAlignment="1"/>
    <xf numFmtId="0" fontId="64" fillId="5" borderId="37" xfId="0" applyFont="1" applyFill="1" applyBorder="1" applyAlignment="1"/>
    <xf numFmtId="0" fontId="65" fillId="5" borderId="0" xfId="0" applyFont="1" applyFill="1"/>
    <xf numFmtId="0" fontId="65" fillId="5" borderId="0" xfId="0" applyFont="1" applyFill="1" applyBorder="1"/>
    <xf numFmtId="0" fontId="66" fillId="5" borderId="37" xfId="0" applyFont="1" applyFill="1" applyBorder="1" applyAlignment="1"/>
    <xf numFmtId="0" fontId="67" fillId="5" borderId="0" xfId="0" applyFont="1" applyFill="1"/>
    <xf numFmtId="0" fontId="68" fillId="5" borderId="0" xfId="0" applyFont="1" applyFill="1"/>
    <xf numFmtId="0" fontId="68" fillId="5" borderId="0" xfId="0" applyFont="1" applyFill="1" applyAlignment="1">
      <alignment wrapText="1"/>
    </xf>
    <xf numFmtId="0" fontId="21" fillId="11" borderId="12" xfId="0" applyFont="1" applyFill="1" applyBorder="1" applyAlignment="1"/>
    <xf numFmtId="0" fontId="0" fillId="0" borderId="27" xfId="0" applyBorder="1"/>
    <xf numFmtId="0" fontId="35" fillId="0" borderId="34" xfId="0" applyFont="1" applyBorder="1" applyAlignment="1">
      <alignment horizontal="center" vertical="center"/>
    </xf>
    <xf numFmtId="165" fontId="35" fillId="0" borderId="34" xfId="0" applyNumberFormat="1" applyFont="1" applyBorder="1" applyAlignment="1">
      <alignment horizontal="center" vertical="center"/>
    </xf>
    <xf numFmtId="0" fontId="53" fillId="0" borderId="34" xfId="0" applyFont="1" applyBorder="1" applyAlignment="1">
      <alignment horizontal="center" vertical="center" wrapText="1"/>
    </xf>
    <xf numFmtId="0" fontId="69" fillId="0" borderId="27" xfId="0" applyFont="1" applyBorder="1" applyAlignment="1">
      <alignment horizontal="center" vertical="center"/>
    </xf>
    <xf numFmtId="0" fontId="70" fillId="0" borderId="0" xfId="0" applyFont="1"/>
    <xf numFmtId="0" fontId="71" fillId="0" borderId="0" xfId="0" applyFont="1"/>
    <xf numFmtId="9" fontId="70" fillId="0" borderId="0" xfId="0" applyNumberFormat="1" applyFont="1"/>
    <xf numFmtId="0" fontId="71" fillId="0" borderId="0" xfId="0" quotePrefix="1" applyFont="1"/>
    <xf numFmtId="9" fontId="71" fillId="0" borderId="0" xfId="0" applyNumberFormat="1" applyFont="1"/>
    <xf numFmtId="0" fontId="72" fillId="12" borderId="0" xfId="0" applyFont="1" applyFill="1"/>
    <xf numFmtId="0" fontId="43" fillId="10" borderId="6" xfId="0" applyFont="1" applyFill="1" applyBorder="1" applyAlignment="1">
      <alignment horizontal="center" vertical="center"/>
    </xf>
    <xf numFmtId="0" fontId="43" fillId="10" borderId="13" xfId="0" applyFont="1" applyFill="1" applyBorder="1" applyAlignment="1">
      <alignment horizontal="center" vertical="center"/>
    </xf>
    <xf numFmtId="0" fontId="43" fillId="10" borderId="12" xfId="0" applyFont="1" applyFill="1" applyBorder="1" applyAlignment="1">
      <alignment horizontal="center" vertical="center"/>
    </xf>
    <xf numFmtId="0" fontId="0" fillId="10" borderId="17" xfId="0" applyFill="1" applyBorder="1" applyAlignment="1">
      <alignment horizontal="center"/>
    </xf>
    <xf numFmtId="0" fontId="0" fillId="5" borderId="17" xfId="0" applyFill="1" applyBorder="1"/>
    <xf numFmtId="0" fontId="0" fillId="5" borderId="17" xfId="0" applyFill="1" applyBorder="1" applyAlignment="1">
      <alignment vertical="top"/>
    </xf>
    <xf numFmtId="0" fontId="0" fillId="5" borderId="12" xfId="0" applyFill="1" applyBorder="1" applyAlignment="1">
      <alignment vertical="top"/>
    </xf>
    <xf numFmtId="0" fontId="0" fillId="5" borderId="15" xfId="0" applyFill="1" applyBorder="1" applyAlignment="1">
      <alignment vertical="top"/>
    </xf>
    <xf numFmtId="3" fontId="73" fillId="10" borderId="6" xfId="0" applyNumberFormat="1" applyFont="1" applyFill="1" applyBorder="1" applyAlignment="1">
      <alignment horizontal="center" vertical="center"/>
    </xf>
    <xf numFmtId="3" fontId="73" fillId="10" borderId="35" xfId="0" applyNumberFormat="1" applyFont="1" applyFill="1" applyBorder="1" applyAlignment="1">
      <alignment horizontal="center" vertical="center"/>
    </xf>
    <xf numFmtId="0" fontId="74" fillId="10" borderId="6" xfId="0" applyFont="1" applyFill="1" applyBorder="1" applyAlignment="1">
      <alignment horizontal="center" vertical="center"/>
    </xf>
    <xf numFmtId="3" fontId="74" fillId="10" borderId="6" xfId="0" applyNumberFormat="1" applyFont="1" applyFill="1" applyBorder="1" applyAlignment="1">
      <alignment horizontal="center" vertical="center"/>
    </xf>
    <xf numFmtId="3" fontId="74" fillId="10" borderId="12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0" fontId="75" fillId="10" borderId="17" xfId="0" applyFont="1" applyFill="1" applyBorder="1" applyAlignment="1">
      <alignment horizontal="center"/>
    </xf>
    <xf numFmtId="3" fontId="75" fillId="10" borderId="17" xfId="0" applyNumberFormat="1" applyFont="1" applyFill="1" applyBorder="1" applyAlignment="1">
      <alignment horizontal="center"/>
    </xf>
    <xf numFmtId="0" fontId="75" fillId="10" borderId="8" xfId="0" applyFont="1" applyFill="1" applyBorder="1" applyAlignment="1">
      <alignment horizontal="center"/>
    </xf>
    <xf numFmtId="0" fontId="75" fillId="0" borderId="0" xfId="0" applyFont="1"/>
    <xf numFmtId="0" fontId="75" fillId="10" borderId="13" xfId="0" applyFont="1" applyFill="1" applyBorder="1" applyAlignment="1">
      <alignment horizontal="center"/>
    </xf>
    <xf numFmtId="3" fontId="63" fillId="0" borderId="8" xfId="0" applyNumberFormat="1" applyFont="1" applyBorder="1" applyAlignment="1">
      <alignment horizontal="center" vertical="center"/>
    </xf>
    <xf numFmtId="3" fontId="77" fillId="0" borderId="8" xfId="0" applyNumberFormat="1" applyFont="1" applyBorder="1" applyAlignment="1">
      <alignment horizontal="center" vertical="center"/>
    </xf>
    <xf numFmtId="0" fontId="77" fillId="0" borderId="8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3" fontId="63" fillId="0" borderId="6" xfId="0" applyNumberFormat="1" applyFont="1" applyBorder="1" applyAlignment="1">
      <alignment horizontal="center" vertical="center"/>
    </xf>
    <xf numFmtId="3" fontId="77" fillId="0" borderId="6" xfId="0" applyNumberFormat="1" applyFont="1" applyBorder="1" applyAlignment="1">
      <alignment horizontal="center" vertical="center"/>
    </xf>
    <xf numFmtId="0" fontId="77" fillId="0" borderId="6" xfId="0" applyFont="1" applyBorder="1" applyAlignment="1">
      <alignment horizontal="center" vertical="center"/>
    </xf>
    <xf numFmtId="3" fontId="79" fillId="10" borderId="6" xfId="0" applyNumberFormat="1" applyFont="1" applyFill="1" applyBorder="1" applyAlignment="1">
      <alignment horizontal="center" vertical="center"/>
    </xf>
    <xf numFmtId="3" fontId="79" fillId="10" borderId="8" xfId="0" applyNumberFormat="1" applyFont="1" applyFill="1" applyBorder="1" applyAlignment="1">
      <alignment horizontal="center" vertical="center"/>
    </xf>
    <xf numFmtId="0" fontId="75" fillId="10" borderId="17" xfId="0" applyFont="1" applyFill="1" applyBorder="1" applyAlignment="1">
      <alignment vertical="top"/>
    </xf>
    <xf numFmtId="0" fontId="80" fillId="0" borderId="0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0" borderId="39" xfId="0" applyFont="1" applyFill="1" applyBorder="1" applyAlignment="1">
      <alignment horizontal="center"/>
    </xf>
    <xf numFmtId="0" fontId="22" fillId="0" borderId="6" xfId="0" applyFont="1" applyFill="1" applyBorder="1" applyAlignment="1"/>
    <xf numFmtId="0" fontId="22" fillId="0" borderId="13" xfId="0" applyFont="1" applyFill="1" applyBorder="1" applyAlignment="1"/>
    <xf numFmtId="0" fontId="22" fillId="0" borderId="12" xfId="0" applyFont="1" applyFill="1" applyBorder="1" applyAlignment="1"/>
    <xf numFmtId="0" fontId="22" fillId="0" borderId="16" xfId="0" applyFont="1" applyFill="1" applyBorder="1" applyAlignment="1"/>
    <xf numFmtId="0" fontId="22" fillId="0" borderId="8" xfId="0" applyFont="1" applyFill="1" applyBorder="1" applyAlignment="1"/>
    <xf numFmtId="0" fontId="22" fillId="0" borderId="17" xfId="0" applyFont="1" applyFill="1" applyBorder="1" applyAlignment="1"/>
    <xf numFmtId="0" fontId="22" fillId="14" borderId="14" xfId="0" applyFont="1" applyFill="1" applyBorder="1" applyAlignment="1"/>
    <xf numFmtId="0" fontId="22" fillId="14" borderId="9" xfId="0" applyFont="1" applyFill="1" applyBorder="1" applyAlignment="1"/>
    <xf numFmtId="0" fontId="22" fillId="14" borderId="15" xfId="0" applyFont="1" applyFill="1" applyBorder="1" applyAlignment="1"/>
    <xf numFmtId="0" fontId="82" fillId="0" borderId="0" xfId="0" applyFont="1" applyFill="1" applyBorder="1" applyAlignment="1"/>
    <xf numFmtId="0" fontId="83" fillId="0" borderId="0" xfId="0" applyFont="1" applyFill="1" applyBorder="1" applyAlignment="1"/>
    <xf numFmtId="0" fontId="32" fillId="0" borderId="25" xfId="0" applyFont="1" applyBorder="1"/>
    <xf numFmtId="0" fontId="35" fillId="0" borderId="27" xfId="0" applyFont="1" applyBorder="1"/>
    <xf numFmtId="165" fontId="35" fillId="0" borderId="27" xfId="0" applyNumberFormat="1" applyFont="1" applyBorder="1"/>
    <xf numFmtId="0" fontId="53" fillId="0" borderId="0" xfId="0" applyFont="1" applyAlignment="1">
      <alignment horizontal="center"/>
    </xf>
    <xf numFmtId="0" fontId="32" fillId="0" borderId="0" xfId="0" applyFont="1" applyAlignment="1">
      <alignment vertical="top" wrapText="1"/>
    </xf>
    <xf numFmtId="0" fontId="86" fillId="0" borderId="45" xfId="0" applyFont="1" applyBorder="1"/>
    <xf numFmtId="0" fontId="86" fillId="0" borderId="41" xfId="0" applyFont="1" applyBorder="1"/>
    <xf numFmtId="0" fontId="86" fillId="0" borderId="50" xfId="0" applyFont="1" applyBorder="1"/>
    <xf numFmtId="0" fontId="85" fillId="0" borderId="41" xfId="0" applyFont="1" applyBorder="1"/>
    <xf numFmtId="0" fontId="0" fillId="0" borderId="50" xfId="0" applyBorder="1"/>
    <xf numFmtId="0" fontId="86" fillId="0" borderId="0" xfId="0" applyFont="1"/>
    <xf numFmtId="0" fontId="90" fillId="0" borderId="0" xfId="0" applyFont="1"/>
    <xf numFmtId="0" fontId="91" fillId="5" borderId="0" xfId="0" applyFont="1" applyFill="1" applyAlignment="1">
      <alignment wrapText="1"/>
    </xf>
    <xf numFmtId="0" fontId="63" fillId="5" borderId="0" xfId="0" applyFont="1" applyFill="1" applyAlignment="1">
      <alignment wrapText="1"/>
    </xf>
    <xf numFmtId="0" fontId="92" fillId="0" borderId="54" xfId="0" applyFont="1" applyBorder="1"/>
    <xf numFmtId="0" fontId="55" fillId="0" borderId="0" xfId="1"/>
    <xf numFmtId="0" fontId="96" fillId="0" borderId="0" xfId="0" applyFont="1"/>
    <xf numFmtId="0" fontId="97" fillId="0" borderId="0" xfId="0" applyFont="1"/>
    <xf numFmtId="0" fontId="98" fillId="0" borderId="0" xfId="1" quotePrefix="1" applyFont="1"/>
    <xf numFmtId="0" fontId="99" fillId="0" borderId="0" xfId="0" quotePrefix="1" applyFont="1"/>
    <xf numFmtId="0" fontId="100" fillId="0" borderId="30" xfId="0" applyFont="1" applyBorder="1" applyAlignment="1">
      <alignment horizontal="center"/>
    </xf>
    <xf numFmtId="0" fontId="99" fillId="0" borderId="30" xfId="0" applyFont="1" applyBorder="1" applyAlignment="1">
      <alignment horizontal="center"/>
    </xf>
    <xf numFmtId="0" fontId="101" fillId="0" borderId="0" xfId="0" applyFont="1"/>
    <xf numFmtId="0" fontId="102" fillId="0" borderId="0" xfId="0" applyFont="1"/>
    <xf numFmtId="0" fontId="103" fillId="0" borderId="0" xfId="0" applyFont="1"/>
    <xf numFmtId="0" fontId="105" fillId="0" borderId="0" xfId="0" applyFont="1"/>
    <xf numFmtId="0" fontId="100" fillId="0" borderId="0" xfId="0" applyFont="1"/>
    <xf numFmtId="0" fontId="99" fillId="0" borderId="0" xfId="0" applyFont="1"/>
    <xf numFmtId="0" fontId="75" fillId="0" borderId="0" xfId="0" applyFont="1" applyAlignment="1">
      <alignment horizontal="center"/>
    </xf>
    <xf numFmtId="0" fontId="75" fillId="10" borderId="6" xfId="0" applyFont="1" applyFill="1" applyBorder="1"/>
    <xf numFmtId="3" fontId="0" fillId="8" borderId="6" xfId="0" applyNumberFormat="1" applyFill="1" applyBorder="1" applyAlignment="1">
      <alignment wrapText="1"/>
    </xf>
    <xf numFmtId="0" fontId="0" fillId="8" borderId="6" xfId="0" applyFill="1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vertical="center"/>
    </xf>
    <xf numFmtId="0" fontId="0" fillId="8" borderId="6" xfId="0" applyFill="1" applyBorder="1" applyAlignment="1">
      <alignment wrapText="1"/>
    </xf>
    <xf numFmtId="3" fontId="0" fillId="8" borderId="6" xfId="0" applyNumberFormat="1" applyFill="1" applyBorder="1"/>
    <xf numFmtId="3" fontId="0" fillId="0" borderId="6" xfId="0" applyNumberFormat="1" applyBorder="1"/>
    <xf numFmtId="0" fontId="106" fillId="0" borderId="0" xfId="0" applyFont="1"/>
    <xf numFmtId="0" fontId="24" fillId="0" borderId="0" xfId="0" applyFont="1" applyAlignment="1">
      <alignment horizontal="center"/>
    </xf>
    <xf numFmtId="0" fontId="0" fillId="5" borderId="18" xfId="0" applyFill="1" applyBorder="1"/>
    <xf numFmtId="0" fontId="0" fillId="5" borderId="13" xfId="0" applyFill="1" applyBorder="1"/>
    <xf numFmtId="0" fontId="0" fillId="5" borderId="16" xfId="0" applyFill="1" applyBorder="1"/>
    <xf numFmtId="0" fontId="0" fillId="5" borderId="8" xfId="0" applyFill="1" applyBorder="1"/>
    <xf numFmtId="0" fontId="0" fillId="14" borderId="14" xfId="0" applyFont="1" applyFill="1" applyBorder="1"/>
    <xf numFmtId="0" fontId="0" fillId="14" borderId="9" xfId="0" applyFont="1" applyFill="1" applyBorder="1"/>
    <xf numFmtId="9" fontId="13" fillId="0" borderId="0" xfId="0" applyNumberFormat="1" applyFont="1" applyAlignment="1">
      <alignment horizontal="center"/>
    </xf>
    <xf numFmtId="0" fontId="13" fillId="0" borderId="0" xfId="0" quotePrefix="1" applyFont="1" applyAlignment="1">
      <alignment horizontal="center"/>
    </xf>
    <xf numFmtId="0" fontId="106" fillId="0" borderId="0" xfId="0" applyFont="1" applyAlignment="1">
      <alignment wrapText="1"/>
    </xf>
    <xf numFmtId="0" fontId="37" fillId="0" borderId="30" xfId="0" applyFont="1" applyFill="1" applyBorder="1" applyAlignment="1">
      <alignment horizontal="center" wrapText="1"/>
    </xf>
    <xf numFmtId="0" fontId="37" fillId="0" borderId="31" xfId="0" applyFont="1" applyFill="1" applyBorder="1" applyAlignment="1">
      <alignment horizontal="center" wrapText="1"/>
    </xf>
    <xf numFmtId="0" fontId="37" fillId="0" borderId="31" xfId="0" applyFont="1" applyFill="1" applyBorder="1" applyAlignment="1">
      <alignment horizontal="center"/>
    </xf>
    <xf numFmtId="0" fontId="37" fillId="0" borderId="32" xfId="0" applyFont="1" applyFill="1" applyBorder="1" applyAlignment="1">
      <alignment horizontal="center" wrapText="1"/>
    </xf>
    <xf numFmtId="0" fontId="108" fillId="0" borderId="6" xfId="0" applyFont="1" applyBorder="1"/>
    <xf numFmtId="0" fontId="108" fillId="0" borderId="6" xfId="0" applyFont="1" applyBorder="1" applyAlignment="1">
      <alignment horizontal="center"/>
    </xf>
    <xf numFmtId="0" fontId="108" fillId="0" borderId="6" xfId="0" applyFont="1" applyBorder="1" applyAlignment="1">
      <alignment horizontal="center" vertical="center"/>
    </xf>
    <xf numFmtId="0" fontId="108" fillId="0" borderId="9" xfId="0" applyFont="1" applyBorder="1" applyAlignment="1">
      <alignment vertical="center"/>
    </xf>
    <xf numFmtId="0" fontId="111" fillId="0" borderId="0" xfId="0" applyFont="1"/>
    <xf numFmtId="0" fontId="112" fillId="0" borderId="0" xfId="0" applyFont="1" applyAlignment="1">
      <alignment wrapText="1"/>
    </xf>
    <xf numFmtId="0" fontId="48" fillId="0" borderId="0" xfId="0" applyFont="1"/>
    <xf numFmtId="0" fontId="106" fillId="0" borderId="0" xfId="0" applyFont="1" applyAlignment="1"/>
    <xf numFmtId="0" fontId="107" fillId="0" borderId="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7" xfId="0" quotePrefix="1" applyFont="1" applyBorder="1" applyAlignment="1">
      <alignment horizontal="center"/>
    </xf>
    <xf numFmtId="0" fontId="113" fillId="0" borderId="0" xfId="0" applyFont="1" applyAlignment="1">
      <alignment horizontal="center"/>
    </xf>
    <xf numFmtId="0" fontId="114" fillId="0" borderId="0" xfId="0" applyFont="1" applyAlignment="1">
      <alignment horizontal="center"/>
    </xf>
    <xf numFmtId="3" fontId="114" fillId="0" borderId="0" xfId="0" applyNumberFormat="1" applyFont="1" applyAlignment="1">
      <alignment horizontal="center"/>
    </xf>
    <xf numFmtId="0" fontId="115" fillId="0" borderId="0" xfId="0" applyFont="1" applyFill="1" applyBorder="1" applyAlignment="1">
      <alignment horizontal="center"/>
    </xf>
    <xf numFmtId="16" fontId="115" fillId="0" borderId="0" xfId="0" applyNumberFormat="1" applyFont="1" applyFill="1" applyBorder="1" applyAlignment="1">
      <alignment horizontal="center"/>
    </xf>
    <xf numFmtId="0" fontId="113" fillId="0" borderId="0" xfId="0" applyFont="1" applyAlignment="1">
      <alignment horizontal="left"/>
    </xf>
    <xf numFmtId="0" fontId="115" fillId="0" borderId="0" xfId="0" applyFont="1"/>
    <xf numFmtId="0" fontId="116" fillId="0" borderId="0" xfId="0" applyFont="1" applyAlignment="1">
      <alignment horizontal="center"/>
    </xf>
    <xf numFmtId="0" fontId="116" fillId="0" borderId="30" xfId="0" applyFont="1" applyFill="1" applyBorder="1" applyAlignment="1">
      <alignment horizontal="center"/>
    </xf>
    <xf numFmtId="0" fontId="10" fillId="0" borderId="3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113" fillId="0" borderId="0" xfId="0" applyFont="1"/>
    <xf numFmtId="0" fontId="114" fillId="0" borderId="0" xfId="0" applyFont="1"/>
    <xf numFmtId="0" fontId="116" fillId="0" borderId="0" xfId="0" applyFont="1"/>
    <xf numFmtId="0" fontId="0" fillId="0" borderId="0" xfId="0" applyAlignment="1">
      <alignment horizontal="center"/>
    </xf>
    <xf numFmtId="0" fontId="44" fillId="5" borderId="8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center" wrapText="1"/>
    </xf>
    <xf numFmtId="0" fontId="2" fillId="0" borderId="0" xfId="0" applyFont="1" applyFill="1" applyBorder="1" applyAlignment="1">
      <alignment horizontal="center"/>
    </xf>
    <xf numFmtId="0" fontId="10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1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0" fillId="0" borderId="15" xfId="0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35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49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47" fillId="8" borderId="8" xfId="0" applyFont="1" applyFill="1" applyBorder="1" applyAlignment="1">
      <alignment horizontal="center"/>
    </xf>
    <xf numFmtId="0" fontId="48" fillId="8" borderId="8" xfId="0" applyFont="1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75" fillId="10" borderId="15" xfId="0" applyFont="1" applyFill="1" applyBorder="1" applyAlignment="1">
      <alignment horizontal="center" vertical="top" wrapText="1"/>
    </xf>
    <xf numFmtId="0" fontId="75" fillId="10" borderId="7" xfId="0" applyFont="1" applyFill="1" applyBorder="1" applyAlignment="1">
      <alignment horizontal="center" vertical="top" wrapText="1"/>
    </xf>
    <xf numFmtId="0" fontId="75" fillId="10" borderId="14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8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8" borderId="7" xfId="0" applyFont="1" applyFill="1" applyBorder="1" applyAlignment="1">
      <alignment horizontal="center"/>
    </xf>
    <xf numFmtId="0" fontId="44" fillId="5" borderId="8" xfId="0" applyFont="1" applyFill="1" applyBorder="1" applyAlignment="1">
      <alignment horizontal="center" vertical="center"/>
    </xf>
    <xf numFmtId="0" fontId="44" fillId="5" borderId="19" xfId="0" applyFont="1" applyFill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74" fillId="10" borderId="8" xfId="0" applyFont="1" applyFill="1" applyBorder="1" applyAlignment="1">
      <alignment horizontal="center" vertical="center"/>
    </xf>
    <xf numFmtId="0" fontId="74" fillId="10" borderId="19" xfId="0" applyFont="1" applyFill="1" applyBorder="1" applyAlignment="1">
      <alignment horizontal="center" vertical="center"/>
    </xf>
    <xf numFmtId="0" fontId="74" fillId="10" borderId="9" xfId="0" applyFont="1" applyFill="1" applyBorder="1" applyAlignment="1">
      <alignment horizontal="center" vertical="center"/>
    </xf>
    <xf numFmtId="0" fontId="46" fillId="9" borderId="0" xfId="0" applyFont="1" applyFill="1" applyAlignment="1"/>
    <xf numFmtId="0" fontId="76" fillId="0" borderId="7" xfId="0" applyFont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0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80" fillId="0" borderId="5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center"/>
    </xf>
    <xf numFmtId="0" fontId="40" fillId="0" borderId="0" xfId="0" applyFont="1" applyFill="1" applyBorder="1" applyAlignment="1">
      <alignment horizontal="center"/>
    </xf>
    <xf numFmtId="0" fontId="9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8" fillId="0" borderId="0" xfId="0" applyFont="1" applyFill="1" applyBorder="1" applyAlignment="1">
      <alignment horizontal="center" wrapText="1"/>
    </xf>
    <xf numFmtId="0" fontId="8" fillId="0" borderId="0" xfId="0" applyFont="1" applyFill="1" applyBorder="1" applyAlignment="1">
      <alignment horizontal="center" wrapText="1"/>
    </xf>
    <xf numFmtId="0" fontId="17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55" fillId="0" borderId="8" xfId="1" applyBorder="1" applyAlignment="1">
      <alignment horizontal="center" textRotation="180"/>
    </xf>
    <xf numFmtId="0" fontId="55" fillId="0" borderId="19" xfId="1" applyBorder="1" applyAlignment="1">
      <alignment horizontal="center" textRotation="180"/>
    </xf>
    <xf numFmtId="0" fontId="55" fillId="0" borderId="9" xfId="1" applyBorder="1" applyAlignment="1">
      <alignment horizontal="center" textRotation="180"/>
    </xf>
    <xf numFmtId="0" fontId="21" fillId="0" borderId="8" xfId="0" applyFont="1" applyFill="1" applyBorder="1" applyAlignment="1">
      <alignment horizontal="center"/>
    </xf>
    <xf numFmtId="0" fontId="21" fillId="0" borderId="19" xfId="0" applyFont="1" applyFill="1" applyBorder="1" applyAlignment="1">
      <alignment horizontal="center"/>
    </xf>
    <xf numFmtId="0" fontId="21" fillId="0" borderId="9" xfId="0" applyFont="1" applyFill="1" applyBorder="1" applyAlignment="1">
      <alignment horizontal="center"/>
    </xf>
    <xf numFmtId="0" fontId="81" fillId="13" borderId="7" xfId="0" applyFont="1" applyFill="1" applyBorder="1" applyAlignment="1">
      <alignment horizontal="center" wrapText="1"/>
    </xf>
    <xf numFmtId="0" fontId="24" fillId="13" borderId="7" xfId="0" applyFont="1" applyFill="1" applyBorder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6" fillId="7" borderId="0" xfId="0" applyFont="1" applyFill="1" applyAlignment="1"/>
    <xf numFmtId="0" fontId="27" fillId="0" borderId="20" xfId="0" applyFont="1" applyBorder="1" applyAlignment="1"/>
    <xf numFmtId="0" fontId="27" fillId="0" borderId="21" xfId="0" applyFont="1" applyBorder="1" applyAlignment="1"/>
    <xf numFmtId="0" fontId="28" fillId="6" borderId="22" xfId="0" applyFont="1" applyFill="1" applyBorder="1" applyAlignment="1">
      <alignment horizontal="center"/>
    </xf>
    <xf numFmtId="0" fontId="28" fillId="6" borderId="23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13" xfId="0" applyFont="1" applyBorder="1" applyAlignment="1">
      <alignment horizontal="center"/>
    </xf>
    <xf numFmtId="0" fontId="59" fillId="0" borderId="8" xfId="0" applyFont="1" applyBorder="1" applyAlignment="1">
      <alignment horizontal="center"/>
    </xf>
    <xf numFmtId="0" fontId="59" fillId="0" borderId="9" xfId="0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60" fillId="0" borderId="0" xfId="0" applyFont="1" applyAlignment="1">
      <alignment horizontal="center"/>
    </xf>
    <xf numFmtId="0" fontId="60" fillId="0" borderId="7" xfId="0" applyFont="1" applyBorder="1" applyAlignment="1">
      <alignment horizontal="center"/>
    </xf>
    <xf numFmtId="0" fontId="10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09" fillId="0" borderId="0" xfId="0" applyFont="1" applyAlignment="1">
      <alignment horizontal="left" wrapText="1"/>
    </xf>
    <xf numFmtId="0" fontId="107" fillId="0" borderId="0" xfId="0" applyFont="1" applyAlignment="1">
      <alignment horizontal="left" wrapText="1"/>
    </xf>
    <xf numFmtId="0" fontId="117" fillId="0" borderId="0" xfId="0" applyFont="1" applyAlignment="1">
      <alignment horizontal="center"/>
    </xf>
    <xf numFmtId="0" fontId="85" fillId="0" borderId="40" xfId="0" applyFont="1" applyBorder="1" applyAlignment="1">
      <alignment horizontal="center" vertical="center"/>
    </xf>
    <xf numFmtId="0" fontId="85" fillId="0" borderId="44" xfId="0" applyFont="1" applyBorder="1" applyAlignment="1">
      <alignment horizontal="center" vertical="center"/>
    </xf>
    <xf numFmtId="0" fontId="85" fillId="0" borderId="45" xfId="0" applyFont="1" applyBorder="1" applyAlignment="1">
      <alignment horizontal="center" vertical="center"/>
    </xf>
    <xf numFmtId="0" fontId="85" fillId="0" borderId="41" xfId="0" applyFont="1" applyBorder="1" applyAlignment="1">
      <alignment horizontal="center" vertical="center"/>
    </xf>
    <xf numFmtId="0" fontId="85" fillId="0" borderId="46" xfId="0" applyFont="1" applyBorder="1" applyAlignment="1">
      <alignment horizontal="center" vertical="center"/>
    </xf>
    <xf numFmtId="0" fontId="85" fillId="0" borderId="42" xfId="0" applyFont="1" applyBorder="1" applyAlignment="1">
      <alignment horizontal="center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7" xfId="0" applyFont="1" applyBorder="1" applyAlignment="1">
      <alignment horizontal="center" vertical="center" wrapText="1"/>
    </xf>
    <xf numFmtId="0" fontId="85" fillId="0" borderId="48" xfId="0" applyFont="1" applyBorder="1" applyAlignment="1">
      <alignment horizontal="center" vertical="center" wrapText="1"/>
    </xf>
    <xf numFmtId="0" fontId="86" fillId="0" borderId="45" xfId="0" applyFont="1" applyBorder="1" applyAlignment="1">
      <alignment horizontal="center"/>
    </xf>
    <xf numFmtId="0" fontId="86" fillId="0" borderId="49" xfId="0" applyFont="1" applyBorder="1" applyAlignment="1">
      <alignment horizontal="center"/>
    </xf>
    <xf numFmtId="0" fontId="86" fillId="0" borderId="45" xfId="0" applyFont="1" applyBorder="1" applyAlignment="1">
      <alignment horizontal="center" wrapText="1"/>
    </xf>
    <xf numFmtId="0" fontId="86" fillId="0" borderId="49" xfId="0" applyFont="1" applyBorder="1" applyAlignment="1">
      <alignment horizontal="left" wrapText="1"/>
    </xf>
    <xf numFmtId="0" fontId="0" fillId="0" borderId="45" xfId="0" applyBorder="1" applyAlignment="1">
      <alignment horizontal="center"/>
    </xf>
    <xf numFmtId="0" fontId="87" fillId="0" borderId="49" xfId="0" applyFont="1" applyBorder="1" applyAlignment="1">
      <alignment horizontal="left" wrapText="1"/>
    </xf>
    <xf numFmtId="0" fontId="86" fillId="0" borderId="0" xfId="0" applyFont="1" applyAlignment="1">
      <alignment horizontal="center" wrapText="1"/>
    </xf>
    <xf numFmtId="0" fontId="86" fillId="0" borderId="49" xfId="0" applyFont="1" applyBorder="1" applyAlignment="1">
      <alignment horizontal="center" wrapText="1"/>
    </xf>
    <xf numFmtId="0" fontId="87" fillId="0" borderId="45" xfId="0" applyFont="1" applyBorder="1" applyAlignment="1">
      <alignment horizontal="center"/>
    </xf>
    <xf numFmtId="0" fontId="86" fillId="0" borderId="0" xfId="0" applyFont="1" applyAlignment="1">
      <alignment horizontal="left" wrapText="1"/>
    </xf>
    <xf numFmtId="0" fontId="85" fillId="0" borderId="51" xfId="0" applyFont="1" applyBorder="1" applyAlignment="1">
      <alignment horizontal="center"/>
    </xf>
    <xf numFmtId="0" fontId="85" fillId="0" borderId="52" xfId="0" applyFont="1" applyBorder="1" applyAlignment="1">
      <alignment horizontal="center"/>
    </xf>
    <xf numFmtId="0" fontId="85" fillId="0" borderId="53" xfId="0" applyFon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49" xfId="0" applyBorder="1" applyAlignment="1">
      <alignment horizontal="center" wrapText="1"/>
    </xf>
    <xf numFmtId="0" fontId="0" fillId="0" borderId="44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7" xfId="0" applyBorder="1" applyAlignment="1">
      <alignment horizontal="center"/>
    </xf>
    <xf numFmtId="0" fontId="89" fillId="0" borderId="0" xfId="0" applyFont="1" applyAlignment="1">
      <alignment horizontal="center"/>
    </xf>
    <xf numFmtId="0" fontId="88" fillId="0" borderId="0" xfId="0" applyFont="1" applyAlignment="1">
      <alignment horizontal="center"/>
    </xf>
    <xf numFmtId="0" fontId="86" fillId="0" borderId="45" xfId="0" applyFont="1" applyBorder="1" applyAlignment="1">
      <alignment horizontal="left"/>
    </xf>
    <xf numFmtId="0" fontId="86" fillId="0" borderId="49" xfId="0" applyFont="1" applyBorder="1" applyAlignment="1">
      <alignment horizontal="left"/>
    </xf>
    <xf numFmtId="0" fontId="86" fillId="0" borderId="0" xfId="0" applyFont="1" applyAlignment="1">
      <alignment horizontal="left"/>
    </xf>
    <xf numFmtId="0" fontId="85" fillId="0" borderId="40" xfId="0" applyFont="1" applyBorder="1" applyAlignment="1">
      <alignment horizontal="center"/>
    </xf>
    <xf numFmtId="0" fontId="85" fillId="0" borderId="42" xfId="0" applyFont="1" applyBorder="1" applyAlignment="1">
      <alignment horizontal="center"/>
    </xf>
    <xf numFmtId="0" fontId="86" fillId="0" borderId="40" xfId="0" applyFont="1" applyBorder="1" applyAlignment="1">
      <alignment horizontal="left"/>
    </xf>
    <xf numFmtId="0" fontId="86" fillId="0" borderId="43" xfId="0" applyFont="1" applyBorder="1" applyAlignment="1">
      <alignment horizontal="left"/>
    </xf>
    <xf numFmtId="0" fontId="86" fillId="0" borderId="42" xfId="0" applyFont="1" applyBorder="1" applyAlignment="1">
      <alignment horizontal="left"/>
    </xf>
    <xf numFmtId="0" fontId="61" fillId="0" borderId="0" xfId="0" applyFont="1" applyFill="1" applyBorder="1" applyAlignment="1"/>
    <xf numFmtId="0" fontId="30" fillId="0" borderId="0" xfId="0" applyFont="1" applyFill="1" applyBorder="1" applyAlignment="1"/>
    <xf numFmtId="0" fontId="61" fillId="0" borderId="0" xfId="0" applyFont="1" applyFill="1" applyBorder="1" applyAlignment="1">
      <alignment wrapText="1"/>
    </xf>
    <xf numFmtId="0" fontId="30" fillId="0" borderId="0" xfId="0" applyFont="1" applyFill="1" applyBorder="1" applyAlignment="1">
      <alignment wrapText="1"/>
    </xf>
    <xf numFmtId="0" fontId="31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118" fillId="0" borderId="6" xfId="0" applyFont="1" applyBorder="1" applyAlignment="1">
      <alignment horizontal="center"/>
    </xf>
    <xf numFmtId="0" fontId="118" fillId="0" borderId="6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/>
    </xf>
    <xf numFmtId="0" fontId="53" fillId="0" borderId="6" xfId="0" applyFont="1" applyBorder="1" applyAlignment="1">
      <alignment horizontal="center" vertical="center" wrapText="1"/>
    </xf>
    <xf numFmtId="0" fontId="33" fillId="0" borderId="26" xfId="0" applyFont="1" applyBorder="1" applyAlignment="1">
      <alignment horizontal="center"/>
    </xf>
    <xf numFmtId="0" fontId="33" fillId="0" borderId="28" xfId="0" applyFont="1" applyBorder="1" applyAlignment="1">
      <alignment horizontal="center"/>
    </xf>
    <xf numFmtId="0" fontId="33" fillId="0" borderId="36" xfId="0" applyFont="1" applyBorder="1" applyAlignment="1">
      <alignment horizontal="center"/>
    </xf>
    <xf numFmtId="0" fontId="32" fillId="0" borderId="25" xfId="0" applyFont="1" applyBorder="1" applyAlignment="1">
      <alignment horizontal="center" vertical="center" wrapText="1"/>
    </xf>
    <xf numFmtId="0" fontId="53" fillId="0" borderId="29" xfId="0" applyFont="1" applyBorder="1" applyAlignment="1">
      <alignment horizontal="center"/>
    </xf>
    <xf numFmtId="0" fontId="39" fillId="0" borderId="26" xfId="0" applyFont="1" applyBorder="1" applyAlignment="1">
      <alignment horizontal="center" vertical="center"/>
    </xf>
    <xf numFmtId="0" fontId="39" fillId="0" borderId="36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/>
    </xf>
    <xf numFmtId="0" fontId="34" fillId="0" borderId="28" xfId="0" applyFont="1" applyBorder="1" applyAlignment="1">
      <alignment horizontal="center"/>
    </xf>
    <xf numFmtId="0" fontId="34" fillId="0" borderId="36" xfId="0" applyFont="1" applyBorder="1" applyAlignment="1">
      <alignment horizontal="center"/>
    </xf>
    <xf numFmtId="0" fontId="39" fillId="0" borderId="26" xfId="0" applyFont="1" applyBorder="1" applyAlignment="1">
      <alignment horizontal="center"/>
    </xf>
    <xf numFmtId="0" fontId="39" fillId="0" borderId="28" xfId="0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118" fillId="0" borderId="26" xfId="0" applyFont="1" applyBorder="1" applyAlignment="1">
      <alignment horizontal="center"/>
    </xf>
    <xf numFmtId="0" fontId="118" fillId="0" borderId="28" xfId="0" applyFont="1" applyBorder="1" applyAlignment="1">
      <alignment horizontal="center"/>
    </xf>
    <xf numFmtId="0" fontId="118" fillId="0" borderId="36" xfId="0" applyFont="1" applyBorder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2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8EA9DB"/>
        </right>
        <top style="thin">
          <color rgb="FF8EA9DB"/>
        </top>
        <bottom style="thin">
          <color rgb="FF8EA9DB"/>
        </bottom>
        <vertical/>
        <horizontal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wrapText="1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ptos Narrow"/>
        <family val="2"/>
        <scheme val="minor"/>
      </font>
      <fill>
        <patternFill patternType="solid">
          <fgColor indexed="64"/>
          <bgColor theme="3"/>
        </patternFill>
      </fill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/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color theme="1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colors>
    <mruColors>
      <color rgb="FF1B6B4B"/>
      <color rgb="FF369971"/>
      <color rgb="FF277A59"/>
      <color rgb="FF526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276225</xdr:colOff>
      <xdr:row>42</xdr:row>
      <xdr:rowOff>152400</xdr:rowOff>
    </xdr:from>
    <xdr:to>
      <xdr:col>6</xdr:col>
      <xdr:colOff>1514475</xdr:colOff>
      <xdr:row>69</xdr:row>
      <xdr:rowOff>47625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4BD067-A69A-EE79-1CFF-0726B528B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6225" y="12477750"/>
          <a:ext cx="12696825" cy="6524625"/>
        </a:xfrm>
        <a:prstGeom prst="rect">
          <a:avLst/>
        </a:prstGeom>
      </xdr:spPr>
    </xdr:pic>
    <xdr:clientData/>
  </xdr:twoCellAnchor>
  <xdr:twoCellAnchor editAs="oneCell">
    <xdr:from>
      <xdr:col>7</xdr:col>
      <xdr:colOff>1609725</xdr:colOff>
      <xdr:row>41</xdr:row>
      <xdr:rowOff>228600</xdr:rowOff>
    </xdr:from>
    <xdr:to>
      <xdr:col>13</xdr:col>
      <xdr:colOff>1133475</xdr:colOff>
      <xdr:row>70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86D735-B357-11CE-C8BE-1B6E08ACF875}"/>
            </a:ext>
            <a:ext uri="{147F2762-F138-4A5C-976F-8EAC2B608ADB}">
              <a16:predDERef xmlns:a16="http://schemas.microsoft.com/office/drawing/2014/main" pred="{A14BD067-A69A-EE79-1CFF-0726B528B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30500" y="12287250"/>
          <a:ext cx="13144500" cy="7000875"/>
        </a:xfrm>
        <a:prstGeom prst="rect">
          <a:avLst/>
        </a:prstGeom>
      </xdr:spPr>
    </xdr:pic>
    <xdr:clientData/>
  </xdr:twoCellAnchor>
  <xdr:twoCellAnchor editAs="oneCell">
    <xdr:from>
      <xdr:col>0</xdr:col>
      <xdr:colOff>1209675</xdr:colOff>
      <xdr:row>82</xdr:row>
      <xdr:rowOff>104775</xdr:rowOff>
    </xdr:from>
    <xdr:to>
      <xdr:col>7</xdr:col>
      <xdr:colOff>638175</xdr:colOff>
      <xdr:row>119</xdr:row>
      <xdr:rowOff>95250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62C9B2A4-53E0-FC31-2DF2-435377D0EE05}"/>
            </a:ext>
            <a:ext uri="{147F2762-F138-4A5C-976F-8EAC2B608ADB}">
              <a16:predDERef xmlns:a16="http://schemas.microsoft.com/office/drawing/2014/main" pred="{9C86D735-B357-11CE-C8BE-1B6E08ACF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09675" y="21040725"/>
          <a:ext cx="13249275" cy="7038975"/>
        </a:xfrm>
        <a:prstGeom prst="rect">
          <a:avLst/>
        </a:prstGeom>
      </xdr:spPr>
    </xdr:pic>
    <xdr:clientData/>
  </xdr:twoCellAnchor>
  <xdr:twoCellAnchor editAs="oneCell">
    <xdr:from>
      <xdr:col>8</xdr:col>
      <xdr:colOff>390525</xdr:colOff>
      <xdr:row>82</xdr:row>
      <xdr:rowOff>95250</xdr:rowOff>
    </xdr:from>
    <xdr:to>
      <xdr:col>13</xdr:col>
      <xdr:colOff>2038350</xdr:colOff>
      <xdr:row>119</xdr:row>
      <xdr:rowOff>76200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1F311EEB-67EC-B65A-9F0C-292C6AEEBDC8}"/>
            </a:ext>
            <a:ext uri="{147F2762-F138-4A5C-976F-8EAC2B608ADB}">
              <a16:predDERef xmlns:a16="http://schemas.microsoft.com/office/drawing/2014/main" pred="{62C9B2A4-53E0-FC31-2DF2-435377D0E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21031200"/>
          <a:ext cx="13296900" cy="7029450"/>
        </a:xfrm>
        <a:prstGeom prst="rect">
          <a:avLst/>
        </a:prstGeom>
      </xdr:spPr>
    </xdr:pic>
    <xdr:clientData/>
  </xdr:twoCellAnchor>
  <xdr:twoCellAnchor editAs="oneCell">
    <xdr:from>
      <xdr:col>0</xdr:col>
      <xdr:colOff>342900</xdr:colOff>
      <xdr:row>36</xdr:row>
      <xdr:rowOff>133350</xdr:rowOff>
    </xdr:from>
    <xdr:to>
      <xdr:col>6</xdr:col>
      <xdr:colOff>1009650</xdr:colOff>
      <xdr:row>39</xdr:row>
      <xdr:rowOff>276225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A3CDB69A-515C-2551-FF30-3416BC8F4C99}"/>
            </a:ext>
            <a:ext uri="{147F2762-F138-4A5C-976F-8EAC2B608ADB}">
              <a16:predDERef xmlns:a16="http://schemas.microsoft.com/office/drawing/2014/main" pred="{1F311EEB-67EC-B65A-9F0C-292C6AEE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2900" y="10858500"/>
          <a:ext cx="12125325" cy="1057275"/>
        </a:xfrm>
        <a:prstGeom prst="rect">
          <a:avLst/>
        </a:prstGeom>
      </xdr:spPr>
    </xdr:pic>
    <xdr:clientData/>
  </xdr:twoCellAnchor>
  <xdr:twoCellAnchor editAs="oneCell">
    <xdr:from>
      <xdr:col>7</xdr:col>
      <xdr:colOff>1466850</xdr:colOff>
      <xdr:row>36</xdr:row>
      <xdr:rowOff>104775</xdr:rowOff>
    </xdr:from>
    <xdr:to>
      <xdr:col>13</xdr:col>
      <xdr:colOff>752475</xdr:colOff>
      <xdr:row>39</xdr:row>
      <xdr:rowOff>171450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2008BFA4-BFA5-E616-E371-139E492AF065}"/>
            </a:ext>
            <a:ext uri="{147F2762-F138-4A5C-976F-8EAC2B608ADB}">
              <a16:predDERef xmlns:a16="http://schemas.microsoft.com/office/drawing/2014/main" pred="{A3CDB69A-515C-2551-FF30-3416BC8F4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287625" y="10829925"/>
          <a:ext cx="12906375" cy="981075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133350</xdr:colOff>
      <xdr:row>76</xdr:row>
      <xdr:rowOff>152400</xdr:rowOff>
    </xdr:from>
    <xdr:to>
      <xdr:col>6</xdr:col>
      <xdr:colOff>1628775</xdr:colOff>
      <xdr:row>82</xdr:row>
      <xdr:rowOff>152400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71E396EB-804E-1CF6-FA57-64AB3F6FA2FA}"/>
            </a:ext>
            <a:ext uri="{147F2762-F138-4A5C-976F-8EAC2B608ADB}">
              <a16:predDERef xmlns:a16="http://schemas.microsoft.com/office/drawing/2014/main" pred="{2008BFA4-BFA5-E616-E371-139E492AF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3350" y="19945350"/>
          <a:ext cx="12954000" cy="1143000"/>
        </a:xfrm>
        <a:prstGeom prst="rect">
          <a:avLst/>
        </a:prstGeom>
      </xdr:spPr>
    </xdr:pic>
    <xdr:clientData/>
  </xdr:twoCellAnchor>
  <xdr:twoCellAnchor editAs="oneCell">
    <xdr:from>
      <xdr:col>7</xdr:col>
      <xdr:colOff>1628775</xdr:colOff>
      <xdr:row>76</xdr:row>
      <xdr:rowOff>171450</xdr:rowOff>
    </xdr:from>
    <xdr:to>
      <xdr:col>13</xdr:col>
      <xdr:colOff>95250</xdr:colOff>
      <xdr:row>82</xdr:row>
      <xdr:rowOff>95250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3504C160-19E7-30D5-8834-D2D705FEFE99}"/>
            </a:ext>
            <a:ext uri="{147F2762-F138-4A5C-976F-8EAC2B608ADB}">
              <a16:predDERef xmlns:a16="http://schemas.microsoft.com/office/drawing/2014/main" pred="{71E396EB-804E-1CF6-FA57-64AB3F6FA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449550" y="19964400"/>
          <a:ext cx="12087225" cy="1066800"/>
        </a:xfrm>
        <a:prstGeom prst="rect">
          <a:avLst/>
        </a:prstGeom>
      </xdr:spPr>
    </xdr:pic>
    <xdr:clientData/>
  </xdr:twoCellAnchor>
  <xdr:twoCellAnchor editAs="oneCell">
    <xdr:from>
      <xdr:col>1</xdr:col>
      <xdr:colOff>1857375</xdr:colOff>
      <xdr:row>30</xdr:row>
      <xdr:rowOff>180975</xdr:rowOff>
    </xdr:from>
    <xdr:to>
      <xdr:col>11</xdr:col>
      <xdr:colOff>1581150</xdr:colOff>
      <xdr:row>35</xdr:row>
      <xdr:rowOff>57150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E6F251FC-0630-2A57-13A5-C73F1B38A562}"/>
            </a:ext>
            <a:ext uri="{147F2762-F138-4A5C-976F-8EAC2B608ADB}">
              <a16:predDERef xmlns:a16="http://schemas.microsoft.com/office/drawing/2014/main" pred="{3504C160-19E7-30D5-8834-D2D705FEF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171950" y="9305925"/>
          <a:ext cx="18716625" cy="1400175"/>
        </a:xfrm>
        <a:prstGeom prst="rect">
          <a:avLst/>
        </a:prstGeom>
      </xdr:spPr>
    </xdr:pic>
    <xdr:clientData/>
  </xdr:twoCellAnchor>
  <xdr:twoCellAnchor editAs="oneCell">
    <xdr:from>
      <xdr:col>13</xdr:col>
      <xdr:colOff>2914650</xdr:colOff>
      <xdr:row>62</xdr:row>
      <xdr:rowOff>57150</xdr:rowOff>
    </xdr:from>
    <xdr:to>
      <xdr:col>17</xdr:col>
      <xdr:colOff>1123950</xdr:colOff>
      <xdr:row>108</xdr:row>
      <xdr:rowOff>95250</xdr:rowOff>
    </xdr:to>
    <xdr:pic>
      <xdr:nvPicPr>
        <xdr:cNvPr id="13" name="Image 12">
          <a:extLst>
            <a:ext uri="{FF2B5EF4-FFF2-40B4-BE49-F238E27FC236}">
              <a16:creationId xmlns:a16="http://schemas.microsoft.com/office/drawing/2014/main" id="{80DA210C-200E-DEF4-8858-099F0A17F76D}"/>
            </a:ext>
            <a:ext uri="{147F2762-F138-4A5C-976F-8EAC2B608ADB}">
              <a16:predDERef xmlns:a16="http://schemas.microsoft.com/office/drawing/2014/main" pred="{E6F251FC-0630-2A57-13A5-C73F1B38A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0356175" y="17183100"/>
          <a:ext cx="13182600" cy="8801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7</xdr:row>
      <xdr:rowOff>0</xdr:rowOff>
    </xdr:from>
    <xdr:to>
      <xdr:col>10</xdr:col>
      <xdr:colOff>1238250</xdr:colOff>
      <xdr:row>8</xdr:row>
      <xdr:rowOff>133350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A7640084-5AA8-7F7E-E2B9-C45878E3C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335750" y="1943100"/>
          <a:ext cx="1238250" cy="3619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02E52B62-B1FB-48C7-92A0-239BF5515333}" userId="" providerId="Windows Live"/>
  <person displayName="Utilisateur invité" id="{4D9BE69F-A665-4781-85A1-D80CE12975BE}" userId="" providerId="Windows Live"/>
  <person displayName="Bénéwendé Arcus Marie ZOUNGRANA" id="{8B06D484-4323-44DE-8D2D-5F7F6535D9C7}" userId="647fc5cb643b48aa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73D65F-1692-4B6F-ACBD-B970F0C9618C}" name="Tableau1" displayName="Tableau1" ref="B15:F28" totalsRowShown="0" headerRowDxfId="235" dataDxfId="234" headerRowBorderDxfId="232" tableBorderDxfId="233" totalsRowBorderDxfId="231">
  <autoFilter ref="B15:F28" xr:uid="{F673D65F-1692-4B6F-ACBD-B970F0C9618C}"/>
  <tableColumns count="5">
    <tableColumn id="1" xr3:uid="{8BE80457-E83F-48BD-9CCA-34F89394B9F3}" name="Parameter" dataDxfId="230"/>
    <tableColumn id="2" xr3:uid="{1C3528C0-5FF9-45DC-BE8A-C51F967902CD}" name="Value" dataDxfId="229"/>
    <tableColumn id="3" xr3:uid="{F8A23DD8-6CC6-48B4-91D8-32BCDCBCB300}" name="Unit / Note" dataDxfId="228"/>
    <tableColumn id="4" xr3:uid="{4FFF6FA0-9254-4565-ADB5-4FEA8A1F385B}" name="Value (€)" dataDxfId="227"/>
    <tableColumn id="5" xr3:uid="{188E651A-9D49-4753-99B7-CBE8099DB3D4}" name="Source" dataDxfId="2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5A703-DECB-4789-B081-5947B32F6A21}" name="Tableau2" displayName="Tableau2" ref="B48:O57" totalsRowShown="0" headerRowDxfId="225" dataDxfId="224" headerRowBorderDxfId="222" tableBorderDxfId="223" totalsRowBorderDxfId="221">
  <autoFilter ref="B48:O57" xr:uid="{3D65A703-DECB-4789-B081-5947B32F6A21}"/>
  <tableColumns count="14">
    <tableColumn id="1" xr3:uid="{0EBA9C85-FA04-4D91-9C82-5330A4298C53}" name="Scenario_ha" dataDxfId="220"/>
    <tableColumn id="2" xr3:uid="{3FA0CF62-7712-4C22-BBDE-528E9C6931EA}" name="Year" dataDxfId="219"/>
    <tableColumn id="3" xr3:uid="{79189D57-48CD-4781-8FA2-B6B27B693315}" name="Usable_fresh_kg" dataDxfId="218"/>
    <tableColumn id="4" xr3:uid="{53B109E4-4C70-4FD5-94B6-087D28C95AA3}" name="Dried_kg" dataDxfId="217">
      <calculatedColumnFormula>Tableau2[[#This Row],[Usable_fresh_kg]]*0.1</calculatedColumnFormula>
    </tableColumn>
    <tableColumn id="5" xr3:uid="{2BB57AE7-0AE2-45F7-9BF3-BD079614DFE4}" name="Export_price_FCFA" dataDxfId="216"/>
    <tableColumn id="6" xr3:uid="{606C25C1-2248-4EF1-ACFE-083EB9AF9606}" name="Unit_cost_FCFA_per_kg" dataDxfId="215"/>
    <tableColumn id="7" xr3:uid="{F1C27FE0-6137-49E0-89A3-61F7BDD81E51}" name="Cost_yearly_dried_mango_FCFA" dataDxfId="214">
      <calculatedColumnFormula>Tableau2[[#This Row],[Unit_cost_FCFA_per_kg]]*Tableau2[[#This Row],[Dried_kg]]</calculatedColumnFormula>
    </tableColumn>
    <tableColumn id="9" xr3:uid="{3DE6D678-B326-4B9C-96B7-A6EA7D661F19}" name="Cycles" dataDxfId="213"/>
    <tableColumn id="10" xr3:uid="{DC7152A5-7CA0-48E6-B2D3-310F350C2432}" name="Energy_cost_FCFA" dataDxfId="212"/>
    <tableColumn id="12" xr3:uid="{8A572A5F-BC12-41AB-B410-586772F35AC4}" name="Maintenance_FCFA" dataDxfId="211"/>
    <tableColumn id="13" xr3:uid="{5E4F7F2D-BA49-4A53-A136-C03D5C8DE695}" name="Total_costs_all_FCFA" dataDxfId="210">
      <calculatedColumnFormula>Tableau2[[#This Row],[Cost_yearly_dried_mango_FCFA]]+Tableau2[[#This Row],[Export_price_FCFA]]</calculatedColumnFormula>
    </tableColumn>
    <tableColumn id="15" xr3:uid="{EA140401-8CF2-429F-A4CE-D6AF263F23E8}" name="Net_profit_FCFA" dataDxfId="209">
      <calculatedColumnFormula>Tableau2[[#This Row],[Cost_yearly_dried_mango_FCFA]]-Tableau2[[#This Row],[Energy_cost_FCFA]]-Tableau2[[#This Row],[Maintenance_FCFA]]</calculatedColumnFormula>
    </tableColumn>
    <tableColumn id="21" xr3:uid="{58F900B6-4943-4535-945C-383082244D1A}" name="Inventory_turnover_per_year" dataDxfId="208"/>
    <tableColumn id="24" xr3:uid="{8CE1B667-2A9D-4FC8-887F-7D0AFFEE722C}" name="Dryers_used" dataDxfId="20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33622-EA63-443C-8A36-964387D5E7CA}" name="Tableau3" displayName="Tableau3" ref="B61:O71" totalsRowShown="0" headerRowDxfId="206" dataDxfId="205" headerRowBorderDxfId="203" tableBorderDxfId="204" totalsRowBorderDxfId="202">
  <autoFilter ref="B61:O71" xr:uid="{8FD33622-EA63-443C-8A36-964387D5E7CA}"/>
  <tableColumns count="14">
    <tableColumn id="1" xr3:uid="{5E416C69-58B9-4111-A758-23552D29C30A}" name="Scenario_ha" dataDxfId="201"/>
    <tableColumn id="2" xr3:uid="{73C7D5B1-5A5F-4625-A6A3-E4DAC6928B14}" name="Year" dataDxfId="200"/>
    <tableColumn id="3" xr3:uid="{5A105542-8C33-47CB-AA1C-4DF07E1D355E}" name="Usable_fresh_kg" dataDxfId="199">
      <calculatedColumnFormula>Tableau3[[#This Row],[Scenario_ha]]*D49</calculatedColumnFormula>
    </tableColumn>
    <tableColumn id="4" xr3:uid="{0A219E04-1F20-4157-A237-24D45F03060D}" name="Dried_kg" dataDxfId="198">
      <calculatedColumnFormula>Tableau3[[#This Row],[Usable_fresh_kg]]*0.1</calculatedColumnFormula>
    </tableColumn>
    <tableColumn id="5" xr3:uid="{5A980357-3FB7-409E-96EE-D4845378CAC5}" name="Export_price_FCFA" dataDxfId="197"/>
    <tableColumn id="6" xr3:uid="{7CCE1F0C-89F0-440A-92FC-9FFBD013A911}" name="Unit_cost_FCFA_per_kg" dataDxfId="196"/>
    <tableColumn id="7" xr3:uid="{17AF4A63-ADFD-4AB7-8D6E-2B4671F12453}" name="Cost_yearly_dried_mango_FCFA" dataDxfId="195">
      <calculatedColumnFormula>Tableau3[[#This Row],[Dried_kg]]*Tableau3[[#This Row],[Unit_cost_FCFA_per_kg]]</calculatedColumnFormula>
    </tableColumn>
    <tableColumn id="9" xr3:uid="{412F76C2-ADFC-4189-BA27-B8B779941DCC}" name="Cycles" dataDxfId="194"/>
    <tableColumn id="10" xr3:uid="{519E13B0-BCEF-4AFA-BFB1-CA6BED74AA82}" name="Energy_cost_FCFA" dataDxfId="193"/>
    <tableColumn id="11" xr3:uid="{0E699533-FCF1-4C40-9479-440FE1FF922C}" name="Maintenance" dataDxfId="192"/>
    <tableColumn id="13" xr3:uid="{404195DC-81E3-48F3-9E0D-BD966EC89010}" name="Total_costs_all_FCFA" dataDxfId="191">
      <calculatedColumnFormula>Tableau3[[#This Row],[Cost_yearly_dried_mango_FCFA]]+Tableau3[[#This Row],[Export_price_FCFA]]</calculatedColumnFormula>
    </tableColumn>
    <tableColumn id="15" xr3:uid="{47C0BA32-FED0-4180-8D26-87B2DDA691F2}" name="Net_profit_FCFA" dataDxfId="190">
      <calculatedColumnFormula>Tableau3[[#This Row],[Cost_yearly_dried_mango_FCFA]]-Tableau3[[#This Row],[Energy_cost_FCFA]]-Tableau3[[#This Row],[Maintenance]]</calculatedColumnFormula>
    </tableColumn>
    <tableColumn id="21" xr3:uid="{AB72B77D-6E39-48E0-B88D-2AE80F056AB5}" name="Inventory_turnover_per_year" dataDxfId="189"/>
    <tableColumn id="24" xr3:uid="{D7863CC6-ACB2-4544-8C5D-D476D6572617}" name="Dryers_used" dataDxfId="1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9476B-3C14-41AB-B8E0-E481DCF2A49D}" name="Tableau4" displayName="Tableau4" ref="B101:O111" totalsRowShown="0" headerRowDxfId="187" dataDxfId="186" tableBorderDxfId="185">
  <autoFilter ref="B101:O111" xr:uid="{D7D9476B-3C14-41AB-B8E0-E481DCF2A49D}"/>
  <tableColumns count="14">
    <tableColumn id="1" xr3:uid="{06195EC8-9B3C-4D8A-8B14-5735ED12B49B}" name="Scenario_ha" dataDxfId="184"/>
    <tableColumn id="2" xr3:uid="{BA6608BC-DBB5-455A-83E1-2E76C7FD4904}" name="Year" dataDxfId="183"/>
    <tableColumn id="3" xr3:uid="{AA399D81-B5FD-4FA1-8C9E-18D4191C0E36}" name="Usable_fresh_kg" dataDxfId="182">
      <calculatedColumnFormula>Tableau4[[#This Row],[Scenario_ha]]*D49</calculatedColumnFormula>
    </tableColumn>
    <tableColumn id="4" xr3:uid="{8DE3A762-5A05-424B-AD4B-C6B608E2230C}" name="Dried_kg" dataDxfId="181">
      <calculatedColumnFormula>Tableau4[[#This Row],[Usable_fresh_kg]]*0.1</calculatedColumnFormula>
    </tableColumn>
    <tableColumn id="5" xr3:uid="{65B7686E-37EF-408D-AF5F-C74EAE8A91D5}" name="Export_price_FCFA" dataDxfId="180">
      <calculatedColumnFormula>Tableau4[[#This Row],[Dried_kg]]*C19</calculatedColumnFormula>
    </tableColumn>
    <tableColumn id="6" xr3:uid="{F5F6410F-E4E3-427F-B7BD-B29B4B5D2236}" name="Unit_cost_FCFA_per_kg" dataDxfId="179"/>
    <tableColumn id="7" xr3:uid="{A5D4E676-45B2-47D9-A3D9-497B57ACA335}" name="Cost_yearly_dried_mango_FCFA" dataDxfId="178">
      <calculatedColumnFormula>Tableau4[[#This Row],[Dried_kg]]*Tableau4[[#This Row],[Unit_cost_FCFA_per_kg]]</calculatedColumnFormula>
    </tableColumn>
    <tableColumn id="9" xr3:uid="{D3299ECE-475F-4995-A3C8-F2C456053EEA}" name="Cycles" dataDxfId="177"/>
    <tableColumn id="10" xr3:uid="{8C513700-26EE-4498-98C8-F0B9A35B405B}" name="Energy_cost_FCFA" dataDxfId="176"/>
    <tableColumn id="8" xr3:uid="{1E346CEE-B718-4B1F-A038-A4946B77A8E0}" name="Maintenance" dataDxfId="175"/>
    <tableColumn id="13" xr3:uid="{1014EFB9-87A5-435B-8322-95F3712643DE}" name="Total_costs_all_FCFA" dataDxfId="174">
      <calculatedColumnFormula>Tableau4[[#This Row],[Cost_yearly_dried_mango_FCFA]]+Tableau4[[#This Row],[Export_price_FCFA]]</calculatedColumnFormula>
    </tableColumn>
    <tableColumn id="15" xr3:uid="{84A972C2-6E57-41F3-A8B5-2ECB76E4CA1B}" name="Net_profit_FCFA" dataDxfId="173">
      <calculatedColumnFormula>Tableau4[[#This Row],[Cost_yearly_dried_mango_FCFA]]-Tableau4[[#This Row],[Energy_cost_FCFA]]-Tableau4[[#This Row],[Maintenance]]</calculatedColumnFormula>
    </tableColumn>
    <tableColumn id="21" xr3:uid="{20430465-70CE-44B0-BA70-A6D2B04CF759}" name="Inventory_turnover_per_year" dataDxfId="172"/>
    <tableColumn id="24" xr3:uid="{0AA829FB-F7AC-4916-A4BF-7EF37181EC1F}" name="Dryers_used" dataDxfId="1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3001C-9021-46BA-9167-63B007309843}" name="Tableau5" displayName="Tableau5" ref="B79:O89" totalsRowShown="0" headerRowDxfId="170" dataDxfId="169" tableBorderDxfId="168">
  <autoFilter ref="B79:O89" xr:uid="{F403001C-9021-46BA-9167-63B007309843}"/>
  <tableColumns count="14">
    <tableColumn id="1" xr3:uid="{D3C5DCDA-CB71-48B6-BEE2-DD927183A4C1}" name="Scenario_ha" dataDxfId="167"/>
    <tableColumn id="2" xr3:uid="{A553B19B-44FF-4FC7-BD6E-AB0BE1F99499}" name="Year" dataDxfId="166"/>
    <tableColumn id="3" xr3:uid="{627EC30F-7FCC-4BA0-A19E-A5A42C2397A9}" name="Usable_fresh_kg" dataDxfId="165">
      <calculatedColumnFormula>Tableau5[[#This Row],[Scenario_ha]]*D49</calculatedColumnFormula>
    </tableColumn>
    <tableColumn id="4" xr3:uid="{480F10A2-399F-4B70-800B-D3C241BAF935}" name="Dried_kg" dataDxfId="164">
      <calculatedColumnFormula>Tableau5[[#This Row],[Usable_fresh_kg]]*0.1</calculatedColumnFormula>
    </tableColumn>
    <tableColumn id="5" xr3:uid="{E6E2B480-7424-40B1-872E-2C26A4935142}" name="Export_price_FCFA" dataDxfId="163"/>
    <tableColumn id="6" xr3:uid="{23230D19-05A2-42E7-98AD-5A45D0FB644A}" name="Unit_cost_FCFA_per_kg" dataDxfId="162"/>
    <tableColumn id="7" xr3:uid="{57B990AF-DACC-49D2-A703-17328453126A}" name="Cost_yearly_dried_mango_FCFA" dataDxfId="161"/>
    <tableColumn id="9" xr3:uid="{51B9D710-2071-4F44-A9A9-9888396D08A5}" name="Cycles" dataDxfId="160"/>
    <tableColumn id="10" xr3:uid="{63F111AA-3BD8-4CAC-8A37-FF6E71F33671}" name="Energy_cost_FCFA" dataDxfId="159"/>
    <tableColumn id="8" xr3:uid="{21F9E420-3242-403F-BDF5-DA665FAE2FB9}" name="Maintenance" dataDxfId="158"/>
    <tableColumn id="13" xr3:uid="{94979837-46E0-45E4-BD10-A83776F9F3D5}" name="Total_costs_all_FCFA" dataDxfId="157">
      <calculatedColumnFormula>Tableau5[[#This Row],[Cost_yearly_dried_mango_FCFA]]+Tableau5[[#This Row],[Export_price_FCFA]]</calculatedColumnFormula>
    </tableColumn>
    <tableColumn id="15" xr3:uid="{5AEEF40F-AE19-48EB-9311-7D97035E441F}" name="Net_profit_FCFA" dataDxfId="156">
      <calculatedColumnFormula>Tableau5[[#This Row],[Cost_yearly_dried_mango_FCFA]]-Tableau5[[#This Row],[Energy_cost_FCFA]]-Tableau5[[#This Row],[Maintenance]]</calculatedColumnFormula>
    </tableColumn>
    <tableColumn id="21" xr3:uid="{3C5C3181-D8FE-42DF-9793-53624EB78378}" name="Inventory_turnover_per_year" dataDxfId="155"/>
    <tableColumn id="24" xr3:uid="{0B168F03-E0D6-4520-97EE-E70E4C0DD3B3}" name="Dryers_used" dataDxfId="15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DF9247-C442-4008-8C9C-B601C1DA7993}" name="Tableau6" displayName="Tableau6" ref="B33:H35" totalsRowShown="0" headerRowDxfId="153" dataDxfId="152" headerRowBorderDxfId="150" tableBorderDxfId="151" totalsRowBorderDxfId="149">
  <autoFilter ref="B33:H35" xr:uid="{20DF9247-C442-4008-8C9C-B601C1DA7993}"/>
  <tableColumns count="7">
    <tableColumn id="1" xr3:uid="{68047206-80E5-4650-A565-023A495C2360}" name="add_fan_power_kW" dataDxfId="148"/>
    <tableColumn id="2" xr3:uid="{01AC007E-9C18-46F4-A22C-F0F8FF294ED8}" name="sensor_cost_per_dryer_FCFA" dataDxfId="147"/>
    <tableColumn id="3" xr3:uid="{CC363441-85DE-48C5-A4AC-B5B61230797E}" name="gateway_cost_per_site_FCFA" dataDxfId="146"/>
    <tableColumn id="4" xr3:uid="{01A3C2E3-1051-4E37-A3D9-D1F8530640E2}" name="connectivity_monthly_per_dryer_FCFA" dataDxfId="145"/>
    <tableColumn id="5" xr3:uid="{32173AEA-A092-416F-9DD4-EF90A9AA4676}" name="cloud_subscription_annual_FCFA" dataDxfId="144"/>
    <tableColumn id="6" xr3:uid="{1034937C-A786-40F2-B881-1412CC9A8D4F}" name="installation_cost_per_dryer_FCFA" dataDxfId="143"/>
    <tableColumn id="7" xr3:uid="{AE40C67E-1259-473A-BA99-234FEE4AC873}" name="iot_capex_lifetime_years" dataDxfId="14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AA4CC51-54F7-442A-A21D-8A7B36E49483}" name="Tableau210" displayName="Tableau210" ref="B119:O129" totalsRowShown="0" headerRowDxfId="141" dataDxfId="140" headerRowBorderDxfId="138" tableBorderDxfId="139" totalsRowBorderDxfId="137">
  <autoFilter ref="B119:O129" xr:uid="{0AA4CC51-54F7-442A-A21D-8A7B36E49483}"/>
  <tableColumns count="14">
    <tableColumn id="1" xr3:uid="{6B046B57-04B0-4B5A-9EFC-103B6BA839C5}" name="Scenario_ha" dataDxfId="136"/>
    <tableColumn id="2" xr3:uid="{86A0A0E6-8229-44DB-ABAD-D1D0A9D9A2A9}" name="Year" dataDxfId="135"/>
    <tableColumn id="3" xr3:uid="{5E2FB477-0BC1-4590-A954-0716F4656978}" name="Usable_fresh_kg" dataDxfId="134">
      <calculatedColumnFormula>Tableau210[[#This Row],[Scenario_ha]]*D49</calculatedColumnFormula>
    </tableColumn>
    <tableColumn id="4" xr3:uid="{C7555D94-4A7A-4D4F-8011-FCB092DF0515}" name="Dried_kg" dataDxfId="133">
      <calculatedColumnFormula>Tableau210[[#This Row],[Usable_fresh_kg]]*0.1</calculatedColumnFormula>
    </tableColumn>
    <tableColumn id="5" xr3:uid="{DEDEA4C1-8DAC-46E1-87A4-6584CBEC443B}" name="Export_price_FCFA" dataDxfId="132">
      <calculatedColumnFormula>Tableau210[[#This Row],[Dried_kg]]*C20</calculatedColumnFormula>
    </tableColumn>
    <tableColumn id="6" xr3:uid="{63D57143-1A8E-420D-A85B-A5667DB2BB80}" name="Unit_cost_FCFA_per_kg" dataDxfId="131"/>
    <tableColumn id="7" xr3:uid="{704A430D-0C19-4B24-9957-2C5429A2A0E5}" name="Cost_yearly_dried_mango_FCFA" dataDxfId="130">
      <calculatedColumnFormula>Tableau210[[#This Row],[Unit_cost_FCFA_per_kg]]*Tableau210[[#This Row],[Dried_kg]]</calculatedColumnFormula>
    </tableColumn>
    <tableColumn id="9" xr3:uid="{4604DA90-B0A9-46F3-8605-DE5512622481}" name="Cycles" dataDxfId="129"/>
    <tableColumn id="10" xr3:uid="{ABCA85B1-5C10-4F1A-ADB5-DE25B8379F48}" name="Energy_cost_FCFA" dataDxfId="128"/>
    <tableColumn id="12" xr3:uid="{53FC41C9-0086-46F6-BBC7-E87F58D0C0ED}" name="Maintenance_FCFA" dataDxfId="127"/>
    <tableColumn id="13" xr3:uid="{4B90BEBA-E9FC-49C9-9744-6704DB7343F6}" name="Total_costs_all_FCFA" dataDxfId="126">
      <calculatedColumnFormula>Tableau210[[#This Row],[Cost_yearly_dried_mango_FCFA]]+Tableau210[[#This Row],[Export_price_FCFA]]</calculatedColumnFormula>
    </tableColumn>
    <tableColumn id="15" xr3:uid="{8ECDB81B-1D61-43F2-9E9C-FC376D5B400E}" name="Net_profit_FCFA" dataDxfId="125">
      <calculatedColumnFormula>Tableau210[[#This Row],[Cost_yearly_dried_mango_FCFA]]-Tableau210[[#This Row],[Energy_cost_FCFA]]-Tableau210[[#This Row],[Maintenance_FCFA]]</calculatedColumnFormula>
    </tableColumn>
    <tableColumn id="21" xr3:uid="{AD74E8CA-D2AE-4366-8389-F6A24D274722}" name="Inventory_turnover_per_year" dataDxfId="124"/>
    <tableColumn id="24" xr3:uid="{21E1736F-0FA3-4EA4-8252-8FDBD2E802BD}" name="Dryers_used" dataDxfId="12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5183996-DB00-4475-887B-6F4BBB0B73DA}" name="Tableau10" displayName="Tableau10" ref="B222:O232" totalsRowShown="0" headerRowDxfId="122" dataDxfId="121" headerRowBorderDxfId="119" tableBorderDxfId="120" totalsRowBorderDxfId="118">
  <autoFilter ref="B222:O232" xr:uid="{55183996-DB00-4475-887B-6F4BBB0B73DA}"/>
  <tableColumns count="14">
    <tableColumn id="1" xr3:uid="{2C6E4CE6-BD40-4625-81EF-94A0F2BAD177}" name="Scenario_ha" dataDxfId="117"/>
    <tableColumn id="2" xr3:uid="{CC0F91E7-1673-4DD0-BED1-6D509E0228D7}" name="Year" dataDxfId="116"/>
    <tableColumn id="3" xr3:uid="{3FC62042-C783-4A28-AB54-89B19D46135C}" name="Usable_fresh_kg" dataDxfId="115"/>
    <tableColumn id="4" xr3:uid="{F466C5D5-E779-4BE7-8207-65E4E87F6AD0}" name="Dried_kg" dataDxfId="114"/>
    <tableColumn id="5" xr3:uid="{4914C264-3DC4-4FC0-970B-54B97F08D7A4}" name="Export_price_FCFA" dataDxfId="113"/>
    <tableColumn id="6" xr3:uid="{328010C7-3836-4F25-84E6-BF2DCC1CEBC3}" name="Unit_cost_FCFA_per_kg" dataDxfId="112"/>
    <tableColumn id="7" xr3:uid="{1F9CF307-09C9-4E35-B09C-F40D265A84CF}" name="Cost_yearly_dried_mango_FCFA" dataDxfId="111"/>
    <tableColumn id="8" xr3:uid="{34A72AFB-AADB-495E-9752-EC887C494012}" name="Cycles" dataDxfId="110"/>
    <tableColumn id="9" xr3:uid="{F87F8932-CAF1-4142-BAAC-203B8B630BC0}" name="Energy_cost_FCFA" dataDxfId="109"/>
    <tableColumn id="10" xr3:uid="{4E7385A6-A70C-4D5B-9A5C-76EA63567E25}" name="Maintenance" dataDxfId="108"/>
    <tableColumn id="11" xr3:uid="{2EE628A8-FBD0-4A77-8E8D-EC600891DB7C}" name="Total_costs_all_FCFA" dataDxfId="107"/>
    <tableColumn id="12" xr3:uid="{5168B554-902D-4D79-95D3-F905B13666A0}" name="Net_profit_FCFA" dataDxfId="106"/>
    <tableColumn id="13" xr3:uid="{D55E31CC-0CBB-4FDB-9D2D-795072D6165E}" name="Inventory_turnover_per_year" dataDxfId="105"/>
    <tableColumn id="14" xr3:uid="{1700A390-5CF9-4302-A549-D8C4807C726C}" name="Dryers_used" dataDxfId="104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489E887-CB73-4500-AC8E-D2F78563D678}" name="Tableau11" displayName="Tableau11" ref="B206:O216" totalsRowShown="0" headerRowDxfId="103" dataDxfId="102" headerRowBorderDxfId="100" tableBorderDxfId="101" totalsRowBorderDxfId="99">
  <autoFilter ref="B206:O216" xr:uid="{8489E887-CB73-4500-AC8E-D2F78563D678}"/>
  <tableColumns count="14">
    <tableColumn id="1" xr3:uid="{540BAE1F-4E26-4E52-98D4-657912D30FA0}" name="Scenario_ha" dataDxfId="98"/>
    <tableColumn id="2" xr3:uid="{48ABECDD-0FBF-48C4-A483-90728663564F}" name="Year" dataDxfId="97"/>
    <tableColumn id="3" xr3:uid="{007FA5E7-9E54-4692-BF28-48C72691524D}" name="Usable_fresh_kg" dataDxfId="96"/>
    <tableColumn id="4" xr3:uid="{B2E207EB-DE9E-48F6-915B-557393A16D9C}" name="Dried_kg" dataDxfId="95"/>
    <tableColumn id="5" xr3:uid="{325D646D-9E9B-434F-9705-BE95613E109C}" name="Export_price_FCFA" dataDxfId="94"/>
    <tableColumn id="6" xr3:uid="{024A3E65-C504-4120-B6A0-BD7F659BCAFD}" name="Unit_cost_FCFA_per_kg" dataDxfId="93"/>
    <tableColumn id="7" xr3:uid="{D3A0E33D-5A6C-4DEB-B85D-AC39D73E2FEC}" name="Cost_yearly_dried_mango_FCFA" dataDxfId="92"/>
    <tableColumn id="8" xr3:uid="{EB8B8185-BBC5-44A6-BE56-5DBC233A4D08}" name="Cycles" dataDxfId="91"/>
    <tableColumn id="9" xr3:uid="{0E3A1D5E-9C1D-48B6-A557-F960FCF99B4B}" name="Energy_cost_FCFA" dataDxfId="90"/>
    <tableColumn id="10" xr3:uid="{CE71F3F8-23CF-4C36-A9E3-82F625C07FA0}" name="Maintenance" dataDxfId="89"/>
    <tableColumn id="11" xr3:uid="{B8E2CC14-C4DB-4704-97ED-7D2BC250D3A2}" name="Total_costs_all_FCFA" dataDxfId="88"/>
    <tableColumn id="12" xr3:uid="{9A857014-1B6A-4788-86A2-72228A5FA1E2}" name="Net_profit_FCFA" dataDxfId="87"/>
    <tableColumn id="13" xr3:uid="{99CCD921-84F2-4B95-8C3C-32A41E0D0792}" name="Inventory_turnover_per_year" dataDxfId="86"/>
    <tableColumn id="14" xr3:uid="{91ECBA44-2273-4E6B-A8C0-E767A98519D1}" name="Dryers_used" dataDxfId="85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77C67A-8B96-451C-9ADE-8E7EEED816FE}" name="Tableau12" displayName="Tableau12" ref="B189:O199" totalsRowShown="0" headerRowDxfId="84" dataDxfId="83" headerRowBorderDxfId="81" tableBorderDxfId="82" totalsRowBorderDxfId="80">
  <autoFilter ref="B189:O199" xr:uid="{C077C67A-8B96-451C-9ADE-8E7EEED816FE}"/>
  <tableColumns count="14">
    <tableColumn id="1" xr3:uid="{D9AABBF8-06AA-4F39-8D75-6CB81F724223}" name="Scenario_ha" dataDxfId="79"/>
    <tableColumn id="2" xr3:uid="{CA1AA848-5927-4C3E-ABB9-D6AD107DC7F0}" name="Year" dataDxfId="78"/>
    <tableColumn id="3" xr3:uid="{C5AA3AF8-EC5B-470C-8117-7E5CB158B5F5}" name="Usable_fresh_kg" dataDxfId="77"/>
    <tableColumn id="4" xr3:uid="{89697CCC-6E81-476D-957B-F70757D8AFF4}" name="Dried_kg" dataDxfId="76"/>
    <tableColumn id="5" xr3:uid="{5CCD67BE-B08D-4BED-B0CE-6C4B7A4C609D}" name="Export_price_FCFA" dataDxfId="75"/>
    <tableColumn id="6" xr3:uid="{F02EC2A4-5D4A-4F57-B39C-0F06ED3F4E57}" name="Unit_cost_FCFA_per_kg" dataDxfId="74"/>
    <tableColumn id="7" xr3:uid="{FFFCF6FF-C58C-4741-9919-40883D40D659}" name="Cost_yearly_dried_mango_FCFA" dataDxfId="73"/>
    <tableColumn id="8" xr3:uid="{E7100A9E-2741-459A-A1C0-2FFD48FB75F7}" name="Cycles" dataDxfId="72"/>
    <tableColumn id="9" xr3:uid="{BD7CD767-454E-40CA-9A45-99CC7076B882}" name="Energy_cost_FCFA" dataDxfId="71"/>
    <tableColumn id="10" xr3:uid="{4DFAF9DC-AA80-42EC-9608-343F1A637A99}" name="Maintenance" dataDxfId="70"/>
    <tableColumn id="11" xr3:uid="{56DD6099-F568-4E99-8013-E464A7E51DDE}" name="Total_costs_all_FCFA" dataDxfId="69"/>
    <tableColumn id="12" xr3:uid="{6599912F-DD40-4EF7-BF01-E878E16AAFAB}" name="Net_profit_FCFA" dataDxfId="68"/>
    <tableColumn id="13" xr3:uid="{9D3682D5-B747-419B-89CE-2714FD01E2B5}" name="Inventory_turnover_per_year" dataDxfId="67"/>
    <tableColumn id="14" xr3:uid="{8D798B77-6DF7-422B-A605-5875EF0FE690}" name="Dryers_used" dataDxfId="66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1C1784E-340C-4088-A06B-03B844656FC0}" name="Tableau13" displayName="Tableau13" ref="B166:O176" totalsRowShown="0" headerRowDxfId="65" dataDxfId="64" headerRowBorderDxfId="62" tableBorderDxfId="63" totalsRowBorderDxfId="61">
  <autoFilter ref="B166:O176" xr:uid="{E1C1784E-340C-4088-A06B-03B844656FC0}"/>
  <tableColumns count="14">
    <tableColumn id="1" xr3:uid="{90307E68-6720-4CE6-96CF-397A98E0CA46}" name="Scenario_ha" dataDxfId="60"/>
    <tableColumn id="2" xr3:uid="{37E8A9D0-3AA7-4A37-9E90-8894566A45EA}" name="Year" dataDxfId="59"/>
    <tableColumn id="3" xr3:uid="{BB923A19-5827-4E92-9AEC-940A594E87A6}" name="Usable_fresh_kg" dataDxfId="58"/>
    <tableColumn id="4" xr3:uid="{CC1078E9-D65A-40A0-9E1B-586F9F95B31F}" name="Dried_kg" dataDxfId="57"/>
    <tableColumn id="5" xr3:uid="{B37C0443-F78C-40E5-AB55-3F419EA1AB23}" name="Export_price_FCFA" dataDxfId="56"/>
    <tableColumn id="6" xr3:uid="{6B40B19C-324A-4554-B8B1-0DB6282D67AA}" name="Unit_cost_FCFA_per_kg" dataDxfId="55"/>
    <tableColumn id="7" xr3:uid="{D46D2F1E-17AD-48C6-9CCE-AEDE25FF5CB4}" name="Cost_yearly_dried_mango_FCFA" dataDxfId="54"/>
    <tableColumn id="8" xr3:uid="{2DCF04B8-8381-433F-AC1E-8BE92D02DD1C}" name="Cycles" dataDxfId="53"/>
    <tableColumn id="9" xr3:uid="{82E94664-5B99-4972-8C82-60FED7483246}" name="Energy_cost_FCFA" dataDxfId="52"/>
    <tableColumn id="10" xr3:uid="{17E49F4E-DCE1-4414-9F57-4DCD2CD6C06D}" name="Maintenance_FCFA" dataDxfId="51"/>
    <tableColumn id="11" xr3:uid="{F6200267-58BF-45D5-8F58-94AC1BCC970D}" name="Total_costs_all_FCFA" dataDxfId="50"/>
    <tableColumn id="12" xr3:uid="{A68265A8-4D25-4863-AE4B-17C0991C1498}" name="Net_profit_FCFA" dataDxfId="49"/>
    <tableColumn id="13" xr3:uid="{09E2A683-AE9B-4DA2-8DC2-98A0A3A48E31}" name="Inventory_turnover_per_year" dataDxfId="48"/>
    <tableColumn id="14" xr3:uid="{3A271590-BBA6-4A0D-AF81-2197407690EB}" name="Dryers_used" dataDxfId="47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0A6FBF-97FD-4D82-B5CC-79A9146DD14F}" name="Tableau14" displayName="Tableau14" ref="B148:O158" totalsRowShown="0" headerRowDxfId="46" dataDxfId="45" headerRowBorderDxfId="43" tableBorderDxfId="44" totalsRowBorderDxfId="42">
  <autoFilter ref="B148:O158" xr:uid="{130A6FBF-97FD-4D82-B5CC-79A9146DD14F}"/>
  <tableColumns count="14">
    <tableColumn id="1" xr3:uid="{3D8A87D9-6A8C-4A4E-89D1-35E568384D5D}" name="Scenario_ha" dataDxfId="41"/>
    <tableColumn id="2" xr3:uid="{55437497-DC73-41A3-A3BE-F7B2A62D6EBE}" name="Year" dataDxfId="40"/>
    <tableColumn id="3" xr3:uid="{233E38EB-D412-44F0-892D-1E2140A34C6F}" name="Usable_fresh_kg" dataDxfId="39"/>
    <tableColumn id="4" xr3:uid="{FD0BCCA6-1E32-4C8A-8E2E-8249B81B2202}" name="Dried_kg" dataDxfId="38"/>
    <tableColumn id="5" xr3:uid="{83A32F7F-8EC5-407B-8147-489E4F86CA07}" name="Export_price_FCFA" dataDxfId="37"/>
    <tableColumn id="6" xr3:uid="{DE3D54A1-D741-49A1-ADE6-5444E41960C2}" name="Unit_cost_FCFA_per_kg" dataDxfId="36"/>
    <tableColumn id="7" xr3:uid="{D92B039D-0E1A-4573-931C-8E6A4C6D8A1C}" name="Cost_yearly_dried_mango_FCFA" dataDxfId="35"/>
    <tableColumn id="8" xr3:uid="{CBF2694D-BC6C-4EBD-AF98-F0789C37CE82}" name="Cycles" dataDxfId="34"/>
    <tableColumn id="9" xr3:uid="{3D2AA8BE-8312-48CD-885F-6AB785ADCF70}" name="Energy_cost_FCFA" dataDxfId="33"/>
    <tableColumn id="10" xr3:uid="{AC0E6477-C0E0-431E-858F-0CF35E8D3ED7}" name="Maintenance_FCFA" dataDxfId="32"/>
    <tableColumn id="11" xr3:uid="{266F3B78-373A-4C69-BAE5-FA8294AE1F03}" name="Total_costs_all_FCFA" dataDxfId="31"/>
    <tableColumn id="12" xr3:uid="{B817F3C7-CB77-4163-BD86-5676B7EFBA91}" name="Net_profit_FCFA" dataDxfId="30"/>
    <tableColumn id="13" xr3:uid="{69751E8F-36E6-40F5-9877-EE33BA01063E}" name="Inventory_turnover_per_year" dataDxfId="29"/>
    <tableColumn id="14" xr3:uid="{D4CE443C-CD3E-47E8-B647-B4534E43CE7F}" name="Dryers_used" dataDxfId="28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994F88-EBA8-43F4-A2AA-B05AE5F16EC7}" name="Table17" displayName="Table17" ref="Q48:X54" insertRowShift="1" totalsRowShown="0" headerRowDxfId="27" dataDxfId="26" headerRowBorderDxfId="24" tableBorderDxfId="25" totalsRowBorderDxfId="23">
  <autoFilter ref="Q48:X54" xr:uid="{B7994F88-EBA8-43F4-A2AA-B05AE5F16EC7}"/>
  <tableColumns count="8">
    <tableColumn id="1" xr3:uid="{10FA14D0-FEF0-4FA7-9779-684D947709E5}" name="Scenario_ha" dataDxfId="22"/>
    <tableColumn id="2" xr3:uid="{0BC51398-9185-4C48-B217-28331F287AD7}" name="Weekly_dried_avg_kg" dataDxfId="21"/>
    <tableColumn id="3" xr3:uid="{6C08CE0A-C0E7-4D25-875E-0FEEA2F02F23}" name="Weekly_revenue_avg_FCFA" dataDxfId="20"/>
    <tableColumn id="4" xr3:uid="{199C9485-D765-41F7-8AE0-C2368D3493A4}" name="Weekly_prod_cost_avg_FCFA" dataDxfId="19"/>
    <tableColumn id="5" xr3:uid="{EED7DA7C-2C7D-419A-8FFE-607629E0116E}" name="Weekly_energy_avg_FCFA" dataDxfId="18"/>
    <tableColumn id="6" xr3:uid="{916C42FA-80AD-483D-B7A3-0B7B88DFD8EA}" name="Weekly_maintenance_avg_FCFA" dataDxfId="17"/>
    <tableColumn id="7" xr3:uid="{BCD1C555-2041-49DE-AAFF-21DDD002037B}" name="Weekly_profit_avg_FCFA" dataDxfId="16"/>
    <tableColumn id="8" xr3:uid="{C6B29485-F503-4DDC-A595-DCD221F7D54D}" name="Weekly_profit_avg_EUR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3EC5DC8-78D7-4929-B68B-0E8310F32671}" name="Tableau15" displayName="Tableau15" ref="B17:F23" totalsRowShown="0" headerRowDxfId="14" dataDxfId="13">
  <autoFilter ref="B17:F23" xr:uid="{B3EC5DC8-78D7-4929-B68B-0E8310F32671}"/>
  <tableColumns count="5">
    <tableColumn id="1" xr3:uid="{E2845ECC-55AD-4DAB-A5F7-17C2D93905D7}" name="Indicator" dataDxfId="12"/>
    <tableColumn id="2" xr3:uid="{4769DDBA-EA93-4910-9161-323A34C3BF12}" name="Without Voice Translation App (per year)" dataDxfId="11"/>
    <tableColumn id="3" xr3:uid="{4114FEB4-0DC0-47B8-871A-8335BA194647}" name="With Voice Translation App (per year)" dataDxfId="10"/>
    <tableColumn id="4" xr3:uid="{FC569C57-537B-4138-AE9C-575A34137988}" name="Gain due to No-Reesa App" dataDxfId="9"/>
    <tableColumn id="5" xr3:uid="{58427727-92CC-482E-9A8D-D45BF64114BD}" name="Impact (%)" dataDxfId="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E060306-4F0A-4997-BE51-C38788F47A99}" name="Tableau7" displayName="Tableau7" ref="J11:K16" totalsRowShown="0" headerRowDxfId="7" dataDxfId="6">
  <autoFilter ref="J11:K16" xr:uid="{3E060306-4F0A-4997-BE51-C38788F47A99}"/>
  <tableColumns count="2">
    <tableColumn id="1" xr3:uid="{B206DA83-77F7-4AFF-996F-262DAB59799F}" name="Abbreviation / Term" dataDxfId="5"/>
    <tableColumn id="2" xr3:uid="{111AB595-9127-4DFB-BD2F-1A559CB32310}" name="Definition" dataDxfId="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AE18027-F729-4285-97A9-865BB952BF66}" name="Tableau8" displayName="Tableau8" ref="C24:D30" totalsRowShown="0" headerRowDxfId="3" dataDxfId="2">
  <autoFilter ref="C24:D30" xr:uid="{3AE18027-F729-4285-97A9-865BB952BF66}"/>
  <tableColumns count="2">
    <tableColumn id="3" xr3:uid="{D4E69F58-5F49-4BB1-B500-CB7C57222CC1}" name="Savings Breakdown (Sources of Annual Savings)" dataDxfId="1"/>
    <tableColumn id="4" xr3:uid="{0185207F-0984-47CA-BBA4-D8D7091B098B}" name="Estimated Value [€ / year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5-10-23T00:24:05.71" personId="{8B06D484-4323-44DE-8D2D-5F7F6535D9C7}" id="{B5CA61C2-7C5C-4BD6-B04E-23162FE0E237}">
    <text>To improve the irrigation system, we can use smart IoT control to monitor soil moisture and automate irrigation scheduling, include a remote monitoring dashboard in the system for performance tracking like PV output, water levels, etc, add water recycling and filtration units for better sustainability</text>
  </threadedComment>
  <threadedComment ref="G24" dT="2025-10-01T10:13:39.54" personId="{02E52B62-B1FB-48C7-92A0-239BF5515333}" id="{87341C9E-B9DB-46D3-A2AE-F69101F97733}">
    <text xml:space="preserve">where does 100 comes from? report, study, guess? </text>
  </threadedComment>
  <threadedComment ref="G24" dT="2025-10-01T10:19:49.17" personId="{02E52B62-B1FB-48C7-92A0-239BF5515333}" id="{22C3CF43-16EF-46A0-BEDF-D97A1B3D4DF7}" parentId="{87341C9E-B9DB-46D3-A2AE-F69101F97733}">
    <text>this depends on how big is the spacing between the trees as well. could you add this parameter to the input column</text>
  </threadedComment>
  <threadedComment ref="G24" dT="2025-10-07T10:46:43.45" personId="{8B06D484-4323-44DE-8D2D-5F7F6535D9C7}" id="{DBCEF768-585F-407B-BA3D-A57B66A6F764}" parentId="{87341C9E-B9DB-46D3-A2AE-F69101F97733}">
    <text>100 is the estimated number of trees in 1 hectare with a space of 10 m between the trees. You can see the details in the input parameters and definitions</text>
  </threadedComment>
  <threadedComment ref="H24" dT="2025-10-01T10:14:55.93" personId="{02E52B62-B1FB-48C7-92A0-239BF5515333}" id="{A2EC88CB-F0FA-4B5A-87BE-4EFA3FD8B23F}">
    <text>please make the formula easy to explain e.g. what is 1000? what is 100? you could make a separate column for  the input parameters</text>
  </threadedComment>
  <threadedComment ref="H24" dT="2025-10-07T11:55:40.96" personId="{8B06D484-4323-44DE-8D2D-5F7F6535D9C7}" id="{C8716488-349A-44CD-879A-572972ADD140}" parentId="{A2EC88CB-F0FA-4B5A-87BE-4EFA3FD8B23F}">
    <text>You can find the explanation in the input parameters and definition table</text>
  </threadedComment>
  <threadedComment ref="I24" dT="2025-10-01T10:23:03.71" personId="{02E52B62-B1FB-48C7-92A0-239BF5515333}" id="{E19C23D8-BDDB-4941-BC67-7D4382D1D427}">
    <text>does the tree age play a role? e.g. young trees vs mature trees</text>
  </threadedComment>
  <threadedComment ref="I24" dT="2025-10-01T10:24:11.26" personId="{02E52B62-B1FB-48C7-92A0-239BF5515333}" id="{3C3F22B3-02E3-4580-8582-783A00B8BE06}" parentId="{E19C23D8-BDDB-4941-BC67-7D4382D1D427}">
    <text>does this number applies to all year long and all climate conditions e.g. in rainy season the number could be low, ..etc.</text>
  </threadedComment>
  <threadedComment ref="I24" dT="2025-10-07T10:27:59.68" personId="{8B06D484-4323-44DE-8D2D-5F7F6535D9C7}" id="{86B9DC09-37FD-4C14-884E-1378A64F796B}" parentId="{E19C23D8-BDDB-4941-BC67-7D4382D1D427}">
    <text>this is for mature mango trees in dry season</text>
  </threadedComment>
  <threadedComment ref="J24" dT="2025-10-01T10:15:47.06" personId="{02E52B62-B1FB-48C7-92A0-239BF5515333}" id="{E63A8420-42E4-475E-9B92-4E143EEB8E76}">
    <text>what is 5? please explain as suggested with input column</text>
  </threadedComment>
  <threadedComment ref="J24" dT="2025-10-07T10:29:05.82" personId="{8B06D484-4323-44DE-8D2D-5F7F6535D9C7}" id="{36E63635-DF97-449D-9327-8F1F4B8850FF}" parentId="{E63A8420-42E4-475E-9B92-4E143EEB8E76}">
    <text>it represents the daily irrigation duration</text>
  </threadedComment>
  <threadedComment ref="K24" dT="2025-10-07T10:50:18.97" personId="{8B06D484-4323-44DE-8D2D-5F7F6535D9C7}" id="{19629B0B-C54E-4B3C-8465-8E35837978E0}">
    <text>60 is the number of minutes in 1 hour</text>
  </threadedComment>
  <threadedComment ref="P24" dT="2025-10-01T10:28:03.27" personId="{02E52B62-B1FB-48C7-92A0-239BF5515333}" id="{2A25DE7A-0856-4475-AD35-68E9FCF33CAC}">
    <text>does this calculation include any buffer to compensate for losses e.g. efficiency, variations ...etc.?please consider that and adjust your calculations accordingly</text>
  </threadedComment>
  <threadedComment ref="P24" dT="2025-10-07T11:08:37.68" personId="{8B06D484-4323-44DE-8D2D-5F7F6535D9C7}" id="{13B85FF6-B839-4B20-B12D-71300884BB82}" parentId="{2A25DE7A-0856-4475-AD35-68E9FCF33CAC}">
    <text>yes, it does include any buffer for compensation in case of losses</text>
  </threadedComment>
  <threadedComment ref="L28" dT="2025-10-09T09:31:36.42" personId="{8B06D484-4323-44DE-8D2D-5F7F6535D9C7}" id="{892C97E1-21AA-4D14-AE88-EC5916786E41}">
    <text>Some of the cost are local cost. For the smart add-on, drip irrigation, filtration+MPPT costs, it has been estimated basing on the international market</text>
  </threadedComment>
  <threadedComment ref="L30" dT="2025-10-01T10:28:31.27" personId="{02E52B62-B1FB-48C7-92A0-239BF5515333}" id="{4A14AA5F-08E0-4FCB-A3C9-8381563E4600}">
    <text>what is the capacity of the tank?</text>
  </threadedComment>
  <threadedComment ref="P30" dT="2025-10-01T10:29:39.91" personId="{02E52B62-B1FB-48C7-92A0-239BF5515333}" id="{CC67322F-66CC-4932-B3F8-6FFF15835BFE}">
    <text>did you consider any cheaper alternatives?</text>
  </threadedComment>
  <threadedComment ref="P30" dT="2025-10-07T11:25:23.00" personId="{8B06D484-4323-44DE-8D2D-5F7F6535D9C7}" id="{1E7D19D0-5954-4FFA-B68E-E73F5E123511}" parentId="{CC67322F-66CC-4932-B3F8-6FFF15835BFE}">
    <text>Yes I considered now</text>
  </threadedComment>
  <threadedComment ref="Y30" dT="2025-10-17T09:24:45.78" personId="{8B06D484-4323-44DE-8D2D-5F7F6535D9C7}" id="{0509A75C-744A-4D34-A90C-256795441E77}">
    <text>100 represents the daily needs in terms of water per tree</text>
  </threadedComment>
  <threadedComment ref="U31" dT="2025-10-07T11:41:33.94" personId="{8B06D484-4323-44DE-8D2D-5F7F6535D9C7}" id="{73136E15-C0EE-4511-87AF-28D1D6E443C1}">
    <text>CAPEX (Capital Expenditure)</text>
  </threadedComment>
  <threadedComment ref="O32" dT="2025-10-01T10:30:02.52" personId="{02E52B62-B1FB-48C7-92A0-239BF5515333}" id="{76E52E48-D57E-45CC-8C24-B37A110B39FE}">
    <text>from which market? burkina faso, china, germany?</text>
  </threadedComment>
  <threadedComment ref="P36" dT="2025-10-01T10:31:23.38" personId="{02E52B62-B1FB-48C7-92A0-239BF5515333}" id="{1F6F246C-E630-4B82-BC73-079414E2AE0A}">
    <text>how much time do you think you can get this investment sum repaid back. payback period is short means a profitable project, if payback period is long it means less profitable project. make assumptions to calculate payback period</text>
  </threadedComment>
  <threadedComment ref="P36" dT="2025-10-09T07:52:16.74" personId="{8B06D484-4323-44DE-8D2D-5F7F6535D9C7}" id="{F64D0B68-A537-4D04-94BC-07A5811FAEBA}" parentId="{1F6F246C-E630-4B82-BC73-079414E2AE0A}">
    <text>You can see it on the calculation table</text>
  </threadedComment>
  <threadedComment ref="S36" dT="2025-10-09T07:56:22.16" personId="{8B06D484-4323-44DE-8D2D-5F7F6535D9C7}" id="{D5590B21-3252-4B15-A613-BD2E41FDBFA8}">
    <text>replaced every 10 years; 2 replacement in total during the project lifetime</text>
  </threadedComment>
  <threadedComment ref="S37" dT="2025-10-09T07:56:46.77" personId="{8B06D484-4323-44DE-8D2D-5F7F6535D9C7}" id="{CB6F7D8E-A003-43C3-86F6-5C1E11FFE1C1}">
    <text>replaced every 10 years; 2 replacement in total</text>
  </threadedComment>
  <threadedComment ref="S38" dT="2025-10-09T07:57:46.32" personId="{8B06D484-4323-44DE-8D2D-5F7F6535D9C7}" id="{30737756-ECBA-4179-BDAF-FE843EB63C53}">
    <text>replaced every 10 years also; 2 replacement in total during the project lifetime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5-10-01T16:40:23.36" personId="{02E52B62-B1FB-48C7-92A0-239BF5515333}" id="{3B5B4A5C-1540-4A5C-B265-7A9B69BF94B1}">
    <text>we might not need a ball mill for the mango but what we need are machines which can be used for cutting the mango</text>
  </threadedComment>
  <threadedComment ref="B3" dT="2025-10-01T16:12:24.43" personId="{02E52B62-B1FB-48C7-92A0-239BF5515333}" id="{55E8B360-440F-4231-87DA-16F19DBD6083}">
    <text>why are the numbers fluctuating?</text>
  </threadedComment>
  <threadedComment ref="B3" dT="2025-10-01T19:26:36.35" personId="{4D9BE69F-A665-4781-85A1-D80CE12975BE}" id="{9E348B6F-E012-4B4B-BC1F-B8327D4D5213}" parentId="{55E8B360-440F-4231-87DA-16F19DBD6083}">
    <text>The numbers rise and fall because in Burkina Faso there are periods when mango production is very high and when this period passes production also falls.</text>
  </threadedComment>
  <threadedComment ref="C3" dT="2025-10-01T16:38:11.50" personId="{02E52B62-B1FB-48C7-92A0-239BF5515333}" id="{DA61F77F-54E6-4B0E-9684-90D85F7012AC}">
    <text>how is this calculated?</text>
  </threadedComment>
  <threadedComment ref="C3" dT="2025-10-01T19:41:14.04" personId="{4D9BE69F-A665-4781-85A1-D80CE12975BE}" id="{33933C0F-616D-4969-810D-A8400C5E385E}" parentId="{DA61F77F-54E6-4B0E-9684-90D85F7012AC}">
    <text>The number is based on study showing that the waste generated is around 50% of the quantity of processed mangoes.</text>
  </threadedComment>
  <threadedComment ref="D3" dT="2025-10-01T16:38:36.75" personId="{02E52B62-B1FB-48C7-92A0-239BF5515333}" id="{5E36174B-72D2-4061-AA6B-C464FF877BA9}">
    <text>how is biogas calculated? is it assumed or based on study?</text>
  </threadedComment>
  <threadedComment ref="D3" dT="2025-10-01T19:31:15.51" personId="{4D9BE69F-A665-4781-85A1-D80CE12975BE}" id="{4AE72957-08E8-4678-9A75-1167E7647203}" parentId="{5E36174B-72D2-4061-AA6B-C464FF877BA9}">
    <text>The biogas is calculated by following this formula : 1 kg of mango waste gives 0.043 m³ of biogas. This formula is based on study from the net.</text>
  </threadedComment>
  <threadedComment ref="Q3" dT="2025-10-16T23:58:28.50" personId="{4D9BE69F-A665-4781-85A1-D80CE12975BE}" id="{825DA654-6A40-49AF-B694-1A3FC6FE8696}">
    <text>This annual output is from the plant sheet in the common excel</text>
  </threadedComment>
  <threadedComment ref="L4" dT="2025-10-01T19:31:50.07" personId="{4D9BE69F-A665-4781-85A1-D80CE12975BE}" id="{13DC0BDD-8FD5-44D4-980D-3FAC0AA6374D}">
    <text xml:space="preserve">This biogas volume was used to calculate biogas outputs for each month of the year.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6" dT="2025-10-01T10:32:30.83" personId="{02E52B62-B1FB-48C7-92A0-239BF5515333}" id="{753BF6E2-4B3E-4436-9CF2-5A0882711F66}">
    <text>where is the source of this value, report? study? historical data? or assumption</text>
  </threadedComment>
  <threadedComment ref="C16" dT="2025-10-02T09:59:59.62" personId="{4D9BE69F-A665-4781-85A1-D80CE12975BE}" id="{B8900FCF-EFB8-4299-B571-70B968C1A91F}" parentId="{753BF6E2-4B3E-4436-9CF2-5A0882711F66}">
    <text>https://www.researchgate.net/publication/242642925_The_mango_tree_in_central_and_northern_Benin_Cultivar_inventory_yield_assessment_infested_stages_and_loss_due_to_fruit_flies_Diptera_Tephritidae</text>
  </threadedComment>
  <threadedComment ref="C17" dT="2025-10-01T10:32:56.28" personId="{02E52B62-B1FB-48C7-92A0-239BF5515333}" id="{C7EF18BD-B85D-4954-87E5-07E6AE76388A}">
    <text>what does recovery rate means?</text>
  </threadedComment>
  <threadedComment ref="C17" dT="2025-10-02T10:08:08.77" personId="{4D9BE69F-A665-4781-85A1-D80CE12975BE}" id="{ADCB1198-FBA6-48D9-9146-9A945824C105}" parentId="{C7EF18BD-B85D-4954-87E5-07E6AE76388A}">
    <text>The proportion of usable, good-quality product that remains after harvesting, handling, and processing compared to the total originally harvested.</text>
  </threadedComment>
  <threadedComment ref="C18" dT="2025-10-01T10:34:15.94" personId="{02E52B62-B1FB-48C7-92A0-239BF5515333}" id="{D951C372-0506-4115-8AB7-F872A9CFC94B}">
    <text>I understood the term transformation ration but I didn't get 4? e.g. if I put 1 kg of fresh mango how much dried mango I get?</text>
  </threadedComment>
  <threadedComment ref="C18" dT="2025-10-07T17:08:00.98" personId="{4D9BE69F-A665-4781-85A1-D80CE12975BE}" id="{F6DDBF57-74FB-479A-8F6A-7F4BA8A6AEC8}" parentId="{D951C372-0506-4115-8AB7-F872A9CFC94B}">
    <text>I have added the link saying that It takes between 12 to 15 kg of fresh mangoes to produce 1 kg of dried fruit, although some estimates put the conversion rate closer to 10%. Then with 1 kg appying 10% outputs 0.1kg</text>
  </threadedComment>
  <threadedComment ref="C20" dT="2025-10-01T10:35:07.16" personId="{02E52B62-B1FB-48C7-92A0-239BF5515333}" id="{8C26E72D-0395-4FCD-B593-447B3BF16F18}">
    <text>please indicate the source of the price is there a portal which tracks these information and publish them?</text>
  </threadedComment>
  <threadedComment ref="C20" dT="2025-10-08T12:13:48.87" personId="{4D9BE69F-A665-4781-85A1-D80CE12975BE}" id="{AA7E407A-6D85-456F-BFF1-9405A7CAE0B3}" parentId="{8C26E72D-0395-4FCD-B593-447B3BF16F18}">
    <text>Alright</text>
  </threadedComment>
  <threadedComment ref="C22" dT="2025-10-01T10:35:33.38" personId="{02E52B62-B1FB-48C7-92A0-239BF5515333}" id="{06AD86B0-7E8C-4A63-8CBD-D8D0C8A8EF7A}">
    <text>what is meant by campaign here?</text>
  </threadedComment>
  <threadedComment ref="C22" dT="2025-10-07T19:39:42.51" personId="{4D9BE69F-A665-4781-85A1-D80CE12975BE}" id="{4CCF12DA-1869-4C42-A6A4-727571DDE811}" parentId="{06AD86B0-7E8C-4A63-8CBD-D8D0C8A8EF7A}">
    <text>It refers to the mango active harvesting season in Burkina.</text>
  </threadedComment>
  <threadedComment ref="C24" dT="2025-10-01T10:36:12.27" personId="{02E52B62-B1FB-48C7-92A0-239BF5515333}" id="{8023BE6E-9434-439C-8570-AF29F0292DA8}">
    <text xml:space="preserve">make a calculation column in Euro values </text>
  </threadedComment>
  <threadedComment ref="C24" dT="2025-10-02T09:43:54.77" personId="{4D9BE69F-A665-4781-85A1-D80CE12975BE}" id="{A006808D-EE5B-4F91-A17C-8B02BDC629B2}" parentId="{8023BE6E-9434-439C-8570-AF29F0292DA8}">
    <text>Alright</text>
  </threadedComment>
  <threadedComment ref="C25" dT="2025-10-01T11:07:19.77" personId="{02E52B62-B1FB-48C7-92A0-239BF5515333}" id="{125BEC1E-245A-4C9A-A0A9-4D2B90AD1CA7}">
    <text>I am wondering here how did you consider the 1 hectar area, or 3 hectar area, did you consider that 2.2. 2hectar farm could yield 10 ton mango every month and based on that the calculations are made</text>
  </threadedComment>
  <threadedComment ref="C25" dT="2025-10-02T09:40:27.00" personId="{4D9BE69F-A665-4781-85A1-D80CE12975BE}" id="{44724CF8-8E6D-435D-8F09-BB20EB165C1B}" parentId="{125BEC1E-245A-4C9A-A0A9-4D2B90AD1CA7}">
    <text>yes</text>
  </threadedComment>
  <threadedComment ref="C25" dT="2025-10-08T12:12:32.37" personId="{4D9BE69F-A665-4781-85A1-D80CE12975BE}" id="{581EB673-21B3-43B0-96D6-09C7A6F4A912}" parentId="{125BEC1E-245A-4C9A-A0A9-4D2B90AD1CA7}">
    <text>But i considered the fact that  1 hectar farm could yield 10 ton mango every year</text>
  </threadedComment>
  <threadedComment ref="C26" dT="2025-10-01T11:08:38.21" personId="{02E52B62-B1FB-48C7-92A0-239BF5515333}" id="{F5972CDE-4248-415E-AF64-7D93634046F5}">
    <text>the selected size of the farm is the 2 hectar please do the calculatoins for that</text>
  </threadedComment>
  <threadedComment ref="C26" dT="2025-10-02T09:38:58.49" personId="{4D9BE69F-A665-4781-85A1-D80CE12975BE}" id="{1B868EBC-42DC-4C3B-BDF2-AB006DD434EB}" parentId="{F5972CDE-4248-415E-AF64-7D93634046F5}">
    <text>I thought we should use the last cohort findings.</text>
  </threadedComment>
  <threadedComment ref="B48" dT="2025-10-01T11:11:38.18" personId="{02E52B62-B1FB-48C7-92A0-239BF5515333}" id="{DF8695E9-6696-4920-8BDF-FD7B96FB6012}">
    <text>is there a calculation for 2 hectar?</text>
  </threadedComment>
  <threadedComment ref="B48" dT="2025-10-02T10:17:28.86" personId="{4D9BE69F-A665-4781-85A1-D80CE12975BE}" id="{8E9737F1-2EBA-4D2E-BFDF-C0767E46091A}" parentId="{DF8695E9-6696-4920-8BDF-FD7B96FB6012}">
    <text>I will include it.</text>
  </threadedComment>
  <threadedComment ref="D49" dT="2025-10-01T11:16:21.55" personId="{02E52B62-B1FB-48C7-92A0-239BF5515333}" id="{D279D25C-3385-411C-B4F1-7B65C1C8AEC6}">
    <text xml:space="preserve">what is the source of this calculation?
</text>
  </threadedComment>
  <threadedComment ref="D49" dT="2025-10-02T10:23:37.00" personId="{4D9BE69F-A665-4781-85A1-D80CE12975BE}" id="{48C6F360-A128-4E9B-94C8-5716C4B8DF52}" parentId="{D279D25C-3385-411C-B4F1-7B65C1C8AEC6}">
    <text>Over 10000 kg per year 8000 kg is usable can pass through the drying process regarding the  recovery rate.</text>
  </threadedComment>
  <threadedComment ref="E49" dT="2025-10-01T11:16:37.72" personId="{02E52B62-B1FB-48C7-92A0-239BF5515333}" id="{0515190D-1523-48D3-B116-8EDF74B7E455}">
    <text>how is this calculation made?</text>
  </threadedComment>
  <threadedComment ref="E49" dT="2025-10-02T09:33:49.25" personId="{4D9BE69F-A665-4781-85A1-D80CE12975BE}" id="{61F21AC4-6F6B-470C-914B-CD9377A16166}" parentId="{0515190D-1523-48D3-B116-8EDF74B7E455}">
    <text>I made a different file mentionning the formulas used accessible from the my homepage. I will ensure to include them into the excel sheet for easier understanding.</text>
  </threadedComment>
  <threadedComment ref="F49" dT="2025-10-01T11:18:47.45" personId="{02E52B62-B1FB-48C7-92A0-239BF5515333}" id="{624A26E7-0561-4706-998D-854E8C54F4DD}">
    <text>why is this column increasing? is the price increasing per time?</text>
  </threadedComment>
  <threadedComment ref="F49" dT="2025-10-08T13:57:00.27" personId="{4D9BE69F-A665-4781-85A1-D80CE12975BE}" id="{AE9F3116-0D6A-4472-AD49-30517138121F}" parentId="{624A26E7-0561-4706-998D-854E8C54F4DD}">
    <text>I sincerely apologize,this was a mistake.</text>
  </threadedComment>
  <threadedComment ref="H49" dT="2025-10-01T11:20:43.34" personId="{02E52B62-B1FB-48C7-92A0-239BF5515333}" id="{343D0121-6C45-4CAE-8065-B6BA7846309F}">
    <text>how is this value obtained? please use the formula mode in Excel e.g. =F46+E46*D47</text>
  </threadedComment>
  <threadedComment ref="H49" dT="2025-10-09T02:37:26.83" personId="{4D9BE69F-A665-4781-85A1-D80CE12975BE}" id="{986ECB99-5491-48E6-8A21-A6A85FBF6B4E}" parentId="{343D0121-6C45-4CAE-8065-B6BA7846309F}">
    <text>I added it</text>
  </threadedComment>
  <threadedComment ref="B119" dT="2025-10-01T11:11:38.18" personId="{02E52B62-B1FB-48C7-92A0-239BF5515333}" id="{B24F0E4A-1782-4739-8599-C50F0D4C0E24}">
    <text>is there a calculation for 2 hectar?</text>
  </threadedComment>
  <threadedComment ref="B119" dT="2025-10-02T10:17:28.86" personId="{4D9BE69F-A665-4781-85A1-D80CE12975BE}" id="{37AFBEB7-3363-437F-AD10-7793D5D34752}" parentId="{B24F0E4A-1782-4739-8599-C50F0D4C0E24}">
    <text>I will include it.</text>
  </threadedComment>
  <threadedComment ref="D120" dT="2025-10-01T11:16:21.55" personId="{02E52B62-B1FB-48C7-92A0-239BF5515333}" id="{49BAD0B2-8887-4A5E-90C8-1F2C46A611EA}">
    <text xml:space="preserve">what is the source of this calculation?
</text>
  </threadedComment>
  <threadedComment ref="D120" dT="2025-10-02T10:23:37.00" personId="{4D9BE69F-A665-4781-85A1-D80CE12975BE}" id="{1A806684-2A50-4AC3-873D-F1D779C25CB8}" parentId="{49BAD0B2-8887-4A5E-90C8-1F2C46A611EA}">
    <text>Over 10000 kg per year 8000 kg is usable can pass through the drying process regarding the  recovery rate.</text>
  </threadedComment>
  <threadedComment ref="E120" dT="2025-10-01T11:16:37.72" personId="{02E52B62-B1FB-48C7-92A0-239BF5515333}" id="{F541040C-BEE0-41F7-A593-2E9D0DF678BE}">
    <text>how is this calculation made?</text>
  </threadedComment>
  <threadedComment ref="E120" dT="2025-10-02T09:33:49.25" personId="{4D9BE69F-A665-4781-85A1-D80CE12975BE}" id="{F2472D38-4B72-4044-B128-8E509FD706AE}" parentId="{F541040C-BEE0-41F7-A593-2E9D0DF678BE}">
    <text>I made a different file mentionning the formulas used accessible from the my homepage. I will ensure to include them into the excel sheet for easier understanding.</text>
  </threadedComment>
  <threadedComment ref="F120" dT="2025-10-01T11:18:47.45" personId="{02E52B62-B1FB-48C7-92A0-239BF5515333}" id="{C87ABDE0-E7AD-4415-B3C2-3E9FBAD8B851}">
    <text>why is this column increasing? is the price increasing per time?</text>
  </threadedComment>
  <threadedComment ref="F120" dT="2025-10-08T13:57:00.27" personId="{4D9BE69F-A665-4781-85A1-D80CE12975BE}" id="{6388A5A2-84E4-48D4-BC11-9EA9C172F915}" parentId="{C87ABDE0-E7AD-4415-B3C2-3E9FBAD8B851}">
    <text>I sincerely apologize,this was a mistake.</text>
  </threadedComment>
  <threadedComment ref="H120" dT="2025-10-01T11:20:43.34" personId="{02E52B62-B1FB-48C7-92A0-239BF5515333}" id="{494C4857-ABBC-4C45-8BD1-2C6D1D43D130}">
    <text>how is this value obtained? please use the formula mode in Excel e.g. =F46+E46*D47</text>
  </threadedComment>
  <threadedComment ref="H120" dT="2025-10-09T02:37:26.83" personId="{4D9BE69F-A665-4781-85A1-D80CE12975BE}" id="{C9D75337-9225-4595-A24C-AEE9A1EE966B}" parentId="{494C4857-ABBC-4C45-8BD1-2C6D1D43D130}">
    <text>I added it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5-10-01T16:07:44.22" personId="{02E52B62-B1FB-48C7-92A0-239BF5515333}" id="{2057BC50-2FB4-4737-A9F7-799BCFC0BEE7}">
    <text>is this a small pump? would it be enough for the farm?</text>
  </threadedComment>
  <threadedComment ref="C5" dT="2025-10-01T16:08:05.67" personId="{02E52B62-B1FB-48C7-92A0-239BF5515333}" id="{C6353A66-E392-49DB-BFDF-8484511A7CC8}">
    <text>why did you assume that the pump is needed only for 4 hours?</text>
  </threadedComment>
  <threadedComment ref="B8" dT="2025-10-01T16:08:23.67" personId="{02E52B62-B1FB-48C7-92A0-239BF5515333}" id="{FD2D9EAE-BDCF-46E7-B61F-ABFAA18D7E3A}">
    <text>what is meant by Misc??</text>
  </threadedComment>
  <threadedComment ref="B12" dT="2025-10-01T16:08:52.58" personId="{02E52B62-B1FB-48C7-92A0-239BF5515333}" id="{FA25FB5E-137C-4583-81C6-699DC5C8F135}">
    <text>what does PSH stands for? could you explain?</text>
  </threadedComment>
  <threadedComment ref="B15" dT="2025-10-01T16:09:38.99" personId="{02E52B62-B1FB-48C7-92A0-239BF5515333}" id="{976A7DD3-3766-4FAD-8D8E-E1D7EB52E343}">
    <text>what is meant by Derate?</text>
  </threadedComment>
  <threadedComment ref="B25" dT="2025-10-01T16:10:56.33" personId="{02E52B62-B1FB-48C7-92A0-239BF5515333}" id="{8A2FF993-3F77-4D6C-831C-0BC82BCA3533}">
    <text>please add the costs calculations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18" dT="2025-10-01T16:43:12.27" personId="{02E52B62-B1FB-48C7-92A0-239BF5515333}" id="{5B692EBC-535C-4702-B45A-9B4DA3629A2C}">
    <text>what would be the payback period of this investment?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seau.org/outils/ouvrages/2ie_actes_de_la_conference_biocarburants_bioenergies_ouagadougou_2013_2013.pdf" TargetMode="External"/><Relationship Id="rId13" Type="http://schemas.openxmlformats.org/officeDocument/2006/relationships/table" Target="../tables/table1.xml"/><Relationship Id="rId18" Type="http://schemas.openxmlformats.org/officeDocument/2006/relationships/table" Target="../tables/table6.xml"/><Relationship Id="rId26" Type="http://schemas.openxmlformats.org/officeDocument/2006/relationships/comments" Target="../comments3.xml"/><Relationship Id="rId3" Type="http://schemas.openxmlformats.org/officeDocument/2006/relationships/hyperlink" Target="https://www.researchgate.net/publication/337149963_POSTHARVEST_LOSSES_OF_MANGOES_AT_DIFFERENT_STAGES_FROM_HARVESTING_TO_CONSUMPTION" TargetMode="External"/><Relationship Id="rId21" Type="http://schemas.openxmlformats.org/officeDocument/2006/relationships/table" Target="../tables/table9.xml"/><Relationship Id="rId7" Type="http://schemas.openxmlformats.org/officeDocument/2006/relationships/hyperlink" Target="https://eservices.colead.link/en/system/files/file_fields/2024/01/17/sectorstudymangofileengweb.pdfhttps:/eservices.colead.link/en/system/files/file_fields/2024/01/17/sectorstudymangofileengweb.pdf" TargetMode="External"/><Relationship Id="rId12" Type="http://schemas.openxmlformats.org/officeDocument/2006/relationships/vmlDrawing" Target="../drawings/vmlDrawing3.vml"/><Relationship Id="rId17" Type="http://schemas.openxmlformats.org/officeDocument/2006/relationships/table" Target="../tables/table5.xml"/><Relationship Id="rId25" Type="http://schemas.openxmlformats.org/officeDocument/2006/relationships/table" Target="../tables/table13.xml"/><Relationship Id="rId2" Type="http://schemas.openxmlformats.org/officeDocument/2006/relationships/hyperlink" Target="https://www.cbi.eu/market-information/processed-fruit-vegetables-edible-nuts/dried-mango/market-potential" TargetMode="External"/><Relationship Id="rId16" Type="http://schemas.openxmlformats.org/officeDocument/2006/relationships/table" Target="../tables/table4.xml"/><Relationship Id="rId20" Type="http://schemas.openxmlformats.org/officeDocument/2006/relationships/table" Target="../tables/table8.xml"/><Relationship Id="rId1" Type="http://schemas.openxmlformats.org/officeDocument/2006/relationships/hyperlink" Target="https://www.journalijar.com/article/46868/potential-availability-of-mango-by-products-in-the-bobo-dioulasso-and-orodara-areas-of-burkina-faso%3A-assessment-of-the-quantities-of-mango-by-products-and-mango-feed-producible-for-ruminants/" TargetMode="External"/><Relationship Id="rId6" Type="http://schemas.openxmlformats.org/officeDocument/2006/relationships/hyperlink" Target="https://thaiscience.info/Journals/Article/SNRU/10997761.pdf" TargetMode="External"/><Relationship Id="rId11" Type="http://schemas.openxmlformats.org/officeDocument/2006/relationships/drawing" Target="../drawings/drawing2.xml"/><Relationship Id="rId24" Type="http://schemas.openxmlformats.org/officeDocument/2006/relationships/table" Target="../tables/table12.xml"/><Relationship Id="rId5" Type="http://schemas.openxmlformats.org/officeDocument/2006/relationships/hyperlink" Target="https://www.researchgate.net/publication/242642925_The_mango_tree_in_central_and_northern_Benin_Cultivar_inventory_yield_assessment_infested_stages_and_loss_due_to_fruit_flies_Diptera_Tephritidae" TargetMode="External"/><Relationship Id="rId15" Type="http://schemas.openxmlformats.org/officeDocument/2006/relationships/table" Target="../tables/table3.xml"/><Relationship Id="rId23" Type="http://schemas.openxmlformats.org/officeDocument/2006/relationships/table" Target="../tables/table11.xml"/><Relationship Id="rId10" Type="http://schemas.openxmlformats.org/officeDocument/2006/relationships/hyperlink" Target="https://www.pseau.org/outils/ouvrages/2ie_actes_de_la_conference_biocarburants_bioenergies_ouagadougou_2013_2013.pdf" TargetMode="External"/><Relationship Id="rId19" Type="http://schemas.openxmlformats.org/officeDocument/2006/relationships/table" Target="../tables/table7.xml"/><Relationship Id="rId4" Type="http://schemas.openxmlformats.org/officeDocument/2006/relationships/hyperlink" Target="https://www.gebana.com/eu-en/dried-fruits-mangos-amelie-bio-burkina-faso-quantity" TargetMode="External"/><Relationship Id="rId9" Type="http://schemas.openxmlformats.org/officeDocument/2006/relationships/hyperlink" Target="https://www.pseau.org/outils/ouvrages/2ie_actes_de_la_conference_biocarburants_bioenergies_ouagadougou_2013_2013.pdf" TargetMode="External"/><Relationship Id="rId14" Type="http://schemas.openxmlformats.org/officeDocument/2006/relationships/table" Target="../tables/table2.xml"/><Relationship Id="rId22" Type="http://schemas.openxmlformats.org/officeDocument/2006/relationships/table" Target="../tables/table10.xml"/><Relationship Id="rId27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5.v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L33:L36"/>
  <sheetViews>
    <sheetView workbookViewId="0"/>
  </sheetViews>
  <sheetFormatPr defaultRowHeight="15"/>
  <cols>
    <col min="1" max="1" width="22" customWidth="1"/>
    <col min="2" max="2" width="20.7109375" customWidth="1"/>
    <col min="3" max="3" width="24.85546875" customWidth="1"/>
    <col min="4" max="4" width="20" customWidth="1"/>
    <col min="5" max="5" width="12.42578125" customWidth="1"/>
    <col min="8" max="8" width="25.85546875" bestFit="1" customWidth="1"/>
    <col min="9" max="9" width="14.140625" customWidth="1"/>
  </cols>
  <sheetData>
    <row r="33" spans="12:12" ht="18" customHeight="1">
      <c r="L33" s="21"/>
    </row>
    <row r="34" spans="12:12" ht="19.5" customHeight="1"/>
    <row r="35" spans="12:12" ht="15.75" customHeight="1"/>
    <row r="36" spans="12:12" ht="20.2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C921-7FCF-49CE-AD71-D6F3A8AFB092}">
  <dimension ref="A1:O76"/>
  <sheetViews>
    <sheetView workbookViewId="0">
      <selection activeCell="A60" sqref="A60"/>
    </sheetView>
  </sheetViews>
  <sheetFormatPr defaultRowHeight="15"/>
  <cols>
    <col min="1" max="1" width="36.28515625" customWidth="1"/>
    <col min="2" max="2" width="25" customWidth="1"/>
    <col min="3" max="3" width="30.140625" customWidth="1"/>
    <col min="4" max="4" width="20.42578125" style="51" customWidth="1"/>
    <col min="5" max="5" width="20" style="51" customWidth="1"/>
    <col min="6" max="6" width="31.7109375" customWidth="1"/>
    <col min="7" max="7" width="19.5703125" customWidth="1"/>
    <col min="8" max="8" width="26" customWidth="1"/>
    <col min="9" max="9" width="18.28515625" customWidth="1"/>
    <col min="10" max="10" width="19.42578125" customWidth="1"/>
    <col min="11" max="11" width="20" customWidth="1"/>
    <col min="12" max="12" width="24.28515625" customWidth="1"/>
  </cols>
  <sheetData>
    <row r="1" spans="1:15" ht="18.75">
      <c r="A1" s="333" t="s">
        <v>0</v>
      </c>
      <c r="B1" s="333"/>
      <c r="C1" s="333"/>
      <c r="D1" s="303"/>
      <c r="E1" s="303"/>
    </row>
    <row r="2" spans="1:15" ht="15.75">
      <c r="A2" s="181" t="s">
        <v>1</v>
      </c>
      <c r="B2" s="181" t="s">
        <v>2</v>
      </c>
      <c r="C2" s="181" t="s">
        <v>3</v>
      </c>
      <c r="D2" s="303"/>
      <c r="E2" s="303"/>
    </row>
    <row r="3" spans="1:15">
      <c r="A3" s="52" t="s">
        <v>4</v>
      </c>
      <c r="B3" s="52">
        <v>50</v>
      </c>
      <c r="C3" s="53" t="s">
        <v>5</v>
      </c>
      <c r="D3" s="303"/>
      <c r="E3" s="303"/>
    </row>
    <row r="4" spans="1:15">
      <c r="A4" s="191" t="s">
        <v>6</v>
      </c>
      <c r="B4" s="191">
        <v>200</v>
      </c>
      <c r="C4" s="191" t="s">
        <v>5</v>
      </c>
      <c r="D4" s="303"/>
      <c r="E4" s="303"/>
    </row>
    <row r="5" spans="1:15">
      <c r="A5" s="52" t="s">
        <v>7</v>
      </c>
      <c r="B5" s="52">
        <v>1000</v>
      </c>
      <c r="C5" s="52" t="s">
        <v>8</v>
      </c>
      <c r="D5" s="303"/>
      <c r="E5" s="303"/>
    </row>
    <row r="6" spans="1:15">
      <c r="A6" s="52" t="s">
        <v>9</v>
      </c>
      <c r="B6" s="52">
        <v>5000</v>
      </c>
      <c r="C6" s="52" t="s">
        <v>8</v>
      </c>
      <c r="D6" s="303"/>
      <c r="E6" s="303"/>
    </row>
    <row r="10" spans="1:15">
      <c r="D10" s="303"/>
      <c r="E10" s="303"/>
      <c r="O10" t="s">
        <v>10</v>
      </c>
    </row>
    <row r="12" spans="1:15" ht="15.75">
      <c r="A12" s="181" t="s">
        <v>11</v>
      </c>
      <c r="B12" s="181" t="s">
        <v>12</v>
      </c>
      <c r="C12" s="181" t="s">
        <v>2</v>
      </c>
      <c r="D12" s="181" t="s">
        <v>13</v>
      </c>
      <c r="E12" s="303"/>
    </row>
    <row r="13" spans="1:15">
      <c r="A13" s="334" t="s">
        <v>14</v>
      </c>
      <c r="B13" s="54" t="s">
        <v>15</v>
      </c>
      <c r="C13" s="54">
        <v>50</v>
      </c>
      <c r="D13" s="55">
        <v>10000</v>
      </c>
      <c r="E13" s="303"/>
    </row>
    <row r="14" spans="1:15">
      <c r="A14" s="335"/>
      <c r="B14" s="54">
        <v>2</v>
      </c>
      <c r="C14" s="54">
        <v>200</v>
      </c>
      <c r="D14" s="55" t="s">
        <v>16</v>
      </c>
      <c r="E14" s="303"/>
    </row>
    <row r="15" spans="1:15">
      <c r="A15" s="335"/>
      <c r="B15" s="54">
        <v>10</v>
      </c>
      <c r="C15" s="54">
        <v>1000</v>
      </c>
      <c r="D15" s="55" t="s">
        <v>17</v>
      </c>
      <c r="E15" s="303"/>
    </row>
    <row r="16" spans="1:15">
      <c r="A16" s="336"/>
      <c r="B16" s="54">
        <v>50</v>
      </c>
      <c r="C16" s="54">
        <v>5000</v>
      </c>
      <c r="D16" s="55" t="s">
        <v>18</v>
      </c>
      <c r="E16" s="303"/>
    </row>
    <row r="17" spans="1:11">
      <c r="A17" s="337" t="s">
        <v>19</v>
      </c>
      <c r="B17" s="304" t="s">
        <v>15</v>
      </c>
      <c r="C17" s="304">
        <v>50</v>
      </c>
      <c r="D17" s="56" t="s">
        <v>20</v>
      </c>
      <c r="E17" s="303"/>
    </row>
    <row r="18" spans="1:11">
      <c r="A18" s="338"/>
      <c r="B18" s="191">
        <v>2</v>
      </c>
      <c r="C18" s="191">
        <v>200</v>
      </c>
      <c r="D18" s="192" t="s">
        <v>21</v>
      </c>
      <c r="E18" s="303"/>
    </row>
    <row r="19" spans="1:11">
      <c r="A19" s="338"/>
      <c r="B19" s="54">
        <v>10</v>
      </c>
      <c r="C19" s="54">
        <v>1000</v>
      </c>
      <c r="D19" s="57" t="s">
        <v>22</v>
      </c>
      <c r="E19" s="303"/>
    </row>
    <row r="20" spans="1:11">
      <c r="A20" s="339"/>
      <c r="B20" s="54">
        <v>50</v>
      </c>
      <c r="C20" s="54">
        <v>5000</v>
      </c>
      <c r="D20" s="57" t="s">
        <v>23</v>
      </c>
      <c r="E20" s="303"/>
    </row>
    <row r="21" spans="1:11">
      <c r="A21" s="334" t="s">
        <v>24</v>
      </c>
      <c r="B21" s="304" t="s">
        <v>15</v>
      </c>
      <c r="C21" s="304">
        <v>50</v>
      </c>
      <c r="D21" s="56" t="s">
        <v>25</v>
      </c>
      <c r="E21" s="303"/>
    </row>
    <row r="22" spans="1:11">
      <c r="A22" s="335"/>
      <c r="B22" s="54">
        <v>2</v>
      </c>
      <c r="C22" s="54">
        <v>200</v>
      </c>
      <c r="D22" s="57" t="s">
        <v>26</v>
      </c>
      <c r="E22" s="303"/>
    </row>
    <row r="23" spans="1:11">
      <c r="A23" s="335"/>
      <c r="B23" s="54">
        <v>10</v>
      </c>
      <c r="C23" s="54">
        <v>1000</v>
      </c>
      <c r="D23" s="57" t="s">
        <v>27</v>
      </c>
      <c r="E23" s="303"/>
    </row>
    <row r="24" spans="1:11">
      <c r="A24" s="336"/>
      <c r="B24" s="54">
        <v>50</v>
      </c>
      <c r="C24" s="54">
        <v>5000</v>
      </c>
      <c r="D24" s="57" t="s">
        <v>28</v>
      </c>
      <c r="E24" s="303"/>
    </row>
    <row r="26" spans="1:11" ht="15.75">
      <c r="A26" s="340" t="s">
        <v>29</v>
      </c>
      <c r="B26" s="340"/>
      <c r="C26" s="340"/>
      <c r="D26" s="340"/>
      <c r="E26" s="340"/>
    </row>
    <row r="30" spans="1:11" ht="21">
      <c r="D30" s="303"/>
      <c r="E30" s="303"/>
      <c r="H30" s="319" t="s">
        <v>30</v>
      </c>
      <c r="I30" s="320"/>
      <c r="J30" s="320"/>
      <c r="K30" s="320"/>
    </row>
    <row r="31" spans="1:11" ht="18.75">
      <c r="A31" s="342" t="s">
        <v>31</v>
      </c>
      <c r="B31" s="342"/>
      <c r="C31" s="342"/>
      <c r="D31" s="303"/>
      <c r="E31" s="303"/>
      <c r="H31" s="184" t="s">
        <v>32</v>
      </c>
      <c r="I31" s="321" t="s">
        <v>33</v>
      </c>
      <c r="J31" s="322"/>
      <c r="K31" s="323"/>
    </row>
    <row r="32" spans="1:11" ht="15.75">
      <c r="A32" s="181" t="s">
        <v>34</v>
      </c>
      <c r="B32" s="183" t="s">
        <v>35</v>
      </c>
      <c r="C32" s="182"/>
      <c r="D32" s="303"/>
      <c r="E32" s="303"/>
      <c r="H32" s="185" t="s">
        <v>36</v>
      </c>
      <c r="I32" s="324" t="s">
        <v>37</v>
      </c>
      <c r="J32" s="325"/>
      <c r="K32" s="326"/>
    </row>
    <row r="33" spans="1:12">
      <c r="A33" s="52" t="s">
        <v>38</v>
      </c>
      <c r="B33" s="58" t="s">
        <v>39</v>
      </c>
      <c r="C33" s="59"/>
      <c r="D33" s="303"/>
      <c r="E33" s="303"/>
      <c r="H33" s="186" t="s">
        <v>40</v>
      </c>
      <c r="I33" s="311" t="s">
        <v>41</v>
      </c>
      <c r="J33" s="312"/>
      <c r="K33" s="313"/>
    </row>
    <row r="34" spans="1:12">
      <c r="A34" s="52" t="s">
        <v>42</v>
      </c>
      <c r="B34" s="58" t="s">
        <v>43</v>
      </c>
      <c r="C34" s="59"/>
      <c r="D34" s="303"/>
      <c r="E34" s="303"/>
      <c r="H34" s="209" t="s">
        <v>44</v>
      </c>
      <c r="I34" s="327" t="s">
        <v>45</v>
      </c>
      <c r="J34" s="328"/>
      <c r="K34" s="329"/>
    </row>
    <row r="35" spans="1:12">
      <c r="A35" s="52" t="s">
        <v>46</v>
      </c>
      <c r="B35" s="58" t="s">
        <v>47</v>
      </c>
      <c r="C35" s="59"/>
      <c r="D35" s="303"/>
      <c r="E35" s="303"/>
      <c r="H35" s="187" t="s">
        <v>48</v>
      </c>
      <c r="I35" s="311" t="s">
        <v>49</v>
      </c>
      <c r="J35" s="312"/>
      <c r="K35" s="313"/>
    </row>
    <row r="36" spans="1:12">
      <c r="A36" s="52" t="s">
        <v>50</v>
      </c>
      <c r="B36" s="58" t="s">
        <v>51</v>
      </c>
      <c r="C36" s="59"/>
      <c r="D36" s="303"/>
      <c r="E36" s="303"/>
      <c r="H36" s="188" t="s">
        <v>52</v>
      </c>
      <c r="I36" s="314" t="s">
        <v>53</v>
      </c>
      <c r="J36" s="315"/>
      <c r="K36" s="316"/>
    </row>
    <row r="37" spans="1:12">
      <c r="A37" s="52" t="s">
        <v>54</v>
      </c>
      <c r="B37" s="58" t="s">
        <v>55</v>
      </c>
      <c r="C37" s="59"/>
      <c r="D37" s="303"/>
      <c r="E37" s="303"/>
    </row>
    <row r="41" spans="1:12" ht="21">
      <c r="A41" s="342" t="s">
        <v>56</v>
      </c>
      <c r="B41" s="342"/>
      <c r="C41" s="342"/>
      <c r="D41" s="342"/>
      <c r="E41" s="342"/>
      <c r="H41" s="317" t="s">
        <v>57</v>
      </c>
      <c r="I41" s="318"/>
      <c r="J41" s="318"/>
      <c r="K41" s="318"/>
      <c r="L41" s="318"/>
    </row>
    <row r="42" spans="1:12" ht="15.75">
      <c r="A42" s="181" t="s">
        <v>58</v>
      </c>
      <c r="B42" s="181" t="s">
        <v>59</v>
      </c>
      <c r="C42" s="181" t="s">
        <v>60</v>
      </c>
      <c r="D42" s="181" t="s">
        <v>61</v>
      </c>
      <c r="E42" s="181" t="s">
        <v>62</v>
      </c>
      <c r="H42" s="181"/>
      <c r="I42" s="181" t="s">
        <v>59</v>
      </c>
      <c r="J42" s="181" t="s">
        <v>60</v>
      </c>
      <c r="K42" s="181" t="s">
        <v>61</v>
      </c>
      <c r="L42" s="181" t="s">
        <v>62</v>
      </c>
    </row>
    <row r="43" spans="1:12">
      <c r="A43" s="206" t="s">
        <v>63</v>
      </c>
      <c r="B43" s="205" t="s">
        <v>64</v>
      </c>
      <c r="C43" s="207" t="s">
        <v>65</v>
      </c>
      <c r="D43" s="205">
        <v>12000000</v>
      </c>
      <c r="E43" s="204" t="s">
        <v>66</v>
      </c>
      <c r="H43" s="52" t="s">
        <v>67</v>
      </c>
      <c r="I43" s="62" t="s">
        <v>68</v>
      </c>
      <c r="J43" s="189" t="s">
        <v>69</v>
      </c>
      <c r="K43" s="60" t="s">
        <v>70</v>
      </c>
      <c r="L43" s="61" t="s">
        <v>71</v>
      </c>
    </row>
    <row r="44" spans="1:12">
      <c r="A44" s="203" t="s">
        <v>72</v>
      </c>
      <c r="B44" s="205" t="s">
        <v>73</v>
      </c>
      <c r="C44" s="207" t="s">
        <v>74</v>
      </c>
      <c r="D44" s="205">
        <v>7000000</v>
      </c>
      <c r="E44" s="204" t="s">
        <v>75</v>
      </c>
      <c r="H44" s="52" t="s">
        <v>76</v>
      </c>
      <c r="I44" s="60" t="s">
        <v>77</v>
      </c>
      <c r="J44" s="189" t="s">
        <v>78</v>
      </c>
      <c r="K44" s="60" t="s">
        <v>68</v>
      </c>
      <c r="L44" s="61" t="s">
        <v>79</v>
      </c>
    </row>
    <row r="45" spans="1:12">
      <c r="A45" s="206" t="s">
        <v>80</v>
      </c>
      <c r="B45" s="205" t="s">
        <v>81</v>
      </c>
      <c r="C45" s="207" t="s">
        <v>82</v>
      </c>
      <c r="D45" s="205">
        <v>3500000</v>
      </c>
      <c r="E45" s="204" t="s">
        <v>83</v>
      </c>
      <c r="H45" s="52" t="s">
        <v>84</v>
      </c>
      <c r="I45" s="60" t="s">
        <v>85</v>
      </c>
      <c r="J45" s="189" t="s">
        <v>75</v>
      </c>
      <c r="K45" s="60" t="s">
        <v>86</v>
      </c>
      <c r="L45" s="61" t="s">
        <v>87</v>
      </c>
    </row>
    <row r="46" spans="1:12">
      <c r="A46" s="206" t="s">
        <v>88</v>
      </c>
      <c r="B46" s="205" t="s">
        <v>89</v>
      </c>
      <c r="C46" s="207" t="s">
        <v>90</v>
      </c>
      <c r="D46" s="205" t="s">
        <v>91</v>
      </c>
      <c r="E46" s="204" t="s">
        <v>92</v>
      </c>
      <c r="H46" s="68" t="s">
        <v>93</v>
      </c>
      <c r="I46" s="66" t="s">
        <v>94</v>
      </c>
      <c r="J46" s="189" t="s">
        <v>95</v>
      </c>
      <c r="K46" s="66" t="s">
        <v>96</v>
      </c>
      <c r="L46" s="67" t="s">
        <v>97</v>
      </c>
    </row>
    <row r="47" spans="1:12">
      <c r="A47" s="202" t="s">
        <v>98</v>
      </c>
      <c r="B47" s="201" t="s">
        <v>18</v>
      </c>
      <c r="C47" s="208" t="s">
        <v>64</v>
      </c>
      <c r="D47" s="201" t="s">
        <v>99</v>
      </c>
      <c r="E47" s="200" t="s">
        <v>83</v>
      </c>
      <c r="H47" s="72" t="s">
        <v>100</v>
      </c>
      <c r="I47" s="60" t="s">
        <v>101</v>
      </c>
      <c r="J47" s="190" t="s">
        <v>102</v>
      </c>
      <c r="K47" s="63" t="s">
        <v>103</v>
      </c>
      <c r="L47" s="61" t="s">
        <v>104</v>
      </c>
    </row>
    <row r="48" spans="1:12">
      <c r="A48" s="70" t="s">
        <v>105</v>
      </c>
      <c r="B48" s="69" t="s">
        <v>94</v>
      </c>
      <c r="C48" s="199" t="s">
        <v>95</v>
      </c>
      <c r="D48" s="71" t="s">
        <v>106</v>
      </c>
      <c r="E48" s="69" t="s">
        <v>97</v>
      </c>
    </row>
    <row r="49" spans="1:9" ht="18.75">
      <c r="A49" s="341" t="s">
        <v>107</v>
      </c>
      <c r="B49" s="341"/>
      <c r="C49" s="341"/>
      <c r="D49" s="341"/>
      <c r="E49" s="341"/>
    </row>
    <row r="50" spans="1:9" ht="46.5">
      <c r="A50" s="83" t="s">
        <v>1</v>
      </c>
      <c r="B50" s="81" t="s">
        <v>108</v>
      </c>
      <c r="C50" s="82" t="s">
        <v>109</v>
      </c>
      <c r="D50" s="81" t="s">
        <v>110</v>
      </c>
      <c r="E50" s="80" t="s">
        <v>111</v>
      </c>
      <c r="F50" s="79" t="s">
        <v>112</v>
      </c>
      <c r="G50" s="79" t="s">
        <v>113</v>
      </c>
      <c r="H50" s="79" t="s">
        <v>114</v>
      </c>
      <c r="I50" s="78" t="s">
        <v>115</v>
      </c>
    </row>
    <row r="51" spans="1:9">
      <c r="A51" s="52" t="s">
        <v>4</v>
      </c>
      <c r="B51" s="60" t="s">
        <v>116</v>
      </c>
      <c r="C51" s="63" t="s">
        <v>117</v>
      </c>
      <c r="D51" s="64" t="s">
        <v>83</v>
      </c>
      <c r="E51" s="73" t="s">
        <v>118</v>
      </c>
      <c r="F51" s="76" t="s">
        <v>119</v>
      </c>
      <c r="G51" s="73" t="s">
        <v>101</v>
      </c>
      <c r="H51" s="73" t="s">
        <v>120</v>
      </c>
      <c r="I51" s="65">
        <v>5.19</v>
      </c>
    </row>
    <row r="52" spans="1:9" s="198" customFormat="1">
      <c r="A52" s="191" t="s">
        <v>6</v>
      </c>
      <c r="B52" s="192" t="s">
        <v>121</v>
      </c>
      <c r="C52" s="193" t="s">
        <v>122</v>
      </c>
      <c r="D52" s="194" t="s">
        <v>75</v>
      </c>
      <c r="E52" s="195" t="s">
        <v>123</v>
      </c>
      <c r="F52" s="196" t="s">
        <v>124</v>
      </c>
      <c r="G52" s="195" t="s">
        <v>102</v>
      </c>
      <c r="H52" s="195" t="s">
        <v>125</v>
      </c>
      <c r="I52" s="197">
        <v>4.3</v>
      </c>
    </row>
    <row r="53" spans="1:9">
      <c r="A53" s="52" t="s">
        <v>7</v>
      </c>
      <c r="B53" s="60" t="s">
        <v>126</v>
      </c>
      <c r="C53" s="63" t="s">
        <v>127</v>
      </c>
      <c r="D53" s="64" t="s">
        <v>128</v>
      </c>
      <c r="E53" s="73" t="s">
        <v>129</v>
      </c>
      <c r="F53" s="73" t="s">
        <v>130</v>
      </c>
      <c r="G53" s="73" t="s">
        <v>103</v>
      </c>
      <c r="H53" s="74">
        <v>0.27489999999999998</v>
      </c>
      <c r="I53" s="65">
        <v>3.92</v>
      </c>
    </row>
    <row r="54" spans="1:9">
      <c r="A54" s="52" t="s">
        <v>9</v>
      </c>
      <c r="B54" s="60" t="s">
        <v>131</v>
      </c>
      <c r="C54" s="63" t="s">
        <v>132</v>
      </c>
      <c r="D54" s="124" t="s">
        <v>133</v>
      </c>
      <c r="E54" s="124" t="s">
        <v>134</v>
      </c>
      <c r="F54" s="77" t="s">
        <v>135</v>
      </c>
      <c r="G54" s="124" t="s">
        <v>104</v>
      </c>
      <c r="H54" s="75">
        <v>0.33810000000000001</v>
      </c>
      <c r="I54" s="123">
        <v>3.73</v>
      </c>
    </row>
    <row r="55" spans="1:9">
      <c r="D55" s="303"/>
      <c r="E55" s="303"/>
    </row>
    <row r="56" spans="1:9">
      <c r="D56" s="303"/>
      <c r="E56" s="303"/>
    </row>
    <row r="57" spans="1:9" ht="18.75">
      <c r="A57" s="331"/>
      <c r="B57" s="332"/>
      <c r="C57" s="332"/>
      <c r="D57" s="303"/>
      <c r="E57" s="303" t="s">
        <v>136</v>
      </c>
    </row>
    <row r="58" spans="1:9">
      <c r="A58" s="330" t="s">
        <v>137</v>
      </c>
      <c r="B58" s="330"/>
      <c r="C58" s="330"/>
      <c r="D58" s="303"/>
      <c r="E58" s="303"/>
    </row>
    <row r="59" spans="1:9" ht="15.75">
      <c r="A59" s="229"/>
      <c r="B59" s="47"/>
      <c r="D59" s="303"/>
      <c r="E59" s="303"/>
    </row>
    <row r="60" spans="1:9" s="198" customFormat="1">
      <c r="A60" s="254" t="s">
        <v>138</v>
      </c>
      <c r="B60" s="254" t="s">
        <v>139</v>
      </c>
      <c r="C60" s="254" t="s">
        <v>140</v>
      </c>
      <c r="D60" s="253"/>
      <c r="E60" s="253"/>
    </row>
    <row r="61" spans="1:9">
      <c r="A61" s="343" t="s">
        <v>141</v>
      </c>
      <c r="B61" s="255" t="s">
        <v>142</v>
      </c>
      <c r="C61" s="256" t="s">
        <v>143</v>
      </c>
      <c r="D61" s="303"/>
      <c r="E61" s="303"/>
    </row>
    <row r="62" spans="1:9" ht="18.75">
      <c r="A62" s="343"/>
      <c r="B62" s="256" t="s">
        <v>144</v>
      </c>
      <c r="C62" s="256" t="s">
        <v>145</v>
      </c>
      <c r="D62" s="228"/>
      <c r="E62" s="303"/>
    </row>
    <row r="63" spans="1:9">
      <c r="A63" s="344" t="s">
        <v>146</v>
      </c>
      <c r="B63" s="70" t="s">
        <v>147</v>
      </c>
      <c r="C63" s="257" t="s">
        <v>148</v>
      </c>
      <c r="D63" s="303"/>
      <c r="E63" s="303"/>
    </row>
    <row r="64" spans="1:9" ht="43.5">
      <c r="A64" s="344"/>
      <c r="B64" s="258" t="s">
        <v>149</v>
      </c>
      <c r="C64" s="257" t="s">
        <v>150</v>
      </c>
      <c r="D64" s="303"/>
      <c r="E64" s="303"/>
    </row>
    <row r="65" spans="1:4" ht="29.25">
      <c r="A65" s="343" t="s">
        <v>151</v>
      </c>
      <c r="B65" s="259" t="s">
        <v>152</v>
      </c>
      <c r="C65" s="260" t="s">
        <v>153</v>
      </c>
      <c r="D65" s="303"/>
    </row>
    <row r="66" spans="1:4">
      <c r="A66" s="343"/>
      <c r="B66" s="256" t="s">
        <v>154</v>
      </c>
      <c r="C66" s="260" t="s">
        <v>155</v>
      </c>
      <c r="D66" s="303"/>
    </row>
    <row r="67" spans="1:4">
      <c r="A67" s="344" t="s">
        <v>156</v>
      </c>
      <c r="B67" s="70" t="s">
        <v>157</v>
      </c>
      <c r="C67" s="261" t="s">
        <v>124</v>
      </c>
      <c r="D67" s="303"/>
    </row>
    <row r="68" spans="1:4">
      <c r="A68" s="344"/>
      <c r="B68" s="70" t="s">
        <v>158</v>
      </c>
      <c r="C68" s="261" t="s">
        <v>122</v>
      </c>
      <c r="D68" s="303"/>
    </row>
    <row r="69" spans="1:4">
      <c r="A69" s="344"/>
      <c r="B69" s="70" t="s">
        <v>159</v>
      </c>
      <c r="C69" s="261" t="s">
        <v>160</v>
      </c>
      <c r="D69" s="303"/>
    </row>
    <row r="70" spans="1:4">
      <c r="A70" s="343" t="s">
        <v>161</v>
      </c>
      <c r="B70" s="256" t="s">
        <v>162</v>
      </c>
      <c r="C70" s="256" t="s">
        <v>163</v>
      </c>
      <c r="D70" s="303"/>
    </row>
    <row r="71" spans="1:4">
      <c r="A71" s="343"/>
      <c r="B71" s="256" t="s">
        <v>164</v>
      </c>
      <c r="C71" s="256" t="s">
        <v>165</v>
      </c>
      <c r="D71" s="303"/>
    </row>
    <row r="72" spans="1:4">
      <c r="D72" s="303"/>
    </row>
    <row r="76" spans="1:4">
      <c r="D76" s="303" t="s">
        <v>166</v>
      </c>
    </row>
  </sheetData>
  <mergeCells count="23">
    <mergeCell ref="A61:A62"/>
    <mergeCell ref="A63:A64"/>
    <mergeCell ref="A65:A66"/>
    <mergeCell ref="A67:A69"/>
    <mergeCell ref="A70:A71"/>
    <mergeCell ref="A58:C58"/>
    <mergeCell ref="A57:C57"/>
    <mergeCell ref="A1:C1"/>
    <mergeCell ref="A13:A16"/>
    <mergeCell ref="A17:A20"/>
    <mergeCell ref="A21:A24"/>
    <mergeCell ref="A26:E26"/>
    <mergeCell ref="A49:E49"/>
    <mergeCell ref="A31:C31"/>
    <mergeCell ref="A41:E41"/>
    <mergeCell ref="I35:K35"/>
    <mergeCell ref="I36:K36"/>
    <mergeCell ref="H41:L41"/>
    <mergeCell ref="H30:K30"/>
    <mergeCell ref="I31:K31"/>
    <mergeCell ref="I32:K32"/>
    <mergeCell ref="I33:K33"/>
    <mergeCell ref="I34:K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EFB5-7FE4-443C-BDFE-33AAFF1BB1E2}">
  <dimension ref="B2:AC41"/>
  <sheetViews>
    <sheetView tabSelected="1" topLeftCell="R16" workbookViewId="0">
      <selection activeCell="W28" sqref="W28:AC28"/>
    </sheetView>
  </sheetViews>
  <sheetFormatPr defaultRowHeight="15"/>
  <cols>
    <col min="2" max="2" width="16.28515625" customWidth="1"/>
    <col min="3" max="3" width="30" customWidth="1"/>
    <col min="4" max="4" width="18.28515625" customWidth="1"/>
    <col min="5" max="5" width="17.140625" customWidth="1"/>
    <col min="6" max="6" width="26.140625" customWidth="1"/>
    <col min="8" max="8" width="19.140625" customWidth="1"/>
    <col min="9" max="9" width="24.42578125" bestFit="1" customWidth="1"/>
    <col min="10" max="10" width="14.42578125" customWidth="1"/>
    <col min="11" max="11" width="16.28515625" customWidth="1"/>
    <col min="12" max="12" width="42.140625" customWidth="1"/>
    <col min="13" max="13" width="19" customWidth="1"/>
    <col min="14" max="14" width="18" customWidth="1"/>
    <col min="15" max="15" width="18" bestFit="1" customWidth="1"/>
    <col min="16" max="16" width="16.42578125" customWidth="1"/>
    <col min="17" max="17" width="18.85546875" bestFit="1" customWidth="1"/>
    <col min="18" max="18" width="33.140625" customWidth="1"/>
    <col min="19" max="19" width="13.42578125" bestFit="1" customWidth="1"/>
    <col min="20" max="20" width="12.7109375" bestFit="1" customWidth="1"/>
    <col min="21" max="21" width="36.5703125" bestFit="1" customWidth="1"/>
    <col min="22" max="22" width="14.140625" customWidth="1"/>
    <col min="23" max="23" width="20.140625" customWidth="1"/>
    <col min="24" max="24" width="12" customWidth="1"/>
    <col min="25" max="25" width="30.7109375" customWidth="1"/>
    <col min="26" max="26" width="23" customWidth="1"/>
    <col min="27" max="27" width="26.42578125" customWidth="1"/>
    <col min="28" max="28" width="23.85546875" customWidth="1"/>
    <col min="29" max="29" width="19.85546875" customWidth="1"/>
  </cols>
  <sheetData>
    <row r="2" spans="3:6" ht="21">
      <c r="C2" s="432" t="s">
        <v>167</v>
      </c>
      <c r="D2" s="432"/>
      <c r="E2" s="432"/>
      <c r="F2" s="432"/>
    </row>
    <row r="3" spans="3:6" ht="36.75" customHeight="1">
      <c r="C3" s="433" t="s">
        <v>168</v>
      </c>
      <c r="D3" s="434" t="s">
        <v>169</v>
      </c>
      <c r="E3" s="433" t="s">
        <v>170</v>
      </c>
      <c r="F3" s="434" t="s">
        <v>171</v>
      </c>
    </row>
    <row r="4" spans="3:6" ht="18.75">
      <c r="C4" s="435" t="s">
        <v>172</v>
      </c>
      <c r="D4" s="436" t="s">
        <v>173</v>
      </c>
      <c r="E4" s="435">
        <v>2</v>
      </c>
      <c r="F4" s="435" t="s">
        <v>174</v>
      </c>
    </row>
    <row r="5" spans="3:6" ht="18.75">
      <c r="C5" s="435" t="s">
        <v>2</v>
      </c>
      <c r="D5" s="435" t="s">
        <v>175</v>
      </c>
      <c r="E5" s="435">
        <v>200</v>
      </c>
      <c r="F5" s="435" t="s">
        <v>176</v>
      </c>
    </row>
    <row r="6" spans="3:6" ht="20.25">
      <c r="C6" s="435" t="s">
        <v>177</v>
      </c>
      <c r="D6" s="436" t="s">
        <v>178</v>
      </c>
      <c r="E6" s="435">
        <v>100</v>
      </c>
      <c r="F6" s="435" t="s">
        <v>179</v>
      </c>
    </row>
    <row r="7" spans="3:6" ht="18.75">
      <c r="C7" s="435" t="s">
        <v>180</v>
      </c>
      <c r="D7" s="435" t="s">
        <v>181</v>
      </c>
      <c r="E7" s="435">
        <v>20</v>
      </c>
      <c r="F7" s="435" t="s">
        <v>182</v>
      </c>
    </row>
    <row r="8" spans="3:6" ht="18.75">
      <c r="C8" s="435" t="s">
        <v>183</v>
      </c>
      <c r="D8" s="435" t="s">
        <v>184</v>
      </c>
      <c r="E8" s="435">
        <v>5</v>
      </c>
      <c r="F8" s="436" t="s">
        <v>185</v>
      </c>
    </row>
    <row r="9" spans="3:6" ht="18.75">
      <c r="C9" s="435" t="s">
        <v>186</v>
      </c>
      <c r="D9" s="435" t="s">
        <v>187</v>
      </c>
      <c r="E9" s="435">
        <v>4</v>
      </c>
      <c r="F9" s="435" t="s">
        <v>188</v>
      </c>
    </row>
    <row r="10" spans="3:6" ht="18.75">
      <c r="C10" s="435" t="s">
        <v>189</v>
      </c>
      <c r="D10" s="435" t="s">
        <v>190</v>
      </c>
      <c r="E10" s="435" t="s">
        <v>191</v>
      </c>
      <c r="F10" s="435" t="s">
        <v>192</v>
      </c>
    </row>
    <row r="11" spans="3:6" ht="36">
      <c r="C11" s="435" t="s">
        <v>193</v>
      </c>
      <c r="D11" s="435" t="s">
        <v>194</v>
      </c>
      <c r="E11" s="435" t="s">
        <v>195</v>
      </c>
      <c r="F11" s="436" t="s">
        <v>196</v>
      </c>
    </row>
    <row r="12" spans="3:6" ht="18.75">
      <c r="C12" s="435" t="s">
        <v>197</v>
      </c>
      <c r="D12" s="435" t="s">
        <v>198</v>
      </c>
      <c r="E12" s="435" t="s">
        <v>199</v>
      </c>
      <c r="F12" s="435" t="s">
        <v>200</v>
      </c>
    </row>
    <row r="13" spans="3:6" ht="18.75">
      <c r="C13" s="435" t="s">
        <v>201</v>
      </c>
      <c r="D13" s="435" t="s">
        <v>202</v>
      </c>
      <c r="E13" s="435">
        <v>4</v>
      </c>
      <c r="F13" s="435" t="s">
        <v>203</v>
      </c>
    </row>
    <row r="14" spans="3:6" ht="18.75">
      <c r="C14" s="435" t="s">
        <v>204</v>
      </c>
      <c r="D14" s="435" t="s">
        <v>205</v>
      </c>
      <c r="E14" s="435">
        <v>30</v>
      </c>
      <c r="F14" s="435" t="s">
        <v>206</v>
      </c>
    </row>
    <row r="15" spans="3:6" ht="36">
      <c r="C15" s="435" t="s">
        <v>207</v>
      </c>
      <c r="D15" s="435" t="s">
        <v>208</v>
      </c>
      <c r="E15" s="435">
        <v>5.42</v>
      </c>
      <c r="F15" s="436" t="s">
        <v>209</v>
      </c>
    </row>
    <row r="16" spans="3:6" ht="18.75">
      <c r="C16" s="435" t="s">
        <v>164</v>
      </c>
      <c r="D16" s="435" t="s">
        <v>210</v>
      </c>
      <c r="E16" s="435" t="s">
        <v>211</v>
      </c>
      <c r="F16" s="435"/>
    </row>
    <row r="17" spans="2:29" ht="36">
      <c r="C17" s="435" t="s">
        <v>212</v>
      </c>
      <c r="D17" s="435" t="s">
        <v>208</v>
      </c>
      <c r="E17" s="435">
        <v>800</v>
      </c>
      <c r="F17" s="436" t="s">
        <v>213</v>
      </c>
    </row>
    <row r="18" spans="2:29" ht="18.75">
      <c r="C18" s="435" t="s">
        <v>214</v>
      </c>
      <c r="D18" s="435" t="s">
        <v>210</v>
      </c>
      <c r="E18" s="435">
        <v>25</v>
      </c>
      <c r="F18" s="436" t="s">
        <v>215</v>
      </c>
    </row>
    <row r="22" spans="2:29" ht="18.75">
      <c r="E22" s="437" t="s">
        <v>216</v>
      </c>
      <c r="F22" s="438"/>
      <c r="G22" s="438"/>
      <c r="H22" s="438"/>
      <c r="I22" s="438"/>
      <c r="J22" s="438"/>
      <c r="K22" s="438"/>
      <c r="L22" s="438"/>
      <c r="M22" s="438"/>
      <c r="N22" s="438"/>
      <c r="O22" s="438"/>
      <c r="P22" s="438"/>
      <c r="Q22" s="438"/>
      <c r="R22" s="439"/>
    </row>
    <row r="23" spans="2:29" ht="30.75">
      <c r="E23" s="43" t="s">
        <v>217</v>
      </c>
      <c r="F23" s="45" t="s">
        <v>218</v>
      </c>
      <c r="G23" s="45" t="s">
        <v>219</v>
      </c>
      <c r="H23" s="44" t="s">
        <v>220</v>
      </c>
      <c r="I23" s="45" t="s">
        <v>221</v>
      </c>
      <c r="J23" s="45" t="s">
        <v>222</v>
      </c>
      <c r="K23" s="45" t="s">
        <v>223</v>
      </c>
      <c r="L23" s="45" t="s">
        <v>224</v>
      </c>
      <c r="M23" s="44" t="s">
        <v>225</v>
      </c>
      <c r="N23" s="44" t="s">
        <v>226</v>
      </c>
      <c r="O23" s="46" t="s">
        <v>227</v>
      </c>
      <c r="P23" s="440" t="s">
        <v>228</v>
      </c>
      <c r="Q23" s="441" t="s">
        <v>229</v>
      </c>
      <c r="R23" s="441" t="s">
        <v>164</v>
      </c>
    </row>
    <row r="24" spans="2:29" ht="18.75">
      <c r="E24" s="26" t="s">
        <v>230</v>
      </c>
      <c r="F24" s="25">
        <v>2</v>
      </c>
      <c r="G24" s="25">
        <f>F24*100</f>
        <v>200</v>
      </c>
      <c r="H24" s="25">
        <f>(G24*100)/1000</f>
        <v>20</v>
      </c>
      <c r="I24" s="25">
        <f>H24*7</f>
        <v>140</v>
      </c>
      <c r="J24" s="25">
        <f>H24/5</f>
        <v>4</v>
      </c>
      <c r="K24" s="108">
        <f>(J24*I34)/60</f>
        <v>66.666666666666671</v>
      </c>
      <c r="L24" s="25">
        <f>0.0027*J24*35</f>
        <v>0.378</v>
      </c>
      <c r="M24" s="107">
        <f>L24/0.85</f>
        <v>0.44470588235294117</v>
      </c>
      <c r="N24" s="106">
        <f>M24</f>
        <v>0.44470588235294117</v>
      </c>
      <c r="O24" s="107">
        <f>N24/0.85</f>
        <v>0.52318339100346023</v>
      </c>
      <c r="P24" s="225">
        <v>4</v>
      </c>
      <c r="Q24" s="226">
        <f>P36</f>
        <v>5420</v>
      </c>
      <c r="R24" s="227">
        <f>S33</f>
        <v>7.2266666666666666</v>
      </c>
    </row>
    <row r="27" spans="2:29">
      <c r="E27" s="21"/>
      <c r="F27" s="21"/>
    </row>
    <row r="28" spans="2:29" ht="21">
      <c r="B28" s="442" t="s">
        <v>231</v>
      </c>
      <c r="C28" s="443"/>
      <c r="D28" s="21"/>
      <c r="E28" s="99"/>
      <c r="F28" s="437" t="s">
        <v>232</v>
      </c>
      <c r="G28" s="438"/>
      <c r="H28" s="438"/>
      <c r="I28" s="438"/>
      <c r="J28" s="439"/>
      <c r="L28" s="444" t="s">
        <v>233</v>
      </c>
      <c r="M28" s="445"/>
      <c r="N28" s="445"/>
      <c r="O28" s="445"/>
      <c r="P28" s="446"/>
      <c r="R28" s="447" t="s">
        <v>107</v>
      </c>
      <c r="S28" s="448"/>
      <c r="T28" s="448"/>
      <c r="U28" s="449"/>
      <c r="W28" s="450" t="s">
        <v>234</v>
      </c>
      <c r="X28" s="451"/>
      <c r="Y28" s="451"/>
      <c r="Z28" s="451"/>
      <c r="AA28" s="451"/>
      <c r="AB28" s="451"/>
      <c r="AC28" s="452"/>
    </row>
    <row r="29" spans="2:29" ht="36">
      <c r="B29" s="41" t="s">
        <v>235</v>
      </c>
      <c r="C29" s="42" t="s">
        <v>236</v>
      </c>
      <c r="D29" s="21"/>
      <c r="E29" s="37"/>
      <c r="F29" s="42" t="s">
        <v>237</v>
      </c>
      <c r="G29" s="42" t="s">
        <v>238</v>
      </c>
      <c r="H29" s="42" t="s">
        <v>239</v>
      </c>
      <c r="I29" s="42" t="s">
        <v>170</v>
      </c>
      <c r="J29" s="42" t="s">
        <v>139</v>
      </c>
      <c r="L29" s="40" t="s">
        <v>240</v>
      </c>
      <c r="M29" s="39" t="s">
        <v>239</v>
      </c>
      <c r="N29" s="39" t="s">
        <v>241</v>
      </c>
      <c r="O29" s="39" t="s">
        <v>242</v>
      </c>
      <c r="P29" s="39" t="s">
        <v>243</v>
      </c>
      <c r="R29" s="42" t="s">
        <v>237</v>
      </c>
      <c r="S29" s="42" t="s">
        <v>170</v>
      </c>
      <c r="T29" s="42" t="s">
        <v>244</v>
      </c>
      <c r="U29" s="42" t="s">
        <v>245</v>
      </c>
      <c r="W29" s="280" t="s">
        <v>234</v>
      </c>
      <c r="X29" s="280" t="s">
        <v>246</v>
      </c>
      <c r="Y29" s="280" t="s">
        <v>247</v>
      </c>
      <c r="Z29" s="280" t="s">
        <v>248</v>
      </c>
      <c r="AA29" s="280" t="s">
        <v>249</v>
      </c>
      <c r="AB29" s="280" t="s">
        <v>250</v>
      </c>
      <c r="AC29" s="280" t="s">
        <v>251</v>
      </c>
    </row>
    <row r="30" spans="2:29" ht="54.75">
      <c r="B30" s="113" t="s">
        <v>252</v>
      </c>
      <c r="C30" s="119" t="s">
        <v>253</v>
      </c>
      <c r="D30" s="21"/>
      <c r="E30" s="37"/>
      <c r="F30" s="113" t="s">
        <v>218</v>
      </c>
      <c r="G30" s="113" t="s">
        <v>254</v>
      </c>
      <c r="H30" s="113" t="s">
        <v>255</v>
      </c>
      <c r="I30" s="113">
        <v>2</v>
      </c>
      <c r="J30" s="118" t="s">
        <v>256</v>
      </c>
      <c r="L30" s="111" t="s">
        <v>257</v>
      </c>
      <c r="M30" s="110" t="s">
        <v>258</v>
      </c>
      <c r="N30" s="112">
        <v>1</v>
      </c>
      <c r="O30" s="112">
        <v>1800</v>
      </c>
      <c r="P30" s="112">
        <f>O30*N30</f>
        <v>1800</v>
      </c>
      <c r="R30" s="113" t="s">
        <v>259</v>
      </c>
      <c r="S30" s="113">
        <v>800</v>
      </c>
      <c r="T30" s="113" t="s">
        <v>260</v>
      </c>
      <c r="U30" s="118" t="s">
        <v>261</v>
      </c>
      <c r="W30" s="279" t="s">
        <v>262</v>
      </c>
      <c r="X30" s="277">
        <v>1</v>
      </c>
      <c r="Y30" s="277">
        <f>100*X30</f>
        <v>100</v>
      </c>
      <c r="Z30" s="277">
        <f>(G24*Y30)/1000</f>
        <v>20</v>
      </c>
      <c r="AA30" s="277">
        <f>Z30/J24</f>
        <v>5</v>
      </c>
      <c r="AB30" s="277">
        <f>AA30/X30</f>
        <v>5</v>
      </c>
      <c r="AC30" s="277">
        <f>30/H24</f>
        <v>1.5</v>
      </c>
    </row>
    <row r="31" spans="2:29" ht="54.75">
      <c r="B31" s="113" t="s">
        <v>219</v>
      </c>
      <c r="C31" s="119" t="s">
        <v>263</v>
      </c>
      <c r="D31" s="21"/>
      <c r="E31" s="37"/>
      <c r="F31" s="113" t="s">
        <v>144</v>
      </c>
      <c r="G31" s="113" t="s">
        <v>264</v>
      </c>
      <c r="H31" s="113" t="s">
        <v>265</v>
      </c>
      <c r="I31" s="113" t="s">
        <v>266</v>
      </c>
      <c r="J31" s="118" t="s">
        <v>267</v>
      </c>
      <c r="L31" s="115" t="s">
        <v>268</v>
      </c>
      <c r="M31" s="110" t="s">
        <v>269</v>
      </c>
      <c r="N31" s="112">
        <v>2000</v>
      </c>
      <c r="O31" s="112">
        <v>0.25</v>
      </c>
      <c r="P31" s="112">
        <f t="shared" ref="P31:P35" si="0">O31*N31</f>
        <v>500</v>
      </c>
      <c r="R31" s="113" t="s">
        <v>270</v>
      </c>
      <c r="S31" s="113">
        <f>P36</f>
        <v>5420</v>
      </c>
      <c r="T31" s="113" t="s">
        <v>271</v>
      </c>
      <c r="U31" s="113" t="s">
        <v>272</v>
      </c>
      <c r="V31" s="37"/>
      <c r="W31" s="279" t="s">
        <v>273</v>
      </c>
      <c r="X31" s="277">
        <v>2</v>
      </c>
      <c r="Y31" s="277">
        <f t="shared" ref="Y31:Y32" si="1">100*X31</f>
        <v>200</v>
      </c>
      <c r="Z31" s="278">
        <f>(G24*Y31)/1000</f>
        <v>40</v>
      </c>
      <c r="AA31" s="277">
        <f>Z31/J24</f>
        <v>10</v>
      </c>
      <c r="AB31" s="277">
        <f t="shared" ref="AB31:AB32" si="2">AA31/X31</f>
        <v>5</v>
      </c>
      <c r="AC31" s="277">
        <f>30/H24</f>
        <v>1.5</v>
      </c>
    </row>
    <row r="32" spans="2:29" ht="90.75">
      <c r="B32" s="118" t="s">
        <v>274</v>
      </c>
      <c r="C32" s="119" t="s">
        <v>275</v>
      </c>
      <c r="D32" s="21"/>
      <c r="E32" s="37"/>
      <c r="F32" s="113" t="s">
        <v>2</v>
      </c>
      <c r="G32" s="113" t="s">
        <v>276</v>
      </c>
      <c r="H32" s="113" t="s">
        <v>277</v>
      </c>
      <c r="I32" s="113">
        <v>200</v>
      </c>
      <c r="J32" s="118" t="s">
        <v>278</v>
      </c>
      <c r="L32" s="113" t="s">
        <v>279</v>
      </c>
      <c r="M32" s="114" t="s">
        <v>258</v>
      </c>
      <c r="N32" s="112">
        <v>4</v>
      </c>
      <c r="O32" s="112">
        <v>105</v>
      </c>
      <c r="P32" s="112">
        <f t="shared" si="0"/>
        <v>420</v>
      </c>
      <c r="R32" s="113" t="s">
        <v>280</v>
      </c>
      <c r="S32" s="113">
        <v>50</v>
      </c>
      <c r="T32" s="113" t="s">
        <v>260</v>
      </c>
      <c r="U32" s="118" t="s">
        <v>281</v>
      </c>
      <c r="V32" s="37"/>
      <c r="W32" s="279" t="s">
        <v>282</v>
      </c>
      <c r="X32" s="277">
        <v>5</v>
      </c>
      <c r="Y32" s="277">
        <f t="shared" si="1"/>
        <v>500</v>
      </c>
      <c r="Z32" s="278">
        <f>(G24*Y32)/1000</f>
        <v>100</v>
      </c>
      <c r="AA32" s="277">
        <f>Z32/J24</f>
        <v>25</v>
      </c>
      <c r="AB32" s="277">
        <f t="shared" si="2"/>
        <v>5</v>
      </c>
      <c r="AC32" s="277">
        <f>30/H24</f>
        <v>1.5</v>
      </c>
    </row>
    <row r="33" spans="2:27" ht="90.75">
      <c r="B33" s="113" t="s">
        <v>187</v>
      </c>
      <c r="C33" s="119" t="s">
        <v>283</v>
      </c>
      <c r="D33" s="21"/>
      <c r="E33" s="37"/>
      <c r="F33" s="118" t="s">
        <v>177</v>
      </c>
      <c r="G33" s="113" t="s">
        <v>284</v>
      </c>
      <c r="H33" s="113" t="s">
        <v>285</v>
      </c>
      <c r="I33" s="113">
        <v>100</v>
      </c>
      <c r="J33" s="118" t="s">
        <v>286</v>
      </c>
      <c r="L33" s="116" t="s">
        <v>287</v>
      </c>
      <c r="M33" s="110" t="s">
        <v>258</v>
      </c>
      <c r="N33" s="112">
        <v>1</v>
      </c>
      <c r="O33" s="112">
        <v>650</v>
      </c>
      <c r="P33" s="112">
        <f t="shared" si="0"/>
        <v>650</v>
      </c>
      <c r="R33" s="171" t="s">
        <v>164</v>
      </c>
      <c r="S33" s="172">
        <f>S31/(S30-S32)</f>
        <v>7.2266666666666666</v>
      </c>
      <c r="T33" s="171" t="s">
        <v>288</v>
      </c>
      <c r="U33" s="173" t="s">
        <v>289</v>
      </c>
      <c r="V33" s="21"/>
      <c r="W33" s="21"/>
      <c r="X33" s="21"/>
      <c r="Y33" s="21"/>
      <c r="Z33" s="21"/>
      <c r="AA33" s="21"/>
    </row>
    <row r="34" spans="2:27" ht="54.75">
      <c r="B34" s="113" t="s">
        <v>290</v>
      </c>
      <c r="C34" s="119" t="s">
        <v>291</v>
      </c>
      <c r="E34" s="37"/>
      <c r="F34" s="118" t="s">
        <v>292</v>
      </c>
      <c r="G34" s="113" t="s">
        <v>293</v>
      </c>
      <c r="H34" s="113" t="s">
        <v>293</v>
      </c>
      <c r="I34" s="113">
        <v>1000</v>
      </c>
      <c r="J34" s="118" t="s">
        <v>294</v>
      </c>
      <c r="L34" s="111" t="s">
        <v>295</v>
      </c>
      <c r="M34" s="110" t="s">
        <v>296</v>
      </c>
      <c r="N34" s="112">
        <v>1</v>
      </c>
      <c r="O34" s="112">
        <v>250</v>
      </c>
      <c r="P34" s="112">
        <f t="shared" si="0"/>
        <v>250</v>
      </c>
      <c r="R34" s="113" t="s">
        <v>297</v>
      </c>
      <c r="S34" s="113">
        <f>S30-S32</f>
        <v>750</v>
      </c>
      <c r="T34" s="174" t="s">
        <v>271</v>
      </c>
      <c r="U34" s="170"/>
    </row>
    <row r="35" spans="2:27" ht="54.75">
      <c r="B35" s="113" t="s">
        <v>298</v>
      </c>
      <c r="C35" s="119" t="s">
        <v>299</v>
      </c>
      <c r="E35" s="37"/>
      <c r="F35" s="118" t="s">
        <v>183</v>
      </c>
      <c r="G35" s="113" t="s">
        <v>300</v>
      </c>
      <c r="H35" s="113" t="s">
        <v>301</v>
      </c>
      <c r="I35" s="113">
        <v>5</v>
      </c>
      <c r="J35" s="118" t="s">
        <v>185</v>
      </c>
      <c r="L35" s="111" t="s">
        <v>302</v>
      </c>
      <c r="M35" s="110" t="s">
        <v>296</v>
      </c>
      <c r="N35" s="112">
        <v>1</v>
      </c>
      <c r="O35" s="112">
        <v>1800</v>
      </c>
      <c r="P35" s="112">
        <f t="shared" si="0"/>
        <v>1800</v>
      </c>
      <c r="R35" s="113" t="s">
        <v>214</v>
      </c>
      <c r="S35" s="113">
        <v>25</v>
      </c>
      <c r="T35" s="113" t="s">
        <v>303</v>
      </c>
      <c r="U35" s="170"/>
    </row>
    <row r="36" spans="2:27" ht="72.75">
      <c r="B36" s="113" t="s">
        <v>304</v>
      </c>
      <c r="C36" s="119" t="s">
        <v>305</v>
      </c>
      <c r="E36" s="21"/>
      <c r="F36" s="118" t="s">
        <v>306</v>
      </c>
      <c r="G36" s="113" t="s">
        <v>307</v>
      </c>
      <c r="H36" s="113" t="s">
        <v>308</v>
      </c>
      <c r="I36" s="113">
        <v>85</v>
      </c>
      <c r="J36" s="118" t="s">
        <v>309</v>
      </c>
      <c r="L36" s="109" t="s">
        <v>310</v>
      </c>
      <c r="M36" s="38" t="s">
        <v>311</v>
      </c>
      <c r="N36" s="38" t="s">
        <v>311</v>
      </c>
      <c r="O36" s="38" t="s">
        <v>311</v>
      </c>
      <c r="P36" s="117">
        <f>P30+P31+P32+P33+P34+P35</f>
        <v>5420</v>
      </c>
      <c r="R36" s="113" t="s">
        <v>312</v>
      </c>
      <c r="S36" s="113">
        <v>650</v>
      </c>
      <c r="T36" s="174" t="s">
        <v>271</v>
      </c>
      <c r="U36" s="170"/>
    </row>
    <row r="37" spans="2:27" ht="72.75">
      <c r="B37" s="113" t="s">
        <v>313</v>
      </c>
      <c r="C37" s="119" t="s">
        <v>314</v>
      </c>
      <c r="F37" s="113" t="s">
        <v>315</v>
      </c>
      <c r="G37" s="113" t="s">
        <v>316</v>
      </c>
      <c r="H37" s="113" t="s">
        <v>269</v>
      </c>
      <c r="I37" s="113">
        <v>20</v>
      </c>
      <c r="J37" s="118" t="s">
        <v>317</v>
      </c>
      <c r="K37" s="21"/>
      <c r="R37" s="113" t="s">
        <v>318</v>
      </c>
      <c r="S37" s="113">
        <v>250</v>
      </c>
      <c r="T37" s="174" t="s">
        <v>271</v>
      </c>
      <c r="U37" s="170"/>
    </row>
    <row r="38" spans="2:27" ht="90.75">
      <c r="B38" s="120" t="s">
        <v>319</v>
      </c>
      <c r="C38" s="121" t="s">
        <v>320</v>
      </c>
      <c r="F38" s="113" t="s">
        <v>204</v>
      </c>
      <c r="G38" s="113" t="s">
        <v>293</v>
      </c>
      <c r="H38" s="113" t="s">
        <v>321</v>
      </c>
      <c r="I38" s="113">
        <v>30</v>
      </c>
      <c r="J38" s="118" t="s">
        <v>322</v>
      </c>
      <c r="R38" s="113" t="s">
        <v>323</v>
      </c>
      <c r="S38" s="113">
        <v>1000</v>
      </c>
      <c r="T38" s="174" t="s">
        <v>271</v>
      </c>
      <c r="U38" s="170"/>
    </row>
    <row r="39" spans="2:27" ht="163.5">
      <c r="B39" s="111" t="s">
        <v>302</v>
      </c>
      <c r="C39" s="118" t="s">
        <v>324</v>
      </c>
      <c r="F39" s="113" t="s">
        <v>325</v>
      </c>
      <c r="G39" s="113" t="s">
        <v>326</v>
      </c>
      <c r="H39" s="113" t="s">
        <v>327</v>
      </c>
      <c r="I39" s="113">
        <v>1000</v>
      </c>
      <c r="J39" s="118" t="s">
        <v>328</v>
      </c>
      <c r="R39" s="113" t="s">
        <v>329</v>
      </c>
      <c r="S39" s="113">
        <f>(S36*2)+(S37*2)+(S38*2)</f>
        <v>3800</v>
      </c>
      <c r="T39" s="174" t="s">
        <v>271</v>
      </c>
      <c r="U39" s="170"/>
    </row>
    <row r="40" spans="2:27" ht="54.75">
      <c r="F40" s="113" t="s">
        <v>330</v>
      </c>
      <c r="G40" s="113" t="s">
        <v>331</v>
      </c>
      <c r="H40" s="113" t="s">
        <v>332</v>
      </c>
      <c r="I40" s="113">
        <v>9.81</v>
      </c>
      <c r="J40" s="118" t="s">
        <v>333</v>
      </c>
      <c r="R40" s="118" t="s">
        <v>334</v>
      </c>
      <c r="S40" s="113">
        <f>S34*25</f>
        <v>18750</v>
      </c>
      <c r="T40" s="174" t="s">
        <v>271</v>
      </c>
      <c r="U40" s="170"/>
    </row>
    <row r="41" spans="2:27" ht="72.75">
      <c r="F41" s="113" t="s">
        <v>186</v>
      </c>
      <c r="G41" s="113" t="s">
        <v>335</v>
      </c>
      <c r="H41" s="113" t="s">
        <v>336</v>
      </c>
      <c r="I41" s="113" t="s">
        <v>293</v>
      </c>
      <c r="J41" s="118" t="s">
        <v>337</v>
      </c>
      <c r="R41" s="113" t="s">
        <v>338</v>
      </c>
      <c r="S41" s="113">
        <f>S31+S39</f>
        <v>9220</v>
      </c>
      <c r="T41" s="174" t="s">
        <v>271</v>
      </c>
      <c r="U41" s="170"/>
    </row>
  </sheetData>
  <mergeCells count="7">
    <mergeCell ref="W28:AC28"/>
    <mergeCell ref="C2:F2"/>
    <mergeCell ref="E22:R22"/>
    <mergeCell ref="B28:C28"/>
    <mergeCell ref="F28:J28"/>
    <mergeCell ref="L28:P28"/>
    <mergeCell ref="R28:U28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14369-8810-45D6-8563-A5817C7CFDCB}">
  <dimension ref="A1:AD56"/>
  <sheetViews>
    <sheetView workbookViewId="0">
      <selection activeCell="K25" sqref="K25"/>
    </sheetView>
  </sheetViews>
  <sheetFormatPr defaultRowHeight="15"/>
  <cols>
    <col min="1" max="1" width="34.7109375" customWidth="1"/>
    <col min="2" max="2" width="40.5703125" customWidth="1"/>
    <col min="3" max="3" width="23.5703125" customWidth="1"/>
    <col min="4" max="4" width="23.140625" customWidth="1"/>
    <col min="5" max="5" width="26.28515625" customWidth="1"/>
    <col min="6" max="6" width="23.5703125" customWidth="1"/>
    <col min="7" max="7" width="35.42578125" customWidth="1"/>
    <col min="8" max="8" width="29.5703125" customWidth="1"/>
    <col min="9" max="9" width="23.140625" customWidth="1"/>
    <col min="11" max="11" width="50.42578125" customWidth="1"/>
    <col min="12" max="12" width="68.85546875" customWidth="1"/>
    <col min="13" max="13" width="23.140625" customWidth="1"/>
    <col min="14" max="14" width="84.7109375" customWidth="1"/>
    <col min="17" max="17" width="121.5703125" customWidth="1"/>
    <col min="18" max="18" width="42.5703125" customWidth="1"/>
    <col min="19" max="19" width="48.7109375" customWidth="1"/>
    <col min="20" max="20" width="67.140625" customWidth="1"/>
    <col min="21" max="21" width="28.42578125" customWidth="1"/>
  </cols>
  <sheetData>
    <row r="1" spans="1:30" ht="46.5">
      <c r="P1" s="351" t="s">
        <v>339</v>
      </c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0"/>
      <c r="AC1" s="330"/>
      <c r="AD1" s="330"/>
    </row>
    <row r="2" spans="1:30" ht="24">
      <c r="A2" s="352" t="s">
        <v>340</v>
      </c>
      <c r="B2" s="330"/>
      <c r="C2" s="330"/>
      <c r="D2" s="330"/>
      <c r="E2" s="330"/>
      <c r="F2" s="330"/>
      <c r="G2" s="330"/>
      <c r="H2" s="330"/>
      <c r="I2" s="330"/>
    </row>
    <row r="3" spans="1:30" ht="33">
      <c r="A3" s="2" t="s">
        <v>341</v>
      </c>
      <c r="B3" s="2" t="s">
        <v>342</v>
      </c>
      <c r="C3" s="2" t="s">
        <v>343</v>
      </c>
      <c r="D3" s="2" t="s">
        <v>344</v>
      </c>
      <c r="E3" s="2" t="s">
        <v>345</v>
      </c>
      <c r="F3" s="2" t="s">
        <v>346</v>
      </c>
      <c r="G3" s="2" t="s">
        <v>347</v>
      </c>
      <c r="H3" s="2" t="s">
        <v>348</v>
      </c>
      <c r="I3" s="2" t="s">
        <v>349</v>
      </c>
      <c r="K3" s="353" t="s">
        <v>350</v>
      </c>
      <c r="L3" s="354"/>
      <c r="M3" s="310"/>
      <c r="N3" s="305" t="s">
        <v>351</v>
      </c>
      <c r="O3" s="303"/>
      <c r="P3" s="303"/>
      <c r="Q3" s="239"/>
      <c r="U3" s="303"/>
      <c r="V3" s="303"/>
      <c r="W3" s="303"/>
      <c r="X3" s="303"/>
      <c r="Y3" s="303"/>
      <c r="Z3" s="303"/>
      <c r="AA3" s="303"/>
      <c r="AB3" s="303"/>
    </row>
    <row r="4" spans="1:30" ht="24">
      <c r="A4" s="3">
        <v>1</v>
      </c>
      <c r="B4" s="5">
        <v>2000</v>
      </c>
      <c r="C4" s="5">
        <v>1000</v>
      </c>
      <c r="D4" s="4">
        <v>60</v>
      </c>
      <c r="E4" s="4">
        <v>360</v>
      </c>
      <c r="F4" s="211" t="s">
        <v>352</v>
      </c>
      <c r="G4" s="211">
        <v>686</v>
      </c>
      <c r="H4" s="211" t="s">
        <v>353</v>
      </c>
      <c r="I4" s="211" t="s">
        <v>354</v>
      </c>
      <c r="K4" s="13" t="s">
        <v>355</v>
      </c>
      <c r="L4" s="306" t="s">
        <v>356</v>
      </c>
      <c r="M4" s="7"/>
      <c r="N4" s="17" t="s">
        <v>357</v>
      </c>
      <c r="O4" s="308"/>
      <c r="P4" s="303"/>
      <c r="Q4" s="241" t="s">
        <v>358</v>
      </c>
      <c r="R4" s="242"/>
      <c r="S4" s="242"/>
      <c r="T4" s="242"/>
      <c r="U4" s="303"/>
      <c r="V4" s="303"/>
      <c r="W4" s="303"/>
      <c r="X4" s="303"/>
      <c r="Y4" s="303"/>
      <c r="Z4" s="303"/>
      <c r="AA4" s="303"/>
      <c r="AB4" s="303"/>
    </row>
    <row r="5" spans="1:30" ht="24">
      <c r="A5" s="2">
        <v>2</v>
      </c>
      <c r="B5" s="1">
        <v>2200</v>
      </c>
      <c r="C5" s="1">
        <v>1100</v>
      </c>
      <c r="D5" s="6">
        <v>66</v>
      </c>
      <c r="E5" s="6">
        <v>396</v>
      </c>
      <c r="F5" s="212" t="s">
        <v>352</v>
      </c>
      <c r="G5" s="213" t="s">
        <v>359</v>
      </c>
      <c r="H5" s="213" t="s">
        <v>360</v>
      </c>
      <c r="I5" s="213" t="s">
        <v>361</v>
      </c>
      <c r="K5" s="13" t="s">
        <v>362</v>
      </c>
      <c r="L5" s="306" t="s">
        <v>363</v>
      </c>
      <c r="M5" s="7"/>
      <c r="N5" s="17" t="s">
        <v>364</v>
      </c>
      <c r="O5" s="308"/>
      <c r="P5" s="303"/>
      <c r="Q5" s="243" t="s">
        <v>365</v>
      </c>
      <c r="R5" s="242"/>
      <c r="S5" s="242"/>
      <c r="T5" s="242"/>
      <c r="U5" s="303"/>
      <c r="V5" s="303"/>
      <c r="W5" s="303"/>
      <c r="X5" s="303"/>
      <c r="Y5" s="303"/>
      <c r="Z5" s="303"/>
      <c r="AA5" s="303"/>
      <c r="AB5" s="303"/>
    </row>
    <row r="6" spans="1:30" ht="24">
      <c r="A6" s="3">
        <v>3</v>
      </c>
      <c r="B6" s="5">
        <v>2500</v>
      </c>
      <c r="C6" s="5">
        <v>1250</v>
      </c>
      <c r="D6" s="4">
        <v>75</v>
      </c>
      <c r="E6" s="4">
        <v>450</v>
      </c>
      <c r="F6" s="212" t="s">
        <v>352</v>
      </c>
      <c r="G6" s="212" t="s">
        <v>366</v>
      </c>
      <c r="H6" s="212" t="s">
        <v>367</v>
      </c>
      <c r="I6" s="212" t="s">
        <v>368</v>
      </c>
      <c r="K6" s="14" t="s">
        <v>369</v>
      </c>
      <c r="L6" s="306" t="s">
        <v>370</v>
      </c>
      <c r="M6" s="8"/>
      <c r="N6" s="17" t="s">
        <v>371</v>
      </c>
      <c r="O6" s="308"/>
      <c r="P6" s="303"/>
      <c r="Q6" s="244" t="s">
        <v>372</v>
      </c>
      <c r="R6" s="242"/>
      <c r="S6" s="242"/>
      <c r="T6" s="242"/>
      <c r="U6" s="303"/>
      <c r="V6" s="303"/>
      <c r="W6" s="303"/>
      <c r="X6" s="303"/>
      <c r="Y6" s="303"/>
      <c r="Z6" s="303"/>
      <c r="AA6" s="303"/>
      <c r="AB6" s="303"/>
    </row>
    <row r="7" spans="1:30" ht="24">
      <c r="A7" s="2">
        <v>4</v>
      </c>
      <c r="B7" s="1">
        <v>2700</v>
      </c>
      <c r="C7" s="1">
        <v>1350</v>
      </c>
      <c r="D7" s="6">
        <v>81</v>
      </c>
      <c r="E7" s="6">
        <v>486</v>
      </c>
      <c r="F7" s="212" t="s">
        <v>352</v>
      </c>
      <c r="G7" s="213" t="s">
        <v>373</v>
      </c>
      <c r="H7" s="213" t="s">
        <v>374</v>
      </c>
      <c r="I7" s="213" t="s">
        <v>366</v>
      </c>
      <c r="K7" s="14" t="s">
        <v>375</v>
      </c>
      <c r="L7" s="306" t="s">
        <v>376</v>
      </c>
      <c r="M7" s="7"/>
      <c r="N7" s="17" t="s">
        <v>377</v>
      </c>
      <c r="O7" s="308"/>
      <c r="P7" s="303"/>
      <c r="Q7" s="241" t="s">
        <v>378</v>
      </c>
      <c r="R7" s="242"/>
      <c r="S7" s="242"/>
      <c r="T7" s="242"/>
      <c r="U7" s="303"/>
      <c r="V7" s="303"/>
      <c r="W7" s="303"/>
      <c r="X7" s="303"/>
      <c r="Y7" s="303"/>
      <c r="Z7" s="303"/>
      <c r="AA7" s="303"/>
      <c r="AB7" s="303"/>
    </row>
    <row r="8" spans="1:30" ht="24">
      <c r="A8" s="3">
        <v>5</v>
      </c>
      <c r="B8" s="5">
        <v>3000</v>
      </c>
      <c r="C8" s="5">
        <v>1500</v>
      </c>
      <c r="D8" s="4">
        <v>90</v>
      </c>
      <c r="E8" s="4">
        <v>540</v>
      </c>
      <c r="F8" s="212" t="s">
        <v>352</v>
      </c>
      <c r="G8" s="212" t="s">
        <v>379</v>
      </c>
      <c r="H8" s="212" t="s">
        <v>380</v>
      </c>
      <c r="I8" s="212" t="s">
        <v>381</v>
      </c>
      <c r="K8" s="14" t="s">
        <v>382</v>
      </c>
      <c r="L8" s="306" t="s">
        <v>383</v>
      </c>
      <c r="M8" s="7"/>
      <c r="N8" s="17" t="s">
        <v>384</v>
      </c>
      <c r="O8" s="308"/>
      <c r="P8" s="303"/>
      <c r="Q8" s="244" t="s">
        <v>385</v>
      </c>
      <c r="R8" s="242"/>
      <c r="S8" s="242"/>
      <c r="T8" s="242"/>
      <c r="U8" s="303"/>
      <c r="V8" s="303"/>
      <c r="W8" s="303"/>
      <c r="X8" s="303"/>
      <c r="Y8" s="303"/>
      <c r="Z8" s="303"/>
      <c r="AA8" s="303"/>
      <c r="AB8" s="303"/>
    </row>
    <row r="9" spans="1:30" ht="24">
      <c r="A9" s="2">
        <v>6</v>
      </c>
      <c r="B9" s="1">
        <v>3200</v>
      </c>
      <c r="C9" s="1">
        <v>1600</v>
      </c>
      <c r="D9" s="6">
        <v>96</v>
      </c>
      <c r="E9" s="6">
        <v>576</v>
      </c>
      <c r="F9" s="212" t="s">
        <v>352</v>
      </c>
      <c r="G9" s="213" t="s">
        <v>386</v>
      </c>
      <c r="H9" s="213" t="s">
        <v>387</v>
      </c>
      <c r="I9" s="213" t="s">
        <v>388</v>
      </c>
      <c r="K9" s="355" t="s">
        <v>389</v>
      </c>
      <c r="L9" s="356"/>
      <c r="M9" s="7"/>
      <c r="N9" s="7"/>
      <c r="O9" s="308"/>
      <c r="P9" s="303"/>
      <c r="Q9" s="244" t="s">
        <v>390</v>
      </c>
      <c r="R9" s="242"/>
      <c r="S9" s="242"/>
      <c r="T9" s="242"/>
      <c r="U9" s="303"/>
      <c r="V9" s="303"/>
      <c r="W9" s="303"/>
      <c r="X9" s="303"/>
      <c r="Y9" s="303"/>
      <c r="Z9" s="303"/>
      <c r="AA9" s="303"/>
      <c r="AB9" s="303"/>
    </row>
    <row r="10" spans="1:30" ht="24">
      <c r="A10" s="3">
        <v>7</v>
      </c>
      <c r="B10" s="5">
        <v>2800</v>
      </c>
      <c r="C10" s="5">
        <v>1400</v>
      </c>
      <c r="D10" s="4">
        <v>84</v>
      </c>
      <c r="E10" s="4">
        <v>504</v>
      </c>
      <c r="F10" s="212" t="s">
        <v>352</v>
      </c>
      <c r="G10" s="212" t="s">
        <v>391</v>
      </c>
      <c r="H10" s="212" t="s">
        <v>392</v>
      </c>
      <c r="I10" s="212" t="s">
        <v>393</v>
      </c>
      <c r="K10" s="7"/>
      <c r="L10" s="7"/>
      <c r="M10" s="7"/>
      <c r="N10" s="7"/>
      <c r="O10" s="308"/>
      <c r="P10" s="303"/>
      <c r="Q10" s="244" t="s">
        <v>394</v>
      </c>
      <c r="R10" s="242"/>
      <c r="S10" s="242"/>
      <c r="T10" s="242"/>
      <c r="U10" s="303"/>
      <c r="V10" s="303"/>
      <c r="W10" s="303"/>
      <c r="X10" s="303"/>
      <c r="Y10" s="303"/>
      <c r="Z10" s="303"/>
      <c r="AA10" s="303"/>
      <c r="AB10" s="303"/>
    </row>
    <row r="11" spans="1:30" ht="24">
      <c r="A11" s="2">
        <v>8</v>
      </c>
      <c r="B11" s="1">
        <v>2600</v>
      </c>
      <c r="C11" s="1">
        <v>1300</v>
      </c>
      <c r="D11" s="6">
        <v>78</v>
      </c>
      <c r="E11" s="6">
        <v>468</v>
      </c>
      <c r="F11" s="212" t="s">
        <v>352</v>
      </c>
      <c r="G11" s="213" t="s">
        <v>395</v>
      </c>
      <c r="H11" s="213" t="s">
        <v>396</v>
      </c>
      <c r="I11" s="213" t="s">
        <v>397</v>
      </c>
      <c r="K11" s="349" t="s">
        <v>398</v>
      </c>
      <c r="L11" s="357"/>
      <c r="M11" s="357"/>
      <c r="N11" s="357"/>
      <c r="O11" s="308"/>
      <c r="P11" s="303"/>
      <c r="Q11" s="241" t="s">
        <v>399</v>
      </c>
      <c r="R11" s="242"/>
      <c r="S11" s="242"/>
      <c r="T11" s="242"/>
      <c r="U11" s="303"/>
      <c r="V11" s="303"/>
      <c r="W11" s="303"/>
      <c r="X11" s="303"/>
      <c r="Y11" s="303"/>
      <c r="Z11" s="303"/>
      <c r="AA11" s="303"/>
      <c r="AB11" s="303"/>
    </row>
    <row r="12" spans="1:30" ht="23.25">
      <c r="A12" s="3">
        <v>9</v>
      </c>
      <c r="B12" s="5">
        <v>2400</v>
      </c>
      <c r="C12" s="5">
        <v>1200</v>
      </c>
      <c r="D12" s="4">
        <v>72</v>
      </c>
      <c r="E12" s="4">
        <v>432</v>
      </c>
      <c r="F12" s="212" t="s">
        <v>352</v>
      </c>
      <c r="G12" s="212" t="s">
        <v>400</v>
      </c>
      <c r="H12" s="212" t="s">
        <v>401</v>
      </c>
      <c r="I12" s="212" t="s">
        <v>402</v>
      </c>
      <c r="K12" s="13" t="s">
        <v>403</v>
      </c>
      <c r="L12" s="13" t="s">
        <v>404</v>
      </c>
      <c r="M12" s="13" t="s">
        <v>405</v>
      </c>
      <c r="N12" s="13" t="s">
        <v>406</v>
      </c>
      <c r="O12" s="308"/>
      <c r="P12" s="303"/>
      <c r="Q12" s="245" t="s">
        <v>138</v>
      </c>
      <c r="R12" s="245" t="s">
        <v>407</v>
      </c>
      <c r="S12" s="245" t="s">
        <v>408</v>
      </c>
      <c r="T12" s="245" t="s">
        <v>409</v>
      </c>
      <c r="U12" s="303"/>
      <c r="V12" s="303"/>
      <c r="W12" s="303"/>
      <c r="X12" s="303"/>
      <c r="Y12" s="303"/>
      <c r="Z12" s="303"/>
      <c r="AA12" s="303"/>
      <c r="AB12" s="303"/>
    </row>
    <row r="13" spans="1:30" ht="23.25">
      <c r="A13" s="2">
        <v>10</v>
      </c>
      <c r="B13" s="1">
        <v>2200</v>
      </c>
      <c r="C13" s="1">
        <v>1100</v>
      </c>
      <c r="D13" s="6">
        <v>66</v>
      </c>
      <c r="E13" s="6">
        <v>396</v>
      </c>
      <c r="F13" s="212" t="s">
        <v>352</v>
      </c>
      <c r="G13" s="213" t="s">
        <v>359</v>
      </c>
      <c r="H13" s="213" t="s">
        <v>360</v>
      </c>
      <c r="I13" s="213" t="s">
        <v>410</v>
      </c>
      <c r="K13" s="306" t="s">
        <v>411</v>
      </c>
      <c r="L13" s="15">
        <v>3</v>
      </c>
      <c r="M13" s="306" t="s">
        <v>412</v>
      </c>
      <c r="N13" s="306" t="s">
        <v>413</v>
      </c>
      <c r="O13" s="308"/>
      <c r="P13" s="303"/>
      <c r="Q13" s="246" t="s">
        <v>414</v>
      </c>
      <c r="R13" s="246" t="s">
        <v>415</v>
      </c>
      <c r="S13" s="246" t="s">
        <v>416</v>
      </c>
      <c r="T13" s="246" t="s">
        <v>417</v>
      </c>
      <c r="U13" s="303"/>
      <c r="V13" s="303"/>
      <c r="W13" s="303"/>
      <c r="X13" s="303"/>
      <c r="Y13" s="303"/>
      <c r="Z13" s="303"/>
      <c r="AA13" s="303"/>
      <c r="AB13" s="303"/>
    </row>
    <row r="14" spans="1:30" ht="23.25">
      <c r="A14" s="3">
        <v>11</v>
      </c>
      <c r="B14" s="5">
        <v>2000</v>
      </c>
      <c r="C14" s="5">
        <v>1000</v>
      </c>
      <c r="D14" s="4">
        <v>60</v>
      </c>
      <c r="E14" s="4">
        <v>360</v>
      </c>
      <c r="F14" s="212" t="s">
        <v>352</v>
      </c>
      <c r="G14" s="212">
        <v>686</v>
      </c>
      <c r="H14" s="212" t="s">
        <v>353</v>
      </c>
      <c r="I14" s="212" t="s">
        <v>354</v>
      </c>
      <c r="K14" s="306" t="s">
        <v>418</v>
      </c>
      <c r="L14" s="16">
        <v>5</v>
      </c>
      <c r="M14" s="306" t="s">
        <v>419</v>
      </c>
      <c r="N14" s="306" t="s">
        <v>420</v>
      </c>
      <c r="O14" s="308"/>
      <c r="P14" s="303"/>
      <c r="Q14" s="246" t="s">
        <v>421</v>
      </c>
      <c r="R14" s="246" t="s">
        <v>422</v>
      </c>
      <c r="S14" s="246" t="s">
        <v>423</v>
      </c>
      <c r="T14" s="246" t="s">
        <v>424</v>
      </c>
      <c r="U14" s="303"/>
      <c r="V14" s="303"/>
      <c r="W14" s="303"/>
      <c r="X14" s="303"/>
      <c r="Y14" s="303"/>
      <c r="Z14" s="303"/>
      <c r="AA14" s="303"/>
      <c r="AB14" s="303"/>
    </row>
    <row r="15" spans="1:30" ht="23.25">
      <c r="A15" s="2">
        <v>12</v>
      </c>
      <c r="B15" s="1">
        <v>1800</v>
      </c>
      <c r="C15" s="1">
        <v>900</v>
      </c>
      <c r="D15" s="6">
        <v>54</v>
      </c>
      <c r="E15" s="6">
        <v>324</v>
      </c>
      <c r="F15" s="212" t="s">
        <v>352</v>
      </c>
      <c r="G15" s="213" t="s">
        <v>425</v>
      </c>
      <c r="H15" s="213" t="s">
        <v>426</v>
      </c>
      <c r="I15" s="213" t="s">
        <v>427</v>
      </c>
      <c r="K15" s="306" t="s">
        <v>428</v>
      </c>
      <c r="L15" s="15">
        <v>450</v>
      </c>
      <c r="M15" s="306" t="s">
        <v>429</v>
      </c>
      <c r="N15" s="306" t="s">
        <v>430</v>
      </c>
      <c r="O15" s="308"/>
      <c r="P15" s="303"/>
      <c r="Q15" s="246" t="s">
        <v>431</v>
      </c>
      <c r="R15" s="246" t="s">
        <v>432</v>
      </c>
      <c r="S15" s="246" t="s">
        <v>433</v>
      </c>
      <c r="T15" s="246" t="s">
        <v>434</v>
      </c>
      <c r="U15" s="303"/>
      <c r="V15" s="303"/>
      <c r="W15" s="303"/>
      <c r="X15" s="303"/>
      <c r="Y15" s="303"/>
      <c r="Z15" s="303"/>
      <c r="AA15" s="303"/>
      <c r="AB15" s="303"/>
    </row>
    <row r="16" spans="1:30" ht="24">
      <c r="K16" s="306" t="s">
        <v>435</v>
      </c>
      <c r="L16" s="306">
        <v>75</v>
      </c>
      <c r="M16" s="306" t="s">
        <v>436</v>
      </c>
      <c r="N16" s="306" t="s">
        <v>437</v>
      </c>
      <c r="O16" s="308"/>
      <c r="P16" s="303"/>
      <c r="Q16" s="241" t="s">
        <v>438</v>
      </c>
      <c r="R16" s="242"/>
      <c r="S16" s="242"/>
      <c r="T16" s="242"/>
      <c r="U16" s="303"/>
      <c r="V16" s="303"/>
      <c r="W16" s="303"/>
      <c r="X16" s="303"/>
      <c r="Y16" s="303"/>
      <c r="Z16" s="303"/>
      <c r="AA16" s="303"/>
      <c r="AB16" s="303"/>
    </row>
    <row r="17" spans="1:28" ht="24">
      <c r="A17" s="347" t="s">
        <v>439</v>
      </c>
      <c r="B17" s="348"/>
      <c r="C17" s="348"/>
      <c r="D17" s="348"/>
      <c r="F17" s="348" t="s">
        <v>440</v>
      </c>
      <c r="G17" s="348"/>
      <c r="H17" s="348"/>
      <c r="I17" s="348"/>
      <c r="Q17" s="244" t="s">
        <v>441</v>
      </c>
      <c r="R17" s="242"/>
      <c r="S17" s="242"/>
      <c r="T17" s="242"/>
      <c r="U17" s="303"/>
      <c r="V17" s="303"/>
      <c r="W17" s="303"/>
      <c r="X17" s="303"/>
      <c r="Y17" s="303"/>
      <c r="Z17" s="303"/>
      <c r="AA17" s="303"/>
      <c r="AB17" s="303"/>
    </row>
    <row r="18" spans="1:28" ht="36">
      <c r="A18" s="9" t="s">
        <v>442</v>
      </c>
      <c r="B18" s="10" t="s">
        <v>443</v>
      </c>
      <c r="C18" s="10" t="s">
        <v>444</v>
      </c>
      <c r="D18" s="10" t="s">
        <v>445</v>
      </c>
      <c r="F18" s="9" t="s">
        <v>237</v>
      </c>
      <c r="G18" s="10" t="s">
        <v>446</v>
      </c>
      <c r="H18" s="10" t="s">
        <v>447</v>
      </c>
      <c r="I18" s="10" t="s">
        <v>406</v>
      </c>
      <c r="K18" s="349" t="s">
        <v>448</v>
      </c>
      <c r="L18" s="350"/>
      <c r="Q18" s="244" t="s">
        <v>449</v>
      </c>
      <c r="R18" s="242"/>
      <c r="S18" s="242"/>
      <c r="T18" s="242"/>
      <c r="U18" s="303"/>
      <c r="V18" s="303"/>
      <c r="W18" s="303"/>
      <c r="X18" s="303"/>
      <c r="Y18" s="303"/>
      <c r="Z18" s="303"/>
      <c r="AA18" s="303"/>
      <c r="AB18" s="303"/>
    </row>
    <row r="19" spans="1:28" ht="37.5">
      <c r="A19" s="11" t="s">
        <v>450</v>
      </c>
      <c r="B19" s="12" t="s">
        <v>451</v>
      </c>
      <c r="C19" s="12" t="s">
        <v>452</v>
      </c>
      <c r="D19" s="12" t="s">
        <v>453</v>
      </c>
      <c r="F19" s="11" t="s">
        <v>454</v>
      </c>
      <c r="G19" s="12" t="s">
        <v>455</v>
      </c>
      <c r="H19" s="12" t="s">
        <v>456</v>
      </c>
      <c r="I19" s="12" t="s">
        <v>457</v>
      </c>
      <c r="K19" s="210" t="s">
        <v>458</v>
      </c>
      <c r="L19" s="210" t="s">
        <v>459</v>
      </c>
      <c r="Q19" s="244" t="s">
        <v>460</v>
      </c>
      <c r="R19" s="242"/>
      <c r="S19" s="242"/>
      <c r="T19" s="242"/>
      <c r="U19" s="303"/>
      <c r="V19" s="303"/>
      <c r="W19" s="303"/>
      <c r="X19" s="303"/>
      <c r="Y19" s="303"/>
      <c r="Z19" s="303"/>
      <c r="AA19" s="303"/>
      <c r="AB19" s="303"/>
    </row>
    <row r="20" spans="1:28" ht="37.5">
      <c r="A20" s="11"/>
      <c r="B20" s="12"/>
      <c r="C20" s="12"/>
      <c r="D20" s="12"/>
      <c r="F20" s="11" t="s">
        <v>461</v>
      </c>
      <c r="G20" s="12" t="s">
        <v>462</v>
      </c>
      <c r="H20" s="12" t="s">
        <v>463</v>
      </c>
      <c r="I20" s="12" t="s">
        <v>464</v>
      </c>
      <c r="K20" s="306" t="s">
        <v>465</v>
      </c>
      <c r="L20" s="306" t="s">
        <v>466</v>
      </c>
      <c r="Q20" s="244" t="s">
        <v>467</v>
      </c>
      <c r="R20" s="242"/>
      <c r="S20" s="242"/>
      <c r="T20" s="242"/>
      <c r="U20" s="303"/>
      <c r="V20" s="303"/>
      <c r="W20" s="303"/>
      <c r="X20" s="303"/>
      <c r="Y20" s="303"/>
      <c r="Z20" s="303"/>
      <c r="AA20" s="303"/>
      <c r="AB20" s="303"/>
    </row>
    <row r="21" spans="1:28" ht="37.5">
      <c r="F21" s="11" t="s">
        <v>468</v>
      </c>
      <c r="G21" s="12" t="s">
        <v>469</v>
      </c>
      <c r="H21" s="12" t="s">
        <v>470</v>
      </c>
      <c r="I21" s="12" t="s">
        <v>471</v>
      </c>
      <c r="K21" s="306" t="s">
        <v>472</v>
      </c>
      <c r="L21" s="306" t="s">
        <v>473</v>
      </c>
      <c r="Q21" s="247" t="s">
        <v>474</v>
      </c>
      <c r="R21" s="242"/>
      <c r="S21" s="242"/>
      <c r="T21" s="242"/>
      <c r="U21" s="303"/>
      <c r="V21" s="303"/>
      <c r="W21" s="303"/>
      <c r="X21" s="303"/>
      <c r="Y21" s="303"/>
      <c r="Z21" s="303"/>
      <c r="AA21" s="303"/>
      <c r="AB21" s="303"/>
    </row>
    <row r="22" spans="1:28" ht="24">
      <c r="A22" s="345" t="s">
        <v>475</v>
      </c>
      <c r="B22" s="346"/>
      <c r="F22" s="11" t="s">
        <v>476</v>
      </c>
      <c r="G22" s="12" t="s">
        <v>477</v>
      </c>
      <c r="H22" s="12" t="s">
        <v>301</v>
      </c>
      <c r="I22" s="12" t="s">
        <v>478</v>
      </c>
      <c r="K22" s="306" t="s">
        <v>470</v>
      </c>
      <c r="L22" s="306" t="s">
        <v>479</v>
      </c>
      <c r="Q22" s="248"/>
      <c r="R22" s="242"/>
      <c r="S22" s="242"/>
      <c r="T22" s="242"/>
      <c r="U22" s="303"/>
      <c r="V22" s="303"/>
      <c r="W22" s="303"/>
      <c r="X22" s="303"/>
      <c r="Y22" s="303"/>
      <c r="Z22" s="303"/>
      <c r="AA22" s="303"/>
      <c r="AB22" s="303"/>
    </row>
    <row r="23" spans="1:28" ht="24">
      <c r="A23" s="9" t="s">
        <v>480</v>
      </c>
      <c r="B23" s="10" t="s">
        <v>481</v>
      </c>
      <c r="F23" s="11" t="s">
        <v>482</v>
      </c>
      <c r="G23" s="12" t="s">
        <v>483</v>
      </c>
      <c r="H23" s="12" t="s">
        <v>484</v>
      </c>
      <c r="I23" s="12" t="s">
        <v>485</v>
      </c>
      <c r="K23" s="306" t="s">
        <v>486</v>
      </c>
      <c r="L23" s="306" t="s">
        <v>487</v>
      </c>
      <c r="Q23" s="241" t="s">
        <v>488</v>
      </c>
      <c r="R23" s="242"/>
      <c r="S23" s="242"/>
      <c r="T23" s="242"/>
      <c r="U23" s="303"/>
      <c r="V23" s="303"/>
      <c r="W23" s="303"/>
      <c r="X23" s="303"/>
      <c r="Y23" s="303"/>
      <c r="Z23" s="303"/>
      <c r="AA23" s="303"/>
      <c r="AB23" s="303"/>
    </row>
    <row r="24" spans="1:28" ht="24">
      <c r="A24" s="11" t="s">
        <v>489</v>
      </c>
      <c r="B24" s="12" t="s">
        <v>490</v>
      </c>
      <c r="F24" s="11" t="s">
        <v>491</v>
      </c>
      <c r="G24" s="12" t="s">
        <v>452</v>
      </c>
      <c r="H24" s="12" t="s">
        <v>492</v>
      </c>
      <c r="I24" s="12" t="s">
        <v>493</v>
      </c>
      <c r="K24" s="306" t="s">
        <v>494</v>
      </c>
      <c r="L24" s="306" t="s">
        <v>495</v>
      </c>
      <c r="Q24" s="244" t="s">
        <v>496</v>
      </c>
      <c r="R24" s="242"/>
      <c r="S24" s="242"/>
      <c r="T24" s="242"/>
      <c r="U24" s="303"/>
      <c r="V24" s="303"/>
      <c r="W24" s="303"/>
      <c r="X24" s="303"/>
      <c r="Y24" s="303"/>
      <c r="Z24" s="303"/>
      <c r="AA24" s="303"/>
      <c r="AB24" s="303"/>
    </row>
    <row r="25" spans="1:28" ht="24">
      <c r="A25" s="11" t="s">
        <v>497</v>
      </c>
      <c r="B25" s="12" t="s">
        <v>498</v>
      </c>
      <c r="K25" s="306" t="s">
        <v>499</v>
      </c>
      <c r="L25" s="306" t="s">
        <v>500</v>
      </c>
      <c r="Q25" s="244" t="s">
        <v>501</v>
      </c>
      <c r="R25" s="242"/>
      <c r="S25" s="242"/>
      <c r="T25" s="242"/>
      <c r="U25" s="303"/>
      <c r="V25" s="303"/>
      <c r="W25" s="303"/>
      <c r="X25" s="303"/>
      <c r="Y25" s="303"/>
      <c r="Z25" s="303"/>
      <c r="AA25" s="303"/>
      <c r="AB25" s="303"/>
    </row>
    <row r="26" spans="1:28" ht="24">
      <c r="A26" s="11" t="s">
        <v>502</v>
      </c>
      <c r="B26" s="12" t="s">
        <v>503</v>
      </c>
      <c r="K26" s="306" t="s">
        <v>504</v>
      </c>
      <c r="L26" s="306" t="s">
        <v>505</v>
      </c>
      <c r="Q26" s="244" t="s">
        <v>506</v>
      </c>
      <c r="R26" s="242"/>
      <c r="S26" s="242"/>
      <c r="T26" s="242"/>
      <c r="U26" s="303"/>
      <c r="V26" s="303"/>
      <c r="W26" s="303"/>
      <c r="X26" s="303"/>
      <c r="Y26" s="303"/>
      <c r="Z26" s="303"/>
      <c r="AA26" s="303"/>
      <c r="AB26" s="303"/>
    </row>
    <row r="27" spans="1:28" ht="24">
      <c r="A27" s="11" t="s">
        <v>507</v>
      </c>
      <c r="B27" s="12" t="s">
        <v>508</v>
      </c>
      <c r="I27" s="303"/>
      <c r="K27" s="306" t="s">
        <v>484</v>
      </c>
      <c r="L27" s="306" t="s">
        <v>509</v>
      </c>
      <c r="Q27" s="244" t="s">
        <v>510</v>
      </c>
      <c r="R27" s="242"/>
      <c r="S27" s="242"/>
      <c r="T27" s="242"/>
      <c r="U27" s="303"/>
      <c r="V27" s="303"/>
      <c r="W27" s="303"/>
      <c r="X27" s="303"/>
      <c r="Y27" s="303"/>
      <c r="Z27" s="303"/>
      <c r="AA27" s="303"/>
      <c r="AB27" s="303"/>
    </row>
    <row r="28" spans="1:28" ht="24">
      <c r="K28" s="306" t="s">
        <v>511</v>
      </c>
      <c r="L28" s="306" t="s">
        <v>512</v>
      </c>
      <c r="Q28" s="249" t="s">
        <v>513</v>
      </c>
      <c r="R28" s="242"/>
      <c r="S28" s="242"/>
      <c r="T28" s="242"/>
      <c r="U28" s="303"/>
      <c r="V28" s="303"/>
      <c r="W28" s="303"/>
      <c r="X28" s="303"/>
      <c r="Y28" s="303"/>
      <c r="Z28" s="303"/>
      <c r="AA28" s="303"/>
      <c r="AB28" s="303"/>
    </row>
    <row r="29" spans="1:28" ht="24">
      <c r="K29" s="306"/>
      <c r="L29" s="306"/>
      <c r="Q29" s="248"/>
      <c r="R29" s="242"/>
      <c r="S29" s="242"/>
      <c r="T29" s="242"/>
      <c r="U29" s="303"/>
      <c r="V29" s="303"/>
      <c r="W29" s="303"/>
      <c r="X29" s="303"/>
      <c r="Y29" s="303"/>
      <c r="Z29" s="303"/>
      <c r="AA29" s="303"/>
      <c r="AB29" s="303"/>
    </row>
    <row r="30" spans="1:28" ht="24">
      <c r="Q30" s="241" t="s">
        <v>514</v>
      </c>
      <c r="R30" s="242"/>
      <c r="S30" s="242"/>
      <c r="T30" s="242"/>
      <c r="U30" s="303"/>
      <c r="V30" s="303"/>
      <c r="W30" s="303"/>
      <c r="X30" s="303"/>
      <c r="Y30" s="303"/>
      <c r="Z30" s="303"/>
      <c r="AA30" s="303"/>
      <c r="AB30" s="303"/>
    </row>
    <row r="31" spans="1:28" ht="24">
      <c r="Q31" s="244" t="s">
        <v>515</v>
      </c>
      <c r="R31" s="242"/>
      <c r="S31" s="242"/>
      <c r="T31" s="242"/>
      <c r="U31" s="303"/>
      <c r="V31" s="303"/>
      <c r="W31" s="303"/>
      <c r="X31" s="303"/>
      <c r="Y31" s="303"/>
      <c r="Z31" s="303"/>
      <c r="AA31" s="303"/>
      <c r="AB31" s="303"/>
    </row>
    <row r="32" spans="1:28" ht="24">
      <c r="Q32" s="244" t="s">
        <v>516</v>
      </c>
      <c r="R32" s="242"/>
      <c r="S32" s="242"/>
      <c r="T32" s="242"/>
      <c r="U32" s="303"/>
      <c r="V32" s="303"/>
      <c r="W32" s="303"/>
      <c r="X32" s="303"/>
      <c r="Y32" s="303"/>
      <c r="Z32" s="303"/>
      <c r="AA32" s="303"/>
      <c r="AB32" s="303"/>
    </row>
    <row r="33" spans="17:28" ht="24">
      <c r="Q33" s="241" t="s">
        <v>517</v>
      </c>
      <c r="R33" s="242"/>
      <c r="S33" s="242"/>
      <c r="T33" s="242"/>
      <c r="U33" s="303"/>
      <c r="V33" s="303"/>
      <c r="W33" s="303"/>
      <c r="X33" s="303"/>
      <c r="Y33" s="303"/>
      <c r="Z33" s="303"/>
      <c r="AA33" s="303"/>
      <c r="AB33" s="303"/>
    </row>
    <row r="34" spans="17:28" ht="24">
      <c r="Q34" s="244" t="s">
        <v>518</v>
      </c>
      <c r="R34" s="242"/>
      <c r="S34" s="242"/>
      <c r="T34" s="242"/>
      <c r="U34" s="303"/>
      <c r="V34" s="303"/>
      <c r="W34" s="303"/>
      <c r="X34" s="303"/>
      <c r="Y34" s="303"/>
      <c r="Z34" s="303"/>
      <c r="AA34" s="303"/>
      <c r="AB34" s="303"/>
    </row>
    <row r="35" spans="17:28" ht="24">
      <c r="Q35" s="244" t="s">
        <v>519</v>
      </c>
      <c r="R35" s="242"/>
      <c r="S35" s="242"/>
      <c r="T35" s="242"/>
      <c r="U35" s="303"/>
      <c r="V35" s="303"/>
      <c r="W35" s="303"/>
      <c r="X35" s="303"/>
      <c r="Y35" s="303"/>
      <c r="Z35" s="303"/>
      <c r="AA35" s="303"/>
      <c r="AB35" s="303"/>
    </row>
    <row r="36" spans="17:28" ht="24">
      <c r="Q36" s="244" t="s">
        <v>520</v>
      </c>
      <c r="R36" s="242"/>
      <c r="S36" s="242"/>
      <c r="T36" s="242"/>
      <c r="U36" s="303"/>
      <c r="V36" s="303"/>
      <c r="W36" s="303"/>
      <c r="X36" s="303"/>
      <c r="Y36" s="303"/>
      <c r="Z36" s="303"/>
      <c r="AA36" s="303"/>
      <c r="AB36" s="303"/>
    </row>
    <row r="37" spans="17:28" ht="24">
      <c r="Q37" s="250" t="s">
        <v>521</v>
      </c>
      <c r="R37" s="242"/>
      <c r="S37" s="242"/>
      <c r="T37" s="242"/>
      <c r="U37" s="303"/>
      <c r="V37" s="303"/>
      <c r="W37" s="303"/>
      <c r="X37" s="303"/>
      <c r="Y37" s="303"/>
      <c r="Z37" s="303"/>
      <c r="AA37" s="303"/>
      <c r="AB37" s="303"/>
    </row>
    <row r="38" spans="17:28" ht="24">
      <c r="Q38" s="251"/>
      <c r="R38" s="242"/>
      <c r="S38" s="242"/>
      <c r="T38" s="242"/>
      <c r="U38" s="303"/>
      <c r="V38" s="303"/>
      <c r="W38" s="303"/>
      <c r="X38" s="303"/>
      <c r="Y38" s="303"/>
      <c r="Z38" s="303"/>
      <c r="AA38" s="303"/>
      <c r="AB38" s="303"/>
    </row>
    <row r="39" spans="17:28" ht="24">
      <c r="Q39" s="241" t="s">
        <v>522</v>
      </c>
      <c r="R39" s="242"/>
      <c r="S39" s="242"/>
      <c r="T39" s="242"/>
      <c r="U39" s="303"/>
      <c r="V39" s="303"/>
      <c r="W39" s="303"/>
      <c r="X39" s="303"/>
      <c r="Y39" s="303"/>
      <c r="Z39" s="303"/>
      <c r="AA39" s="303"/>
      <c r="AB39" s="303"/>
    </row>
    <row r="40" spans="17:28" ht="24">
      <c r="Q40" s="245" t="s">
        <v>237</v>
      </c>
      <c r="R40" s="245" t="s">
        <v>170</v>
      </c>
      <c r="S40" s="242"/>
      <c r="T40" s="242"/>
      <c r="U40" s="303"/>
      <c r="V40" s="303"/>
      <c r="W40" s="303"/>
      <c r="X40" s="303"/>
      <c r="Y40" s="303"/>
      <c r="Z40" s="303"/>
      <c r="AA40" s="303"/>
      <c r="AB40" s="303"/>
    </row>
    <row r="41" spans="17:28" ht="24">
      <c r="Q41" s="246" t="s">
        <v>523</v>
      </c>
      <c r="R41" s="246" t="s">
        <v>524</v>
      </c>
      <c r="S41" s="242"/>
      <c r="T41" s="242"/>
      <c r="U41" s="303"/>
      <c r="V41" s="303"/>
      <c r="W41" s="303"/>
      <c r="X41" s="303"/>
      <c r="Y41" s="303"/>
      <c r="Z41" s="303"/>
      <c r="AA41" s="303"/>
      <c r="AB41" s="303"/>
    </row>
    <row r="42" spans="17:28" ht="24">
      <c r="Q42" s="246" t="s">
        <v>525</v>
      </c>
      <c r="R42" s="246" t="s">
        <v>526</v>
      </c>
      <c r="S42" s="242"/>
      <c r="T42" s="242"/>
    </row>
    <row r="43" spans="17:28" ht="24">
      <c r="Q43" s="246" t="s">
        <v>527</v>
      </c>
      <c r="R43" s="246" t="s">
        <v>528</v>
      </c>
      <c r="S43" s="242"/>
      <c r="T43" s="242"/>
    </row>
    <row r="44" spans="17:28" ht="24">
      <c r="Q44" s="246" t="s">
        <v>529</v>
      </c>
      <c r="R44" s="246" t="s">
        <v>530</v>
      </c>
      <c r="S44" s="242"/>
      <c r="T44" s="242"/>
    </row>
    <row r="45" spans="17:28" ht="24">
      <c r="Q45" s="246" t="s">
        <v>531</v>
      </c>
      <c r="R45" s="246">
        <v>3.81</v>
      </c>
      <c r="S45" s="242"/>
      <c r="T45" s="242"/>
    </row>
    <row r="46" spans="17:28" ht="24">
      <c r="Q46" s="246" t="s">
        <v>532</v>
      </c>
      <c r="R46" s="246">
        <v>1.9570000000000001</v>
      </c>
      <c r="S46" s="242"/>
      <c r="T46" s="242"/>
    </row>
    <row r="47" spans="17:28" ht="24">
      <c r="Q47" s="246" t="s">
        <v>533</v>
      </c>
      <c r="R47" s="246">
        <v>1.853</v>
      </c>
      <c r="S47" s="242"/>
      <c r="T47" s="242"/>
    </row>
    <row r="48" spans="17:28" ht="24">
      <c r="Q48" s="246" t="s">
        <v>534</v>
      </c>
      <c r="R48" s="246">
        <v>9.3000000000000007</v>
      </c>
      <c r="S48" s="242"/>
      <c r="T48" s="242"/>
    </row>
    <row r="49" spans="17:20" ht="24">
      <c r="Q49" s="246" t="s">
        <v>535</v>
      </c>
      <c r="R49" s="246" t="s">
        <v>536</v>
      </c>
      <c r="S49" s="242"/>
      <c r="T49" s="242"/>
    </row>
    <row r="50" spans="17:20" ht="24">
      <c r="Q50" s="252" t="s">
        <v>537</v>
      </c>
      <c r="R50" s="242"/>
      <c r="S50" s="242"/>
      <c r="T50" s="242"/>
    </row>
    <row r="51" spans="17:20" ht="24">
      <c r="Q51" s="251" t="s">
        <v>538</v>
      </c>
      <c r="R51" s="242"/>
      <c r="S51" s="242"/>
      <c r="T51" s="242"/>
    </row>
    <row r="52" spans="17:20" ht="24">
      <c r="Q52" s="252" t="s">
        <v>539</v>
      </c>
      <c r="R52" s="242"/>
      <c r="S52" s="242"/>
      <c r="T52" s="242"/>
    </row>
    <row r="53" spans="17:20" ht="24">
      <c r="Q53" s="252" t="s">
        <v>540</v>
      </c>
      <c r="R53" s="242"/>
      <c r="S53" s="242"/>
      <c r="T53" s="242"/>
    </row>
    <row r="54" spans="17:20" ht="24">
      <c r="Q54" s="252" t="s">
        <v>541</v>
      </c>
      <c r="R54" s="242"/>
      <c r="S54" s="242"/>
      <c r="T54" s="242"/>
    </row>
    <row r="55" spans="17:20" ht="24">
      <c r="Q55" s="252" t="s">
        <v>542</v>
      </c>
      <c r="R55" s="242"/>
      <c r="S55" s="242"/>
      <c r="T55" s="242"/>
    </row>
    <row r="56" spans="17:20">
      <c r="Q56" s="240"/>
    </row>
  </sheetData>
  <mergeCells count="9">
    <mergeCell ref="A22:B22"/>
    <mergeCell ref="A17:D17"/>
    <mergeCell ref="F17:I17"/>
    <mergeCell ref="K18:L18"/>
    <mergeCell ref="P1:AD1"/>
    <mergeCell ref="A2:I2"/>
    <mergeCell ref="K3:L3"/>
    <mergeCell ref="K9:L9"/>
    <mergeCell ref="K11:N11"/>
  </mergeCells>
  <hyperlinks>
    <hyperlink ref="Q5" location="_msocom_1" display="- Annual output: 44,000 kg [AN1] → 44,000 ÷ 12 ≈ 3,667 kg/month" xr:uid="{EF71E718-2295-431F-82C5-68AC9E7371B9}"/>
  </hyperlink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17224-E992-4BED-BF7F-FC1356C7BEDB}">
  <dimension ref="A1:AD232"/>
  <sheetViews>
    <sheetView workbookViewId="0">
      <selection activeCell="Q48" sqref="Q48:X48"/>
    </sheetView>
  </sheetViews>
  <sheetFormatPr defaultRowHeight="15"/>
  <cols>
    <col min="1" max="1" width="30.85546875" bestFit="1" customWidth="1"/>
    <col min="2" max="2" width="38" bestFit="1" customWidth="1"/>
    <col min="3" max="3" width="41.7109375" customWidth="1"/>
    <col min="4" max="4" width="22.28515625" customWidth="1"/>
    <col min="5" max="5" width="18.140625" bestFit="1" customWidth="1"/>
    <col min="6" max="6" width="23.28515625" bestFit="1" customWidth="1"/>
    <col min="7" max="7" width="27.42578125" bestFit="1" customWidth="1"/>
    <col min="8" max="8" width="36.5703125" bestFit="1" customWidth="1"/>
    <col min="9" max="9" width="25.85546875" customWidth="1"/>
    <col min="10" max="10" width="25.85546875" bestFit="1" customWidth="1"/>
    <col min="11" max="11" width="20.7109375" bestFit="1" customWidth="1"/>
    <col min="12" max="12" width="25.140625" bestFit="1" customWidth="1"/>
    <col min="13" max="13" width="20.7109375" bestFit="1" customWidth="1"/>
    <col min="14" max="14" width="30" bestFit="1" customWidth="1"/>
    <col min="15" max="15" width="25.140625" bestFit="1" customWidth="1"/>
    <col min="16" max="16" width="29.28515625" bestFit="1" customWidth="1"/>
    <col min="17" max="17" width="29.5703125" bestFit="1" customWidth="1"/>
    <col min="18" max="18" width="38.28515625" bestFit="1" customWidth="1"/>
    <col min="19" max="19" width="33.42578125" bestFit="1" customWidth="1"/>
    <col min="20" max="20" width="33.5703125" bestFit="1" customWidth="1"/>
    <col min="21" max="21" width="35.5703125" bestFit="1" customWidth="1"/>
    <col min="22" max="22" width="33" bestFit="1" customWidth="1"/>
    <col min="23" max="23" width="30" bestFit="1" customWidth="1"/>
    <col min="24" max="24" width="23.7109375" bestFit="1" customWidth="1"/>
    <col min="25" max="25" width="23.42578125" bestFit="1" customWidth="1"/>
    <col min="26" max="26" width="27.5703125" bestFit="1" customWidth="1"/>
    <col min="27" max="27" width="30.7109375" bestFit="1" customWidth="1"/>
    <col min="28" max="28" width="31.28515625" bestFit="1" customWidth="1"/>
    <col min="29" max="29" width="30.7109375" bestFit="1" customWidth="1"/>
    <col min="30" max="30" width="34" bestFit="1" customWidth="1"/>
    <col min="31" max="31" width="30.42578125" bestFit="1" customWidth="1"/>
    <col min="32" max="32" width="29.42578125" bestFit="1" customWidth="1"/>
    <col min="33" max="33" width="30.7109375" bestFit="1" customWidth="1"/>
    <col min="34" max="34" width="38.140625" bestFit="1" customWidth="1"/>
  </cols>
  <sheetData>
    <row r="1" spans="1:26" ht="59.25">
      <c r="A1" s="366" t="s">
        <v>543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66"/>
      <c r="Q1" s="366"/>
      <c r="R1" s="366"/>
      <c r="S1" s="366"/>
      <c r="T1" s="366"/>
      <c r="U1" s="366"/>
      <c r="V1" s="366"/>
      <c r="W1" s="366"/>
      <c r="X1" s="366"/>
      <c r="Y1" s="366"/>
      <c r="Z1" s="366"/>
    </row>
    <row r="2" spans="1:26">
      <c r="A2" s="20"/>
      <c r="D2" s="21"/>
    </row>
    <row r="3" spans="1:26" ht="18.75">
      <c r="D3" s="22"/>
    </row>
    <row r="4" spans="1:26">
      <c r="D4" s="21"/>
    </row>
    <row r="6" spans="1:26">
      <c r="D6" s="303"/>
    </row>
    <row r="8" spans="1:26" ht="18">
      <c r="B8" s="367" t="s">
        <v>544</v>
      </c>
      <c r="C8" s="367"/>
      <c r="D8" s="368">
        <v>655</v>
      </c>
      <c r="F8" s="281" t="s">
        <v>545</v>
      </c>
      <c r="K8" s="282"/>
    </row>
    <row r="9" spans="1:26">
      <c r="B9" s="367"/>
      <c r="C9" s="367"/>
      <c r="D9" s="369"/>
      <c r="K9" s="283"/>
    </row>
    <row r="10" spans="1:26" ht="19.5">
      <c r="B10" s="370" t="s">
        <v>546</v>
      </c>
      <c r="C10" s="371"/>
      <c r="D10" s="24">
        <v>1525</v>
      </c>
    </row>
    <row r="11" spans="1:26">
      <c r="I11" s="122"/>
      <c r="J11" s="23"/>
      <c r="K11" s="23"/>
    </row>
    <row r="12" spans="1:26" ht="15" customHeight="1">
      <c r="I12" s="122"/>
      <c r="J12" s="23"/>
      <c r="K12" s="23"/>
      <c r="L12" s="382" t="s">
        <v>547</v>
      </c>
      <c r="M12" s="382"/>
      <c r="N12" s="382"/>
      <c r="O12" s="382"/>
      <c r="P12" s="382"/>
    </row>
    <row r="13" spans="1:26" ht="15" customHeight="1">
      <c r="I13" s="122"/>
      <c r="J13" s="23"/>
      <c r="K13" s="23"/>
      <c r="L13" s="383"/>
      <c r="M13" s="383"/>
      <c r="N13" s="383"/>
      <c r="O13" s="383"/>
      <c r="P13" s="383"/>
    </row>
    <row r="14" spans="1:26" ht="18.75">
      <c r="B14" s="373" t="s">
        <v>548</v>
      </c>
      <c r="C14" s="374"/>
      <c r="D14" s="374"/>
      <c r="E14" s="374"/>
      <c r="F14" s="375"/>
      <c r="H14" s="122"/>
      <c r="I14" s="122"/>
      <c r="J14" s="23"/>
      <c r="L14" s="376" t="s">
        <v>549</v>
      </c>
      <c r="M14" s="376" t="s">
        <v>550</v>
      </c>
      <c r="N14" s="378" t="s">
        <v>551</v>
      </c>
      <c r="O14" s="379"/>
      <c r="P14" s="380" t="s">
        <v>552</v>
      </c>
    </row>
    <row r="15" spans="1:26" ht="16.5" customHeight="1">
      <c r="B15" s="91" t="s">
        <v>237</v>
      </c>
      <c r="C15" s="92" t="s">
        <v>170</v>
      </c>
      <c r="D15" s="93" t="s">
        <v>553</v>
      </c>
      <c r="E15" s="97" t="s">
        <v>554</v>
      </c>
      <c r="F15" s="97" t="s">
        <v>552</v>
      </c>
      <c r="I15" s="122"/>
      <c r="J15" s="23"/>
      <c r="L15" s="377"/>
      <c r="M15" s="377"/>
      <c r="N15" s="129" t="s">
        <v>555</v>
      </c>
      <c r="O15" s="64" t="s">
        <v>556</v>
      </c>
      <c r="P15" s="381"/>
      <c r="X15" s="23"/>
    </row>
    <row r="16" spans="1:26" ht="24" customHeight="1">
      <c r="B16" s="85" t="s">
        <v>557</v>
      </c>
      <c r="C16" s="86">
        <v>10000</v>
      </c>
      <c r="D16" s="87" t="s">
        <v>558</v>
      </c>
      <c r="E16" s="141" t="s">
        <v>293</v>
      </c>
      <c r="F16" s="137" t="s">
        <v>559</v>
      </c>
      <c r="I16" s="122"/>
      <c r="J16" s="23"/>
      <c r="L16" s="361" t="s">
        <v>560</v>
      </c>
      <c r="M16" s="130" t="s">
        <v>561</v>
      </c>
      <c r="N16" s="123">
        <v>91.67</v>
      </c>
      <c r="O16" s="123">
        <v>100</v>
      </c>
      <c r="P16" s="358" t="s">
        <v>562</v>
      </c>
      <c r="X16" s="23"/>
    </row>
    <row r="17" spans="2:16">
      <c r="B17" s="85" t="s">
        <v>563</v>
      </c>
      <c r="C17" s="86">
        <v>0.8</v>
      </c>
      <c r="D17" s="87" t="s">
        <v>564</v>
      </c>
      <c r="E17" s="141" t="s">
        <v>293</v>
      </c>
      <c r="F17" s="137" t="s">
        <v>559</v>
      </c>
      <c r="I17" s="122"/>
      <c r="J17" s="23"/>
      <c r="L17" s="363"/>
      <c r="M17" s="131" t="s">
        <v>565</v>
      </c>
      <c r="N17" s="131">
        <v>8.33</v>
      </c>
      <c r="O17" s="123">
        <v>0</v>
      </c>
      <c r="P17" s="359"/>
    </row>
    <row r="18" spans="2:16">
      <c r="B18" s="85" t="s">
        <v>566</v>
      </c>
      <c r="C18" s="86">
        <v>4</v>
      </c>
      <c r="D18" s="87" t="s">
        <v>567</v>
      </c>
      <c r="E18" s="144" t="s">
        <v>293</v>
      </c>
      <c r="F18" s="137" t="s">
        <v>568</v>
      </c>
      <c r="I18" s="122"/>
      <c r="J18" s="23"/>
      <c r="L18" s="361" t="s">
        <v>569</v>
      </c>
      <c r="M18" s="132" t="s">
        <v>570</v>
      </c>
      <c r="N18" s="123">
        <v>10.83</v>
      </c>
      <c r="O18" s="123" t="s">
        <v>293</v>
      </c>
      <c r="P18" s="359"/>
    </row>
    <row r="19" spans="2:16">
      <c r="B19" s="85" t="s">
        <v>571</v>
      </c>
      <c r="C19" s="86">
        <v>150</v>
      </c>
      <c r="D19" s="87" t="s">
        <v>572</v>
      </c>
      <c r="E19" s="145" t="s">
        <v>573</v>
      </c>
      <c r="F19" s="142" t="s">
        <v>293</v>
      </c>
      <c r="I19" s="122"/>
      <c r="J19" s="23"/>
      <c r="L19" s="362"/>
      <c r="M19" s="132" t="s">
        <v>574</v>
      </c>
      <c r="N19" s="123" t="s">
        <v>575</v>
      </c>
      <c r="O19" s="123" t="s">
        <v>293</v>
      </c>
      <c r="P19" s="359"/>
    </row>
    <row r="20" spans="2:16">
      <c r="B20" s="85" t="s">
        <v>576</v>
      </c>
      <c r="C20" s="86">
        <v>20000</v>
      </c>
      <c r="D20" s="87" t="s">
        <v>577</v>
      </c>
      <c r="E20" s="100">
        <v>31</v>
      </c>
      <c r="F20" s="138" t="s">
        <v>578</v>
      </c>
      <c r="I20" s="122"/>
      <c r="J20" s="23"/>
      <c r="L20" s="362"/>
      <c r="M20" s="132" t="s">
        <v>579</v>
      </c>
      <c r="N20" s="123">
        <v>53.61</v>
      </c>
      <c r="O20" s="123" t="s">
        <v>293</v>
      </c>
      <c r="P20" s="359"/>
    </row>
    <row r="21" spans="2:16">
      <c r="B21" s="85" t="s">
        <v>580</v>
      </c>
      <c r="C21" s="86">
        <v>500</v>
      </c>
      <c r="D21" s="87" t="s">
        <v>581</v>
      </c>
      <c r="E21" s="143" t="s">
        <v>293</v>
      </c>
      <c r="F21" s="137" t="s">
        <v>582</v>
      </c>
      <c r="I21" s="122"/>
      <c r="J21" s="23"/>
      <c r="L21" s="362"/>
      <c r="M21" s="132" t="s">
        <v>583</v>
      </c>
      <c r="N21" s="123">
        <v>18.329999999999998</v>
      </c>
      <c r="O21" s="123" t="s">
        <v>293</v>
      </c>
      <c r="P21" s="359"/>
    </row>
    <row r="22" spans="2:16">
      <c r="B22" s="85" t="s">
        <v>584</v>
      </c>
      <c r="C22" s="86">
        <v>120</v>
      </c>
      <c r="D22" s="87" t="s">
        <v>585</v>
      </c>
      <c r="E22" s="141" t="s">
        <v>293</v>
      </c>
      <c r="F22" s="137" t="s">
        <v>586</v>
      </c>
      <c r="I22" s="122"/>
      <c r="J22" s="23"/>
      <c r="L22" s="363"/>
      <c r="M22" s="123" t="s">
        <v>587</v>
      </c>
      <c r="N22" s="123">
        <v>8.89</v>
      </c>
      <c r="O22" s="123" t="s">
        <v>293</v>
      </c>
      <c r="P22" s="359"/>
    </row>
    <row r="23" spans="2:16">
      <c r="B23" s="85" t="s">
        <v>588</v>
      </c>
      <c r="C23" s="86">
        <v>32</v>
      </c>
      <c r="D23" s="87" t="s">
        <v>589</v>
      </c>
      <c r="E23" s="144" t="s">
        <v>293</v>
      </c>
      <c r="F23" s="141" t="s">
        <v>293</v>
      </c>
      <c r="I23" s="122"/>
      <c r="J23" s="23"/>
      <c r="L23" s="361" t="s">
        <v>590</v>
      </c>
      <c r="M23" s="123" t="s">
        <v>591</v>
      </c>
      <c r="N23" s="123" t="s">
        <v>293</v>
      </c>
      <c r="O23" s="132" t="s">
        <v>592</v>
      </c>
      <c r="P23" s="359"/>
    </row>
    <row r="24" spans="2:16">
      <c r="B24" s="85" t="s">
        <v>593</v>
      </c>
      <c r="C24" s="86">
        <v>750000</v>
      </c>
      <c r="D24" s="87" t="s">
        <v>594</v>
      </c>
      <c r="E24" s="140">
        <v>1144</v>
      </c>
      <c r="F24" s="142" t="s">
        <v>293</v>
      </c>
      <c r="I24" s="122"/>
      <c r="J24" s="23"/>
      <c r="L24" s="362"/>
      <c r="M24" s="123" t="s">
        <v>595</v>
      </c>
      <c r="N24" s="123">
        <v>4.17</v>
      </c>
      <c r="O24" s="132" t="s">
        <v>596</v>
      </c>
      <c r="P24" s="359"/>
    </row>
    <row r="25" spans="2:16" ht="18.75">
      <c r="B25" s="85" t="s">
        <v>597</v>
      </c>
      <c r="C25" s="86">
        <v>1820</v>
      </c>
      <c r="D25" s="87" t="s">
        <v>577</v>
      </c>
      <c r="E25" s="146">
        <v>2.77</v>
      </c>
      <c r="F25" s="139" t="s">
        <v>598</v>
      </c>
      <c r="G25" s="22"/>
      <c r="H25" s="22"/>
      <c r="I25" s="122"/>
      <c r="J25" s="23"/>
      <c r="L25" s="362"/>
      <c r="M25" s="123" t="s">
        <v>599</v>
      </c>
      <c r="N25" s="123" t="s">
        <v>293</v>
      </c>
      <c r="O25" s="132" t="s">
        <v>600</v>
      </c>
      <c r="P25" s="359"/>
    </row>
    <row r="26" spans="2:16" ht="18.75">
      <c r="B26" s="85" t="s">
        <v>601</v>
      </c>
      <c r="C26" s="86">
        <v>1695</v>
      </c>
      <c r="D26" s="87" t="s">
        <v>577</v>
      </c>
      <c r="E26" s="146">
        <v>2.58</v>
      </c>
      <c r="F26" s="139" t="s">
        <v>598</v>
      </c>
      <c r="G26" s="22"/>
      <c r="H26" s="22"/>
      <c r="I26" s="122"/>
      <c r="J26" s="23"/>
      <c r="L26" s="362"/>
      <c r="M26" s="133" t="s">
        <v>602</v>
      </c>
      <c r="N26" s="133" t="s">
        <v>603</v>
      </c>
      <c r="O26" s="132" t="s">
        <v>596</v>
      </c>
      <c r="P26" s="359"/>
    </row>
    <row r="27" spans="2:16" ht="18.75">
      <c r="B27" s="85" t="s">
        <v>604</v>
      </c>
      <c r="C27" s="86">
        <v>1350</v>
      </c>
      <c r="D27" s="87" t="s">
        <v>577</v>
      </c>
      <c r="E27" s="146">
        <v>2.0499999999999998</v>
      </c>
      <c r="F27" s="139" t="s">
        <v>598</v>
      </c>
      <c r="G27" s="22"/>
      <c r="H27" s="22"/>
      <c r="I27" s="122"/>
      <c r="J27" s="23"/>
      <c r="L27" s="363"/>
      <c r="M27" s="133" t="s">
        <v>605</v>
      </c>
      <c r="N27" s="125" t="s">
        <v>606</v>
      </c>
      <c r="O27" s="135" t="s">
        <v>293</v>
      </c>
      <c r="P27" s="359"/>
    </row>
    <row r="28" spans="2:16" ht="18.75">
      <c r="B28" s="88" t="s">
        <v>607</v>
      </c>
      <c r="C28" s="89">
        <v>1198</v>
      </c>
      <c r="D28" s="90" t="s">
        <v>577</v>
      </c>
      <c r="E28" s="146">
        <v>1.82</v>
      </c>
      <c r="F28" s="139" t="s">
        <v>598</v>
      </c>
      <c r="G28" s="22"/>
      <c r="H28" s="22"/>
      <c r="I28" s="122"/>
      <c r="J28" s="23"/>
      <c r="L28" s="361" t="s">
        <v>608</v>
      </c>
      <c r="M28" s="134" t="s">
        <v>609</v>
      </c>
      <c r="N28" s="132" t="s">
        <v>610</v>
      </c>
      <c r="O28" s="132" t="s">
        <v>611</v>
      </c>
      <c r="P28" s="359"/>
    </row>
    <row r="29" spans="2:16" ht="18.75">
      <c r="B29" s="22"/>
      <c r="C29" s="22"/>
      <c r="D29" s="22"/>
      <c r="E29" s="22"/>
      <c r="F29" s="22"/>
      <c r="G29" s="22"/>
      <c r="H29" s="22"/>
      <c r="I29" s="22"/>
      <c r="J29" s="22"/>
      <c r="L29" s="362"/>
      <c r="M29" s="134" t="s">
        <v>612</v>
      </c>
      <c r="N29" s="132" t="s">
        <v>613</v>
      </c>
      <c r="O29" s="132" t="s">
        <v>614</v>
      </c>
      <c r="P29" s="359"/>
    </row>
    <row r="30" spans="2:16" ht="18.75">
      <c r="B30" s="22"/>
      <c r="C30" s="22"/>
      <c r="D30" s="22"/>
      <c r="E30" s="22"/>
      <c r="F30" s="22"/>
      <c r="G30" s="22"/>
      <c r="H30" s="22"/>
      <c r="I30" s="22"/>
      <c r="J30" s="22"/>
      <c r="L30" s="362"/>
      <c r="M30" s="134" t="s">
        <v>615</v>
      </c>
      <c r="N30" s="132" t="s">
        <v>616</v>
      </c>
      <c r="O30" s="132" t="s">
        <v>592</v>
      </c>
      <c r="P30" s="359"/>
    </row>
    <row r="31" spans="2:16" ht="18.75">
      <c r="B31" s="22"/>
      <c r="C31" s="22"/>
      <c r="D31" s="22"/>
      <c r="E31" s="22"/>
      <c r="F31" s="22"/>
      <c r="G31" s="22"/>
      <c r="H31" s="22"/>
      <c r="I31" s="22"/>
      <c r="J31" s="22"/>
      <c r="L31" s="363"/>
      <c r="M31" s="132" t="s">
        <v>617</v>
      </c>
      <c r="N31" s="126" t="s">
        <v>613</v>
      </c>
      <c r="O31" s="126" t="s">
        <v>596</v>
      </c>
      <c r="P31" s="360"/>
    </row>
    <row r="32" spans="2:16">
      <c r="B32" s="372" t="s">
        <v>618</v>
      </c>
      <c r="C32" s="372"/>
      <c r="D32" s="372"/>
      <c r="E32" s="372"/>
      <c r="F32" s="372"/>
      <c r="G32" s="372"/>
      <c r="H32" s="372"/>
      <c r="I32" s="372"/>
      <c r="J32" s="372"/>
      <c r="L32" s="23"/>
      <c r="M32" s="128"/>
      <c r="N32" s="128"/>
      <c r="O32" s="128"/>
      <c r="P32" s="127"/>
    </row>
    <row r="33" spans="1:30">
      <c r="B33" s="94" t="s">
        <v>619</v>
      </c>
      <c r="C33" s="95" t="s">
        <v>620</v>
      </c>
      <c r="D33" s="95" t="s">
        <v>621</v>
      </c>
      <c r="E33" s="95" t="s">
        <v>622</v>
      </c>
      <c r="F33" s="95" t="s">
        <v>623</v>
      </c>
      <c r="G33" s="95" t="s">
        <v>624</v>
      </c>
      <c r="H33" s="95" t="s">
        <v>625</v>
      </c>
    </row>
    <row r="34" spans="1:30">
      <c r="B34" s="102">
        <v>1.5</v>
      </c>
      <c r="C34" s="101">
        <v>50000</v>
      </c>
      <c r="D34" s="101">
        <v>150000</v>
      </c>
      <c r="E34" s="101">
        <v>1000</v>
      </c>
      <c r="F34" s="101">
        <v>120000</v>
      </c>
      <c r="G34" s="101">
        <v>20000</v>
      </c>
      <c r="H34" s="101">
        <v>5</v>
      </c>
    </row>
    <row r="35" spans="1:30">
      <c r="A35" s="147" t="s">
        <v>554</v>
      </c>
      <c r="B35" s="149" t="s">
        <v>293</v>
      </c>
      <c r="C35" s="89">
        <v>76.2</v>
      </c>
      <c r="D35" s="89">
        <v>228.6</v>
      </c>
      <c r="E35" s="89">
        <v>1.5</v>
      </c>
      <c r="F35" s="89">
        <v>182.88</v>
      </c>
      <c r="G35" s="89">
        <v>31</v>
      </c>
      <c r="H35" s="148" t="s">
        <v>293</v>
      </c>
    </row>
    <row r="41" spans="1:30">
      <c r="B41" s="364" t="s">
        <v>626</v>
      </c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  <c r="Q41" s="364" t="s">
        <v>627</v>
      </c>
      <c r="R41" s="365"/>
      <c r="S41" s="365"/>
      <c r="T41" s="365"/>
      <c r="U41" s="365"/>
      <c r="V41" s="365"/>
      <c r="W41" s="365"/>
      <c r="X41" s="365"/>
      <c r="Y41" s="365"/>
      <c r="Z41" s="365"/>
      <c r="AA41" s="365"/>
      <c r="AB41" s="365"/>
      <c r="AC41" s="365"/>
      <c r="AD41" s="365"/>
    </row>
    <row r="42" spans="1:30"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  <c r="Q42" s="365"/>
      <c r="R42" s="365"/>
      <c r="S42" s="365"/>
      <c r="T42" s="365"/>
      <c r="U42" s="365"/>
      <c r="V42" s="365"/>
      <c r="W42" s="365"/>
      <c r="X42" s="365"/>
      <c r="Y42" s="365"/>
      <c r="Z42" s="365"/>
      <c r="AA42" s="365"/>
      <c r="AB42" s="365"/>
      <c r="AC42" s="365"/>
      <c r="AD42" s="365"/>
    </row>
    <row r="43" spans="1:30"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  <c r="Q43" s="365"/>
      <c r="R43" s="365"/>
      <c r="S43" s="365"/>
      <c r="T43" s="365"/>
      <c r="U43" s="365"/>
      <c r="V43" s="365"/>
      <c r="W43" s="365"/>
      <c r="X43" s="365"/>
      <c r="Y43" s="365"/>
      <c r="Z43" s="365"/>
      <c r="AA43" s="365"/>
      <c r="AB43" s="365"/>
      <c r="AC43" s="365"/>
      <c r="AD43" s="365"/>
    </row>
    <row r="44" spans="1:30" ht="17.25" customHeight="1">
      <c r="P44" s="157"/>
      <c r="Q44" s="157"/>
      <c r="R44" s="157"/>
      <c r="S44" s="157"/>
      <c r="T44" s="157"/>
      <c r="U44" s="157"/>
      <c r="V44" s="157"/>
      <c r="W44" s="157"/>
      <c r="X44" s="157"/>
      <c r="Y44" s="157"/>
    </row>
    <row r="45" spans="1:30">
      <c r="P45" s="21"/>
      <c r="Q45" s="21"/>
      <c r="R45" s="21"/>
      <c r="S45" s="21"/>
      <c r="T45" s="21"/>
      <c r="U45" s="21"/>
      <c r="V45" s="21"/>
      <c r="W45" s="21"/>
      <c r="X45" s="21"/>
      <c r="Y45" s="21"/>
    </row>
    <row r="46" spans="1:30">
      <c r="P46" s="21"/>
      <c r="Q46" s="21"/>
      <c r="R46" s="21"/>
      <c r="S46" s="21"/>
      <c r="T46" s="21"/>
      <c r="U46" s="21"/>
      <c r="V46" s="21"/>
      <c r="W46" s="21"/>
      <c r="X46" s="21"/>
      <c r="Y46" s="21"/>
    </row>
    <row r="47" spans="1:30" ht="30">
      <c r="B47" s="136" t="s">
        <v>628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21"/>
      <c r="Q47" s="21"/>
      <c r="R47" s="21"/>
      <c r="S47" s="21"/>
      <c r="T47" s="21"/>
      <c r="U47" s="21"/>
      <c r="V47" s="21"/>
      <c r="W47" s="21"/>
      <c r="X47" s="21"/>
      <c r="Y47" s="21"/>
    </row>
    <row r="48" spans="1:30">
      <c r="B48" s="91" t="s">
        <v>629</v>
      </c>
      <c r="C48" s="92" t="s">
        <v>630</v>
      </c>
      <c r="D48" s="92" t="s">
        <v>631</v>
      </c>
      <c r="E48" s="92" t="s">
        <v>632</v>
      </c>
      <c r="F48" s="92" t="s">
        <v>633</v>
      </c>
      <c r="G48" s="92" t="s">
        <v>634</v>
      </c>
      <c r="H48" s="92" t="s">
        <v>635</v>
      </c>
      <c r="I48" s="92" t="s">
        <v>636</v>
      </c>
      <c r="J48" s="92" t="s">
        <v>637</v>
      </c>
      <c r="K48" s="92" t="s">
        <v>638</v>
      </c>
      <c r="L48" s="92" t="s">
        <v>639</v>
      </c>
      <c r="M48" s="92" t="s">
        <v>640</v>
      </c>
      <c r="N48" s="93" t="s">
        <v>641</v>
      </c>
      <c r="O48" s="169" t="s">
        <v>642</v>
      </c>
      <c r="P48" s="21"/>
      <c r="Q48" s="268" t="s">
        <v>629</v>
      </c>
      <c r="R48" s="269" t="s">
        <v>643</v>
      </c>
      <c r="S48" s="269" t="s">
        <v>644</v>
      </c>
      <c r="T48" s="269" t="s">
        <v>645</v>
      </c>
      <c r="U48" s="269" t="s">
        <v>646</v>
      </c>
      <c r="V48" s="269" t="s">
        <v>647</v>
      </c>
      <c r="W48" s="269" t="s">
        <v>648</v>
      </c>
      <c r="X48" s="269" t="s">
        <v>649</v>
      </c>
    </row>
    <row r="49" spans="2:25">
      <c r="B49" s="85">
        <v>1</v>
      </c>
      <c r="C49" s="86">
        <v>1</v>
      </c>
      <c r="D49" s="86">
        <f>C16*C17</f>
        <v>8000</v>
      </c>
      <c r="E49" s="86">
        <f>Tableau2[[#This Row],[Usable_fresh_kg]]*0.1</f>
        <v>800</v>
      </c>
      <c r="F49" s="86">
        <f>C20*Tableau2[[#This Row],[Dried_kg]]</f>
        <v>16000000</v>
      </c>
      <c r="G49" s="86">
        <v>1820</v>
      </c>
      <c r="H49" s="86">
        <f>Tableau2[[#This Row],[Unit_cost_FCFA_per_kg]]*Tableau2[[#This Row],[Dried_kg]]</f>
        <v>1456000</v>
      </c>
      <c r="I49" s="86">
        <v>16</v>
      </c>
      <c r="J49" s="86">
        <v>110000</v>
      </c>
      <c r="K49" s="86">
        <v>30000</v>
      </c>
      <c r="L49" s="86">
        <f>Tableau2[[#This Row],[Cost_yearly_dried_mango_FCFA]]+Tableau2[[#This Row],[Export_price_FCFA]]</f>
        <v>17456000</v>
      </c>
      <c r="M49" s="86">
        <f>Tableau2[[#This Row],[Cost_yearly_dried_mango_FCFA]]-Tableau2[[#This Row],[Energy_cost_FCFA]]-Tableau2[[#This Row],[Maintenance_FCFA]]</f>
        <v>1316000</v>
      </c>
      <c r="N49" s="87">
        <v>4.6100000000000003</v>
      </c>
      <c r="O49" s="87">
        <v>1</v>
      </c>
      <c r="P49" s="21"/>
      <c r="Q49" s="100">
        <v>1</v>
      </c>
      <c r="R49" s="100">
        <v>15</v>
      </c>
      <c r="S49" s="100">
        <v>307693</v>
      </c>
      <c r="T49" s="100">
        <v>28000</v>
      </c>
      <c r="U49" s="100">
        <v>2115</v>
      </c>
      <c r="V49" s="100">
        <v>577</v>
      </c>
      <c r="W49" s="100">
        <v>277000</v>
      </c>
      <c r="X49" s="100">
        <v>423</v>
      </c>
    </row>
    <row r="50" spans="2:25">
      <c r="B50" s="85">
        <v>1</v>
      </c>
      <c r="C50" s="86">
        <v>3</v>
      </c>
      <c r="D50" s="86">
        <f>C16*C17</f>
        <v>8000</v>
      </c>
      <c r="E50" s="86">
        <f>Tableau2[[#This Row],[Usable_fresh_kg]]*0.1</f>
        <v>800</v>
      </c>
      <c r="F50" s="86">
        <f>Tableau2[[#This Row],[Dried_kg]]*C20</f>
        <v>16000000</v>
      </c>
      <c r="G50" s="86">
        <v>1820</v>
      </c>
      <c r="H50" s="86">
        <f>Tableau2[[#This Row],[Unit_cost_FCFA_per_kg]]*Tableau2[[#This Row],[Dried_kg]]</f>
        <v>1456000</v>
      </c>
      <c r="I50" s="86">
        <v>16</v>
      </c>
      <c r="J50" s="86">
        <v>110000</v>
      </c>
      <c r="K50" s="86">
        <v>30000</v>
      </c>
      <c r="L50" s="86">
        <f>Tableau2[[#This Row],[Cost_yearly_dried_mango_FCFA]]+Tableau2[[#This Row],[Export_price_FCFA]]</f>
        <v>17456000</v>
      </c>
      <c r="M50" s="86">
        <f>Tableau2[[#This Row],[Cost_yearly_dried_mango_FCFA]]-Tableau2[[#This Row],[Energy_cost_FCFA]]-Tableau2[[#This Row],[Maintenance_FCFA]]</f>
        <v>1316000</v>
      </c>
      <c r="N50" s="86">
        <v>4.7300000000000004</v>
      </c>
      <c r="O50" s="105">
        <v>1</v>
      </c>
      <c r="P50" s="21"/>
      <c r="Q50" s="264">
        <v>2</v>
      </c>
      <c r="R50" s="265">
        <v>31</v>
      </c>
      <c r="S50" s="100">
        <v>615385</v>
      </c>
      <c r="T50" s="100">
        <v>56000</v>
      </c>
      <c r="U50" s="100">
        <v>1731</v>
      </c>
      <c r="V50" s="100">
        <v>577</v>
      </c>
      <c r="W50" s="100">
        <v>557077</v>
      </c>
      <c r="X50" s="100">
        <v>851</v>
      </c>
    </row>
    <row r="51" spans="2:25">
      <c r="B51" s="85">
        <v>1</v>
      </c>
      <c r="C51" s="86">
        <v>4</v>
      </c>
      <c r="D51" s="86">
        <f>C16*C17</f>
        <v>8000</v>
      </c>
      <c r="E51" s="86">
        <f>Tableau2[[#This Row],[Usable_fresh_kg]]*0.1</f>
        <v>800</v>
      </c>
      <c r="F51" s="86">
        <f>C20*Tableau2[[#This Row],[Dried_kg]]</f>
        <v>16000000</v>
      </c>
      <c r="G51" s="86">
        <v>1820</v>
      </c>
      <c r="H51" s="86">
        <f>Tableau2[[#This Row],[Unit_cost_FCFA_per_kg]]*Tableau2[[#This Row],[Dried_kg]]</f>
        <v>1456000</v>
      </c>
      <c r="I51" s="86">
        <v>16</v>
      </c>
      <c r="J51" s="86">
        <v>110000</v>
      </c>
      <c r="K51" s="86">
        <v>30000</v>
      </c>
      <c r="L51" s="86">
        <f>Tableau2[[#This Row],[Cost_yearly_dried_mango_FCFA]]+Tableau2[[#This Row],[Export_price_FCFA]]</f>
        <v>17456000</v>
      </c>
      <c r="M51" s="86">
        <f>Tableau2[[#This Row],[Cost_yearly_dried_mango_FCFA]]-Tableau2[[#This Row],[Energy_cost_FCFA]]-Tableau2[[#This Row],[Maintenance_FCFA]]</f>
        <v>1316000</v>
      </c>
      <c r="N51" s="86">
        <v>4.79</v>
      </c>
      <c r="O51" s="87">
        <v>1</v>
      </c>
      <c r="P51" s="21"/>
      <c r="Q51" s="100">
        <v>3</v>
      </c>
      <c r="R51" s="265">
        <v>46</v>
      </c>
      <c r="S51" s="100">
        <v>923077</v>
      </c>
      <c r="T51" s="100">
        <v>78231</v>
      </c>
      <c r="U51" s="100">
        <v>4615</v>
      </c>
      <c r="V51" s="100">
        <v>1154</v>
      </c>
      <c r="W51" s="100">
        <v>839077</v>
      </c>
      <c r="X51" s="100">
        <v>1281</v>
      </c>
    </row>
    <row r="52" spans="2:25">
      <c r="B52" s="85">
        <v>1</v>
      </c>
      <c r="C52" s="86">
        <v>5</v>
      </c>
      <c r="D52" s="86">
        <f>C16*C17</f>
        <v>8000</v>
      </c>
      <c r="E52" s="86">
        <f>Tableau2[[#This Row],[Usable_fresh_kg]]*0.1</f>
        <v>800</v>
      </c>
      <c r="F52" s="86">
        <f>Tableau2[[#This Row],[Dried_kg]]*C20</f>
        <v>16000000</v>
      </c>
      <c r="G52" s="86">
        <v>1820</v>
      </c>
      <c r="H52" s="86">
        <f>Tableau2[[#This Row],[Unit_cost_FCFA_per_kg]]*Tableau2[[#This Row],[Dried_kg]]</f>
        <v>1456000</v>
      </c>
      <c r="I52" s="86">
        <v>16</v>
      </c>
      <c r="J52" s="86">
        <v>110000</v>
      </c>
      <c r="K52" s="86">
        <v>30000</v>
      </c>
      <c r="L52" s="86">
        <f>Tableau2[[#This Row],[Cost_yearly_dried_mango_FCFA]]+Tableau2[[#This Row],[Export_price_FCFA]]</f>
        <v>17456000</v>
      </c>
      <c r="M52" s="86">
        <f>Tableau2[[#This Row],[Cost_yearly_dried_mango_FCFA]]-Tableau2[[#This Row],[Energy_cost_FCFA]]-Tableau2[[#This Row],[Maintenance_FCFA]]</f>
        <v>1316000</v>
      </c>
      <c r="N52" s="86">
        <v>4.8600000000000003</v>
      </c>
      <c r="O52" s="87">
        <v>1</v>
      </c>
      <c r="P52" s="21"/>
      <c r="Q52" s="100">
        <v>7.93</v>
      </c>
      <c r="R52" s="265">
        <v>122</v>
      </c>
      <c r="S52" s="100">
        <v>2440000</v>
      </c>
      <c r="T52" s="100">
        <v>199105</v>
      </c>
      <c r="U52" s="100">
        <v>5879</v>
      </c>
      <c r="V52" s="100">
        <v>1997</v>
      </c>
      <c r="W52" s="100">
        <v>2233019</v>
      </c>
      <c r="X52" s="100">
        <v>3409</v>
      </c>
    </row>
    <row r="53" spans="2:25">
      <c r="B53" s="85">
        <v>1</v>
      </c>
      <c r="C53" s="86">
        <v>6</v>
      </c>
      <c r="D53" s="86">
        <f>C16*C17</f>
        <v>8000</v>
      </c>
      <c r="E53" s="86">
        <f>Tableau2[[#This Row],[Usable_fresh_kg]]*0.1</f>
        <v>800</v>
      </c>
      <c r="F53" s="86">
        <f>C20*Tableau2[[#This Row],[Dried_kg]]</f>
        <v>16000000</v>
      </c>
      <c r="G53" s="86">
        <v>1820</v>
      </c>
      <c r="H53" s="86">
        <f>Tableau2[[#This Row],[Unit_cost_FCFA_per_kg]]*Tableau2[[#This Row],[Dried_kg]]</f>
        <v>1456000</v>
      </c>
      <c r="I53" s="86">
        <v>16</v>
      </c>
      <c r="J53" s="86">
        <v>110000</v>
      </c>
      <c r="K53" s="86">
        <v>30000</v>
      </c>
      <c r="L53" s="86">
        <f>Tableau2[[#This Row],[Cost_yearly_dried_mango_FCFA]]+Tableau2[[#This Row],[Export_price_FCFA]]</f>
        <v>17456000</v>
      </c>
      <c r="M53" s="86">
        <f>Tableau2[[#This Row],[Cost_yearly_dried_mango_FCFA]]-Tableau2[[#This Row],[Energy_cost_FCFA]]-Tableau2[[#This Row],[Maintenance_FCFA]]</f>
        <v>1316000</v>
      </c>
      <c r="N53" s="86">
        <v>4.92</v>
      </c>
      <c r="O53" s="87">
        <v>1</v>
      </c>
      <c r="P53" s="21"/>
      <c r="Q53" s="100">
        <v>30</v>
      </c>
      <c r="R53" s="265">
        <v>462</v>
      </c>
      <c r="S53" s="100">
        <v>9230769</v>
      </c>
      <c r="T53" s="100">
        <v>623077</v>
      </c>
      <c r="U53" s="100">
        <v>11538</v>
      </c>
      <c r="V53" s="100">
        <v>5769</v>
      </c>
      <c r="W53" s="100">
        <v>8590385</v>
      </c>
      <c r="X53" s="100">
        <v>13115</v>
      </c>
    </row>
    <row r="54" spans="2:25">
      <c r="B54" s="85">
        <v>1</v>
      </c>
      <c r="C54" s="86">
        <v>7</v>
      </c>
      <c r="D54" s="86">
        <f>C16*C17</f>
        <v>8000</v>
      </c>
      <c r="E54" s="86">
        <f>Tableau2[[#This Row],[Usable_fresh_kg]]*0.1</f>
        <v>800</v>
      </c>
      <c r="F54" s="86">
        <f>C20*Tableau2[[#This Row],[Dried_kg]]</f>
        <v>16000000</v>
      </c>
      <c r="G54" s="86">
        <v>1820</v>
      </c>
      <c r="H54" s="86">
        <f>Tableau2[[#This Row],[Unit_cost_FCFA_per_kg]]*Tableau2[[#This Row],[Dried_kg]]</f>
        <v>1456000</v>
      </c>
      <c r="I54" s="86">
        <v>16</v>
      </c>
      <c r="J54" s="86">
        <v>110000</v>
      </c>
      <c r="K54" s="86">
        <v>30000</v>
      </c>
      <c r="L54" s="86">
        <f>Tableau2[[#This Row],[Cost_yearly_dried_mango_FCFA]]+Tableau2[[#This Row],[Export_price_FCFA]]</f>
        <v>17456000</v>
      </c>
      <c r="M54" s="86">
        <f>Tableau2[[#This Row],[Cost_yearly_dried_mango_FCFA]]-Tableau2[[#This Row],[Energy_cost_FCFA]]-Tableau2[[#This Row],[Maintenance_FCFA]]</f>
        <v>1316000</v>
      </c>
      <c r="N54" s="86">
        <v>4.9800000000000004</v>
      </c>
      <c r="O54" s="87">
        <v>1</v>
      </c>
      <c r="P54" s="21"/>
      <c r="Q54" s="264">
        <v>60</v>
      </c>
      <c r="R54" s="266">
        <v>923</v>
      </c>
      <c r="S54" s="267">
        <v>18461538</v>
      </c>
      <c r="T54" s="267">
        <v>1105846</v>
      </c>
      <c r="U54" s="267">
        <v>19231</v>
      </c>
      <c r="V54" s="267">
        <v>11538</v>
      </c>
      <c r="W54" s="267">
        <v>17324923</v>
      </c>
      <c r="X54" s="267">
        <v>26450</v>
      </c>
    </row>
    <row r="55" spans="2:25">
      <c r="B55" s="85">
        <v>1</v>
      </c>
      <c r="C55" s="86">
        <v>8</v>
      </c>
      <c r="D55" s="86">
        <f>C16*C17</f>
        <v>8000</v>
      </c>
      <c r="E55" s="86">
        <f>Tableau2[[#This Row],[Usable_fresh_kg]]*0.1</f>
        <v>800</v>
      </c>
      <c r="F55" s="86">
        <f>C20*Tableau2[[#This Row],[Dried_kg]]</f>
        <v>16000000</v>
      </c>
      <c r="G55" s="86">
        <v>1820</v>
      </c>
      <c r="H55" s="86">
        <f>Tableau2[[#This Row],[Unit_cost_FCFA_per_kg]]*Tableau2[[#This Row],[Dried_kg]]</f>
        <v>1456000</v>
      </c>
      <c r="I55" s="86">
        <v>16</v>
      </c>
      <c r="J55" s="86">
        <v>110000</v>
      </c>
      <c r="K55" s="86">
        <v>30000</v>
      </c>
      <c r="L55" s="86">
        <f>Tableau2[[#This Row],[Cost_yearly_dried_mango_FCFA]]+Tableau2[[#This Row],[Export_price_FCFA]]</f>
        <v>17456000</v>
      </c>
      <c r="M55" s="86">
        <f>Tableau2[[#This Row],[Cost_yearly_dried_mango_FCFA]]-Tableau2[[#This Row],[Energy_cost_FCFA]]-Tableau2[[#This Row],[Maintenance_FCFA]]</f>
        <v>1316000</v>
      </c>
      <c r="N55" s="86">
        <v>5.04</v>
      </c>
      <c r="O55" s="87">
        <v>1</v>
      </c>
      <c r="P55" s="21"/>
      <c r="Q55" s="21"/>
      <c r="R55" s="21"/>
      <c r="S55" s="21"/>
      <c r="T55" s="21"/>
      <c r="U55" s="21"/>
      <c r="V55" s="21"/>
      <c r="W55" s="21"/>
      <c r="X55" s="21"/>
      <c r="Y55" s="21"/>
    </row>
    <row r="56" spans="2:25">
      <c r="B56" s="85">
        <v>1</v>
      </c>
      <c r="C56" s="86">
        <v>9</v>
      </c>
      <c r="D56" s="86">
        <f>C16*C17</f>
        <v>8000</v>
      </c>
      <c r="E56" s="86">
        <f>Tableau2[[#This Row],[Usable_fresh_kg]]*0.1</f>
        <v>800</v>
      </c>
      <c r="F56" s="86">
        <f>C20*Tableau2[[#This Row],[Dried_kg]]</f>
        <v>16000000</v>
      </c>
      <c r="G56" s="86">
        <v>1820</v>
      </c>
      <c r="H56" s="86">
        <f>Tableau2[[#This Row],[Unit_cost_FCFA_per_kg]]*Tableau2[[#This Row],[Dried_kg]]</f>
        <v>1456000</v>
      </c>
      <c r="I56" s="86">
        <v>16</v>
      </c>
      <c r="J56" s="86">
        <v>110000</v>
      </c>
      <c r="K56" s="86">
        <v>30000</v>
      </c>
      <c r="L56" s="86">
        <f>Tableau2[[#This Row],[Cost_yearly_dried_mango_FCFA]]+Tableau2[[#This Row],[Export_price_FCFA]]</f>
        <v>17456000</v>
      </c>
      <c r="M56" s="86">
        <f>Tableau2[[#This Row],[Cost_yearly_dried_mango_FCFA]]-Tableau2[[#This Row],[Energy_cost_FCFA]]-Tableau2[[#This Row],[Maintenance_FCFA]]</f>
        <v>1316000</v>
      </c>
      <c r="N56" s="86">
        <v>5.0999999999999996</v>
      </c>
      <c r="O56" s="87">
        <v>1</v>
      </c>
      <c r="P56" s="21"/>
      <c r="Q56" s="21"/>
      <c r="R56" s="21"/>
      <c r="S56" s="21"/>
      <c r="T56" s="21"/>
      <c r="U56" s="21"/>
      <c r="V56" s="21"/>
      <c r="W56" s="21"/>
      <c r="X56" s="21"/>
      <c r="Y56" s="21"/>
    </row>
    <row r="57" spans="2:25">
      <c r="B57" s="88">
        <v>1</v>
      </c>
      <c r="C57" s="89">
        <v>10</v>
      </c>
      <c r="D57" s="89">
        <f>C16*C17</f>
        <v>8000</v>
      </c>
      <c r="E57" s="86">
        <f>Tableau2[[#This Row],[Usable_fresh_kg]]*0.1</f>
        <v>800</v>
      </c>
      <c r="F57" s="86">
        <f>C20*Tableau2[[#This Row],[Dried_kg]]</f>
        <v>16000000</v>
      </c>
      <c r="G57" s="86">
        <v>1820</v>
      </c>
      <c r="H57" s="86">
        <f>Tableau2[[#This Row],[Unit_cost_FCFA_per_kg]]*Tableau2[[#This Row],[Dried_kg]]</f>
        <v>1456000</v>
      </c>
      <c r="I57" s="89">
        <v>16</v>
      </c>
      <c r="J57" s="155">
        <v>110000</v>
      </c>
      <c r="K57" s="155">
        <v>30000</v>
      </c>
      <c r="L57" s="155">
        <f>Tableau2[[#This Row],[Cost_yearly_dried_mango_FCFA]]+Tableau2[[#This Row],[Export_price_FCFA]]</f>
        <v>17456000</v>
      </c>
      <c r="M57" s="86">
        <f>Tableau2[[#This Row],[Cost_yearly_dried_mango_FCFA]]-Tableau2[[#This Row],[Energy_cost_FCFA]]-Tableau2[[#This Row],[Maintenance_FCFA]]</f>
        <v>1316000</v>
      </c>
      <c r="N57" s="89">
        <v>5.17</v>
      </c>
      <c r="O57" s="90">
        <v>1</v>
      </c>
      <c r="P57" s="21"/>
      <c r="Q57" s="21"/>
      <c r="R57" s="21"/>
      <c r="S57" s="21"/>
      <c r="T57" s="21"/>
      <c r="U57" s="21"/>
      <c r="V57" s="21"/>
      <c r="W57" s="21"/>
      <c r="X57" s="21"/>
      <c r="Y57" s="21"/>
    </row>
    <row r="58" spans="2:25" ht="30">
      <c r="P58" s="21"/>
      <c r="Q58" s="263"/>
      <c r="R58" s="263"/>
      <c r="S58" s="263"/>
      <c r="T58" s="263"/>
      <c r="U58" s="263"/>
      <c r="V58" s="263"/>
      <c r="W58" s="263"/>
      <c r="X58" s="263"/>
      <c r="Y58" s="263"/>
    </row>
    <row r="59" spans="2:25">
      <c r="P59" s="21"/>
      <c r="Q59" s="21"/>
      <c r="R59" s="21"/>
      <c r="S59" s="21"/>
      <c r="T59" s="21"/>
      <c r="U59" s="21"/>
      <c r="V59" s="21"/>
      <c r="W59" s="21"/>
      <c r="X59" s="21"/>
      <c r="Y59" s="21"/>
    </row>
    <row r="60" spans="2:25" ht="30">
      <c r="B60" s="84" t="s">
        <v>650</v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21"/>
      <c r="Q60" s="21"/>
      <c r="R60" s="21"/>
      <c r="S60" s="21"/>
      <c r="T60" s="21"/>
      <c r="U60" s="21"/>
      <c r="V60" s="21"/>
      <c r="W60" s="21"/>
      <c r="X60" s="21"/>
      <c r="Y60" s="21"/>
    </row>
    <row r="61" spans="2:25">
      <c r="B61" s="92" t="s">
        <v>629</v>
      </c>
      <c r="C61" s="92" t="s">
        <v>630</v>
      </c>
      <c r="D61" s="92" t="s">
        <v>631</v>
      </c>
      <c r="E61" s="92" t="s">
        <v>632</v>
      </c>
      <c r="F61" s="92" t="s">
        <v>633</v>
      </c>
      <c r="G61" s="92" t="s">
        <v>634</v>
      </c>
      <c r="H61" s="92" t="s">
        <v>635</v>
      </c>
      <c r="I61" s="92" t="s">
        <v>636</v>
      </c>
      <c r="J61" s="92" t="s">
        <v>637</v>
      </c>
      <c r="K61" s="92" t="s">
        <v>651</v>
      </c>
      <c r="L61" s="92" t="s">
        <v>639</v>
      </c>
      <c r="M61" s="92" t="s">
        <v>640</v>
      </c>
      <c r="N61" s="92" t="s">
        <v>641</v>
      </c>
      <c r="O61" s="93" t="s">
        <v>642</v>
      </c>
      <c r="P61" s="21"/>
      <c r="Q61" s="21"/>
      <c r="R61" s="21"/>
      <c r="S61" s="21"/>
      <c r="T61" s="21"/>
      <c r="U61" s="21"/>
      <c r="V61" s="21"/>
      <c r="W61" s="21"/>
      <c r="X61" s="21"/>
      <c r="Y61" s="21"/>
    </row>
    <row r="62" spans="2:25">
      <c r="B62" s="103">
        <v>3</v>
      </c>
      <c r="C62" s="104">
        <v>1</v>
      </c>
      <c r="D62" s="104">
        <f>Tableau3[[#This Row],[Scenario_ha]]*D49</f>
        <v>24000</v>
      </c>
      <c r="E62" s="104">
        <f>Tableau3[[#This Row],[Usable_fresh_kg]]*0.1</f>
        <v>2400</v>
      </c>
      <c r="F62" s="104">
        <f>C20*Tableau3[[#This Row],[Dried_kg]]</f>
        <v>48000000</v>
      </c>
      <c r="G62" s="104">
        <v>1695</v>
      </c>
      <c r="H62" s="104">
        <f>Tableau3[[#This Row],[Dried_kg]]*Tableau3[[#This Row],[Unit_cost_FCFA_per_kg]]</f>
        <v>4068000</v>
      </c>
      <c r="I62" s="104">
        <v>48</v>
      </c>
      <c r="J62" s="104">
        <v>240000</v>
      </c>
      <c r="K62" s="104">
        <v>60000</v>
      </c>
      <c r="L62" s="104">
        <f>Tableau3[[#This Row],[Cost_yearly_dried_mango_FCFA]]+Tableau3[[#This Row],[Export_price_FCFA]]</f>
        <v>52068000</v>
      </c>
      <c r="M62" s="104">
        <f>Tableau3[[#This Row],[Cost_yearly_dried_mango_FCFA]]-Tableau3[[#This Row],[Energy_cost_FCFA]]-Tableau3[[#This Row],[Maintenance]]</f>
        <v>3768000</v>
      </c>
      <c r="N62" s="104">
        <v>4.45</v>
      </c>
      <c r="O62" s="105">
        <v>2</v>
      </c>
      <c r="P62" s="21"/>
      <c r="Q62" s="21"/>
      <c r="R62" s="21"/>
      <c r="S62" s="21"/>
      <c r="T62" s="21"/>
      <c r="U62" s="21"/>
      <c r="V62" s="21"/>
      <c r="W62" s="21"/>
      <c r="X62" s="21"/>
      <c r="Y62" s="21"/>
    </row>
    <row r="63" spans="2:25">
      <c r="B63" s="85">
        <v>3</v>
      </c>
      <c r="C63" s="86">
        <v>2</v>
      </c>
      <c r="D63" s="104">
        <f>Tableau3[[#This Row],[Scenario_ha]]*D49</f>
        <v>24000</v>
      </c>
      <c r="E63" s="104">
        <f>Tableau3[[#This Row],[Usable_fresh_kg]]*0.1</f>
        <v>2400</v>
      </c>
      <c r="F63" s="86">
        <f>Tableau3[[#This Row],[Dried_kg]]*C20</f>
        <v>48000000</v>
      </c>
      <c r="G63" s="104">
        <v>1695</v>
      </c>
      <c r="H63" s="104">
        <f>Tableau3[[#This Row],[Dried_kg]]*Tableau3[[#This Row],[Unit_cost_FCFA_per_kg]]</f>
        <v>4068000</v>
      </c>
      <c r="I63" s="86">
        <v>48</v>
      </c>
      <c r="J63" s="104">
        <v>240000</v>
      </c>
      <c r="K63" s="104">
        <v>60000</v>
      </c>
      <c r="L63" s="104">
        <f>Tableau3[[#This Row],[Cost_yearly_dried_mango_FCFA]]+Tableau3[[#This Row],[Export_price_FCFA]]</f>
        <v>52068000</v>
      </c>
      <c r="M63" s="104">
        <f>Tableau3[[#This Row],[Cost_yearly_dried_mango_FCFA]]-Tableau3[[#This Row],[Energy_cost_FCFA]]-Tableau3[[#This Row],[Maintenance]]</f>
        <v>3768000</v>
      </c>
      <c r="N63" s="86">
        <v>4.51</v>
      </c>
      <c r="O63" s="87">
        <v>2</v>
      </c>
      <c r="P63" s="21"/>
      <c r="Q63" s="21"/>
      <c r="R63" s="21"/>
      <c r="S63" s="21"/>
      <c r="T63" s="21"/>
      <c r="U63" s="21"/>
      <c r="V63" s="21"/>
      <c r="W63" s="21"/>
      <c r="X63" s="21"/>
      <c r="Y63" s="21"/>
    </row>
    <row r="64" spans="2:25">
      <c r="B64" s="85">
        <v>3</v>
      </c>
      <c r="C64" s="86">
        <v>3</v>
      </c>
      <c r="D64" s="104">
        <f>Tableau3[[#This Row],[Scenario_ha]]*D50</f>
        <v>24000</v>
      </c>
      <c r="E64" s="104">
        <f>Tableau3[[#This Row],[Usable_fresh_kg]]*0.1</f>
        <v>2400</v>
      </c>
      <c r="F64" s="86">
        <f>Tableau3[[#This Row],[Dried_kg]]*C20</f>
        <v>48000000</v>
      </c>
      <c r="G64" s="104">
        <v>1695</v>
      </c>
      <c r="H64" s="104">
        <f>Tableau3[[#This Row],[Dried_kg]]*Tableau3[[#This Row],[Unit_cost_FCFA_per_kg]]</f>
        <v>4068000</v>
      </c>
      <c r="I64" s="86">
        <v>48</v>
      </c>
      <c r="J64" s="104">
        <v>240000</v>
      </c>
      <c r="K64" s="104">
        <v>60000</v>
      </c>
      <c r="L64" s="104">
        <f>Tableau3[[#This Row],[Cost_yearly_dried_mango_FCFA]]+Tableau3[[#This Row],[Export_price_FCFA]]</f>
        <v>52068000</v>
      </c>
      <c r="M64" s="104">
        <f>Tableau3[[#This Row],[Cost_yearly_dried_mango_FCFA]]-Tableau3[[#This Row],[Energy_cost_FCFA]]-Tableau3[[#This Row],[Maintenance]]</f>
        <v>3768000</v>
      </c>
      <c r="N64" s="86">
        <v>4.57</v>
      </c>
      <c r="O64" s="87">
        <v>2</v>
      </c>
      <c r="P64" s="21"/>
      <c r="Q64" s="21"/>
      <c r="R64" s="21"/>
      <c r="S64" s="21"/>
      <c r="T64" s="21"/>
      <c r="U64" s="21"/>
      <c r="V64" s="21"/>
      <c r="W64" s="21"/>
      <c r="X64" s="21"/>
      <c r="Y64" s="21"/>
    </row>
    <row r="65" spans="2:25">
      <c r="B65" s="85">
        <v>3</v>
      </c>
      <c r="C65" s="86">
        <v>4</v>
      </c>
      <c r="D65" s="104">
        <f>Tableau3[[#This Row],[Scenario_ha]]*D51</f>
        <v>24000</v>
      </c>
      <c r="E65" s="104">
        <f>Tableau3[[#This Row],[Usable_fresh_kg]]*0.1</f>
        <v>2400</v>
      </c>
      <c r="F65" s="86">
        <f>Tableau3[[#This Row],[Dried_kg]]*C20</f>
        <v>48000000</v>
      </c>
      <c r="G65" s="104">
        <v>1695</v>
      </c>
      <c r="H65" s="104">
        <f>Tableau3[[#This Row],[Dried_kg]]*Tableau3[[#This Row],[Unit_cost_FCFA_per_kg]]</f>
        <v>4068000</v>
      </c>
      <c r="I65" s="86">
        <v>48</v>
      </c>
      <c r="J65" s="104">
        <v>240000</v>
      </c>
      <c r="K65" s="104">
        <v>60000</v>
      </c>
      <c r="L65" s="104">
        <f>Tableau3[[#This Row],[Cost_yearly_dried_mango_FCFA]]+Tableau3[[#This Row],[Export_price_FCFA]]</f>
        <v>52068000</v>
      </c>
      <c r="M65" s="104">
        <f>Tableau3[[#This Row],[Cost_yearly_dried_mango_FCFA]]-Tableau3[[#This Row],[Energy_cost_FCFA]]-Tableau3[[#This Row],[Maintenance]]</f>
        <v>3768000</v>
      </c>
      <c r="N65" s="86">
        <v>4.63</v>
      </c>
      <c r="O65" s="87">
        <v>2</v>
      </c>
      <c r="P65" s="21"/>
      <c r="Q65" s="21"/>
      <c r="R65" s="21"/>
      <c r="S65" s="21"/>
      <c r="T65" s="21"/>
      <c r="U65" s="21"/>
      <c r="V65" s="21"/>
      <c r="W65" s="21"/>
      <c r="X65" s="21"/>
      <c r="Y65" s="21"/>
    </row>
    <row r="66" spans="2:25">
      <c r="B66" s="85">
        <v>3</v>
      </c>
      <c r="C66" s="86">
        <v>5</v>
      </c>
      <c r="D66" s="104">
        <f>Tableau3[[#This Row],[Scenario_ha]]*D52</f>
        <v>24000</v>
      </c>
      <c r="E66" s="104">
        <f>Tableau3[[#This Row],[Usable_fresh_kg]]*0.1</f>
        <v>2400</v>
      </c>
      <c r="F66" s="86">
        <f>Tableau3[[#This Row],[Dried_kg]]*C20</f>
        <v>48000000</v>
      </c>
      <c r="G66" s="104">
        <v>1695</v>
      </c>
      <c r="H66" s="104">
        <f>Tableau3[[#This Row],[Dried_kg]]*Tableau3[[#This Row],[Unit_cost_FCFA_per_kg]]</f>
        <v>4068000</v>
      </c>
      <c r="I66" s="86">
        <v>48</v>
      </c>
      <c r="J66" s="104">
        <v>240000</v>
      </c>
      <c r="K66" s="104">
        <v>60000</v>
      </c>
      <c r="L66" s="104">
        <f>Tableau3[[#This Row],[Cost_yearly_dried_mango_FCFA]]+Tableau3[[#This Row],[Export_price_FCFA]]</f>
        <v>52068000</v>
      </c>
      <c r="M66" s="104">
        <f>Tableau3[[#This Row],[Cost_yearly_dried_mango_FCFA]]-Tableau3[[#This Row],[Energy_cost_FCFA]]-Tableau3[[#This Row],[Maintenance]]</f>
        <v>3768000</v>
      </c>
      <c r="N66" s="86">
        <v>4.7</v>
      </c>
      <c r="O66" s="87">
        <v>2</v>
      </c>
      <c r="P66" s="21"/>
      <c r="Q66" s="21"/>
      <c r="R66" s="21"/>
      <c r="S66" s="21"/>
      <c r="T66" s="21"/>
      <c r="U66" s="21"/>
      <c r="V66" s="21"/>
      <c r="W66" s="21"/>
      <c r="X66" s="21"/>
      <c r="Y66" s="21"/>
    </row>
    <row r="67" spans="2:25">
      <c r="B67" s="85">
        <v>3</v>
      </c>
      <c r="C67" s="86">
        <v>6</v>
      </c>
      <c r="D67" s="104">
        <f>Tableau3[[#This Row],[Scenario_ha]]*D53</f>
        <v>24000</v>
      </c>
      <c r="E67" s="104">
        <f>Tableau3[[#This Row],[Usable_fresh_kg]]*0.1</f>
        <v>2400</v>
      </c>
      <c r="F67" s="86">
        <f>Tableau3[[#This Row],[Dried_kg]]*C20</f>
        <v>48000000</v>
      </c>
      <c r="G67" s="104">
        <v>1695</v>
      </c>
      <c r="H67" s="104">
        <f>Tableau3[[#This Row],[Dried_kg]]*Tableau3[[#This Row],[Unit_cost_FCFA_per_kg]]</f>
        <v>4068000</v>
      </c>
      <c r="I67" s="86">
        <v>48</v>
      </c>
      <c r="J67" s="104">
        <v>240000</v>
      </c>
      <c r="K67" s="104">
        <v>60000</v>
      </c>
      <c r="L67" s="104">
        <f>Tableau3[[#This Row],[Cost_yearly_dried_mango_FCFA]]+Tableau3[[#This Row],[Export_price_FCFA]]</f>
        <v>52068000</v>
      </c>
      <c r="M67" s="104">
        <f>Tableau3[[#This Row],[Cost_yearly_dried_mango_FCFA]]-Tableau3[[#This Row],[Energy_cost_FCFA]]-Tableau3[[#This Row],[Maintenance]]</f>
        <v>3768000</v>
      </c>
      <c r="N67" s="86">
        <v>4.76</v>
      </c>
      <c r="O67" s="87">
        <v>2</v>
      </c>
      <c r="P67" s="21"/>
      <c r="Q67" s="21"/>
      <c r="R67" s="21"/>
      <c r="S67" s="21"/>
      <c r="T67" s="21"/>
      <c r="U67" s="21"/>
      <c r="V67" s="21"/>
      <c r="W67" s="21"/>
      <c r="X67" s="21"/>
      <c r="Y67" s="21"/>
    </row>
    <row r="68" spans="2:25">
      <c r="B68" s="85">
        <v>3</v>
      </c>
      <c r="C68" s="86">
        <v>7</v>
      </c>
      <c r="D68" s="104">
        <f>Tableau3[[#This Row],[Scenario_ha]]*D54</f>
        <v>24000</v>
      </c>
      <c r="E68" s="104">
        <f>Tableau3[[#This Row],[Usable_fresh_kg]]*0.1</f>
        <v>2400</v>
      </c>
      <c r="F68" s="86">
        <f>Tableau3[[#This Row],[Dried_kg]]*C20</f>
        <v>48000000</v>
      </c>
      <c r="G68" s="104">
        <v>1695</v>
      </c>
      <c r="H68" s="104">
        <f>Tableau3[[#This Row],[Dried_kg]]*Tableau3[[#This Row],[Unit_cost_FCFA_per_kg]]</f>
        <v>4068000</v>
      </c>
      <c r="I68" s="86">
        <v>48</v>
      </c>
      <c r="J68" s="104">
        <v>240000</v>
      </c>
      <c r="K68" s="104">
        <v>60000</v>
      </c>
      <c r="L68" s="104">
        <f>Tableau3[[#This Row],[Cost_yearly_dried_mango_FCFA]]+Tableau3[[#This Row],[Export_price_FCFA]]</f>
        <v>52068000</v>
      </c>
      <c r="M68" s="104">
        <f>Tableau3[[#This Row],[Cost_yearly_dried_mango_FCFA]]-Tableau3[[#This Row],[Energy_cost_FCFA]]-Tableau3[[#This Row],[Maintenance]]</f>
        <v>3768000</v>
      </c>
      <c r="N68" s="86">
        <v>4.82</v>
      </c>
      <c r="O68" s="87">
        <v>2</v>
      </c>
      <c r="P68" s="21"/>
      <c r="Q68" s="21"/>
      <c r="R68" s="21"/>
      <c r="S68" s="21"/>
      <c r="T68" s="21"/>
      <c r="U68" s="21"/>
      <c r="V68" s="21"/>
      <c r="W68" s="21"/>
      <c r="X68" s="21"/>
      <c r="Y68" s="21"/>
    </row>
    <row r="69" spans="2:25">
      <c r="B69" s="85">
        <v>3</v>
      </c>
      <c r="C69" s="86">
        <v>8</v>
      </c>
      <c r="D69" s="104">
        <f>Tableau3[[#This Row],[Scenario_ha]]*D55</f>
        <v>24000</v>
      </c>
      <c r="E69" s="104">
        <f>Tableau3[[#This Row],[Usable_fresh_kg]]*0.1</f>
        <v>2400</v>
      </c>
      <c r="F69" s="86">
        <f>Tableau3[[#This Row],[Dried_kg]]*C20</f>
        <v>48000000</v>
      </c>
      <c r="G69" s="104">
        <v>1695</v>
      </c>
      <c r="H69" s="104">
        <f>Tableau3[[#This Row],[Dried_kg]]*Tableau3[[#This Row],[Unit_cost_FCFA_per_kg]]</f>
        <v>4068000</v>
      </c>
      <c r="I69" s="86">
        <v>48</v>
      </c>
      <c r="J69" s="104">
        <v>240000</v>
      </c>
      <c r="K69" s="104">
        <v>60000</v>
      </c>
      <c r="L69" s="104">
        <f>Tableau3[[#This Row],[Cost_yearly_dried_mango_FCFA]]+Tableau3[[#This Row],[Export_price_FCFA]]</f>
        <v>52068000</v>
      </c>
      <c r="M69" s="104">
        <f>Tableau3[[#This Row],[Cost_yearly_dried_mango_FCFA]]-Tableau3[[#This Row],[Energy_cost_FCFA]]-Tableau3[[#This Row],[Maintenance]]</f>
        <v>3768000</v>
      </c>
      <c r="N69" s="86">
        <v>4.88</v>
      </c>
      <c r="O69" s="87">
        <v>2</v>
      </c>
      <c r="P69" s="21"/>
      <c r="Q69" s="21"/>
      <c r="R69" s="21"/>
      <c r="S69" s="21"/>
      <c r="T69" s="21"/>
      <c r="U69" s="21"/>
      <c r="V69" s="21"/>
      <c r="W69" s="21"/>
      <c r="X69" s="21"/>
      <c r="Y69" s="21"/>
    </row>
    <row r="70" spans="2:25">
      <c r="B70" s="85">
        <v>3</v>
      </c>
      <c r="C70" s="86">
        <v>9</v>
      </c>
      <c r="D70" s="104">
        <f>Tableau3[[#This Row],[Scenario_ha]]*D56</f>
        <v>24000</v>
      </c>
      <c r="E70" s="104">
        <f>Tableau3[[#This Row],[Usable_fresh_kg]]*0.1</f>
        <v>2400</v>
      </c>
      <c r="F70" s="86">
        <f>Tableau3[[#This Row],[Dried_kg]]*C20</f>
        <v>48000000</v>
      </c>
      <c r="G70" s="104">
        <v>1695</v>
      </c>
      <c r="H70" s="104">
        <f>Tableau3[[#This Row],[Dried_kg]]*Tableau3[[#This Row],[Unit_cost_FCFA_per_kg]]</f>
        <v>4068000</v>
      </c>
      <c r="I70" s="86">
        <v>48</v>
      </c>
      <c r="J70" s="104">
        <v>240000</v>
      </c>
      <c r="K70" s="104">
        <v>60000</v>
      </c>
      <c r="L70" s="104">
        <f>Tableau3[[#This Row],[Cost_yearly_dried_mango_FCFA]]+Tableau3[[#This Row],[Export_price_FCFA]]</f>
        <v>52068000</v>
      </c>
      <c r="M70" s="104">
        <f>Tableau3[[#This Row],[Cost_yearly_dried_mango_FCFA]]-Tableau3[[#This Row],[Energy_cost_FCFA]]-Tableau3[[#This Row],[Maintenance]]</f>
        <v>3768000</v>
      </c>
      <c r="N70" s="86">
        <v>4.9400000000000004</v>
      </c>
      <c r="O70" s="87">
        <v>2</v>
      </c>
      <c r="P70" s="21"/>
      <c r="Q70" s="21"/>
      <c r="R70" s="21"/>
      <c r="S70" s="21"/>
      <c r="T70" s="21"/>
      <c r="U70" s="21"/>
      <c r="V70" s="21"/>
      <c r="W70" s="21"/>
      <c r="X70" s="21"/>
      <c r="Y70" s="21"/>
    </row>
    <row r="71" spans="2:25">
      <c r="B71" s="88">
        <v>3</v>
      </c>
      <c r="C71" s="89">
        <v>10</v>
      </c>
      <c r="D71" s="104">
        <f>Tableau3[[#This Row],[Scenario_ha]]*D57</f>
        <v>24000</v>
      </c>
      <c r="E71" s="104">
        <f>Tableau3[[#This Row],[Usable_fresh_kg]]*0.1</f>
        <v>2400</v>
      </c>
      <c r="F71" s="86">
        <f>Tableau3[[#This Row],[Dried_kg]]*C20</f>
        <v>48000000</v>
      </c>
      <c r="G71" s="104">
        <v>1695</v>
      </c>
      <c r="H71" s="104">
        <f>Tableau3[[#This Row],[Dried_kg]]*Tableau3[[#This Row],[Unit_cost_FCFA_per_kg]]</f>
        <v>4068000</v>
      </c>
      <c r="I71" s="89">
        <v>48</v>
      </c>
      <c r="J71" s="104">
        <v>240000</v>
      </c>
      <c r="K71" s="104">
        <v>60000</v>
      </c>
      <c r="L71" s="104">
        <f>Tableau3[[#This Row],[Cost_yearly_dried_mango_FCFA]]+Tableau3[[#This Row],[Export_price_FCFA]]</f>
        <v>52068000</v>
      </c>
      <c r="M71" s="104">
        <f>Tableau3[[#This Row],[Cost_yearly_dried_mango_FCFA]]-Tableau3[[#This Row],[Energy_cost_FCFA]]-Tableau3[[#This Row],[Maintenance]]</f>
        <v>3768000</v>
      </c>
      <c r="N71" s="89">
        <v>5</v>
      </c>
      <c r="O71" s="90">
        <v>2</v>
      </c>
      <c r="P71" s="21"/>
      <c r="Q71" s="21"/>
      <c r="R71" s="21"/>
      <c r="S71" s="21"/>
      <c r="T71" s="21"/>
      <c r="U71" s="21"/>
      <c r="V71" s="21"/>
      <c r="W71" s="21"/>
      <c r="X71" s="21"/>
      <c r="Y71" s="21"/>
    </row>
    <row r="72" spans="2:25">
      <c r="P72" s="21"/>
      <c r="Q72" s="21"/>
      <c r="R72" s="21"/>
      <c r="S72" s="21"/>
      <c r="T72" s="21"/>
      <c r="U72" s="21"/>
      <c r="V72" s="21"/>
      <c r="W72" s="21"/>
      <c r="X72" s="21"/>
      <c r="Y72" s="21"/>
    </row>
    <row r="73" spans="2:25">
      <c r="P73" s="21"/>
      <c r="Q73" s="21"/>
      <c r="R73" s="21"/>
      <c r="S73" s="21"/>
      <c r="T73" s="21"/>
      <c r="U73" s="21"/>
      <c r="V73" s="21"/>
      <c r="W73" s="21"/>
      <c r="X73" s="21"/>
      <c r="Y73" s="21"/>
    </row>
    <row r="74" spans="2:25">
      <c r="P74" s="21"/>
      <c r="Q74" s="21"/>
      <c r="R74" s="21"/>
      <c r="S74" s="21"/>
      <c r="T74" s="21"/>
      <c r="U74" s="21"/>
      <c r="V74" s="21"/>
      <c r="W74" s="21"/>
      <c r="X74" s="21"/>
      <c r="Y74" s="21"/>
    </row>
    <row r="75" spans="2:25" ht="30.75" customHeight="1">
      <c r="P75" s="157"/>
      <c r="Q75" s="21"/>
      <c r="R75" s="21"/>
      <c r="S75" s="21"/>
      <c r="T75" s="21"/>
      <c r="U75" s="21"/>
      <c r="V75" s="21"/>
      <c r="W75" s="21"/>
      <c r="X75" s="21"/>
      <c r="Y75" s="21"/>
    </row>
    <row r="76" spans="2:25" ht="30">
      <c r="P76" s="21"/>
      <c r="Q76" s="157"/>
      <c r="R76" s="157"/>
      <c r="S76" s="157"/>
      <c r="T76" s="157"/>
      <c r="U76" s="157"/>
      <c r="V76" s="157"/>
      <c r="W76" s="157"/>
      <c r="X76" s="157"/>
      <c r="Y76" s="157"/>
    </row>
    <row r="77" spans="2:25">
      <c r="P77" s="21"/>
      <c r="Q77" s="21"/>
      <c r="R77" s="21"/>
      <c r="S77" s="21"/>
      <c r="T77" s="21"/>
      <c r="U77" s="21"/>
      <c r="V77" s="21"/>
      <c r="W77" s="21"/>
      <c r="X77" s="21"/>
      <c r="Y77" s="21"/>
    </row>
    <row r="78" spans="2:25" ht="30">
      <c r="B78" s="84" t="s">
        <v>652</v>
      </c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21"/>
      <c r="Q78" s="21"/>
      <c r="R78" s="21"/>
      <c r="S78" s="21"/>
      <c r="T78" s="21"/>
      <c r="U78" s="21"/>
      <c r="V78" s="21"/>
      <c r="W78" s="21"/>
      <c r="X78" s="21"/>
      <c r="Y78" s="21"/>
    </row>
    <row r="79" spans="2:25">
      <c r="B79" s="97" t="s">
        <v>629</v>
      </c>
      <c r="C79" s="97" t="s">
        <v>630</v>
      </c>
      <c r="D79" s="97" t="s">
        <v>631</v>
      </c>
      <c r="E79" s="97" t="s">
        <v>632</v>
      </c>
      <c r="F79" s="97" t="s">
        <v>633</v>
      </c>
      <c r="G79" s="97" t="s">
        <v>634</v>
      </c>
      <c r="H79" s="97" t="s">
        <v>635</v>
      </c>
      <c r="I79" s="97" t="s">
        <v>636</v>
      </c>
      <c r="J79" s="97" t="s">
        <v>637</v>
      </c>
      <c r="K79" s="97" t="s">
        <v>651</v>
      </c>
      <c r="L79" s="97" t="s">
        <v>639</v>
      </c>
      <c r="M79" s="97" t="s">
        <v>640</v>
      </c>
      <c r="N79" s="97" t="s">
        <v>641</v>
      </c>
      <c r="O79" s="98" t="s">
        <v>642</v>
      </c>
      <c r="P79" s="21"/>
      <c r="Q79" s="21"/>
      <c r="R79" s="21"/>
      <c r="S79" s="21"/>
      <c r="T79" s="21"/>
      <c r="U79" s="21"/>
      <c r="V79" s="21"/>
      <c r="W79" s="21"/>
      <c r="X79" s="21"/>
      <c r="Y79" s="21"/>
    </row>
    <row r="80" spans="2:25">
      <c r="B80" s="103">
        <v>30</v>
      </c>
      <c r="C80" s="104">
        <v>1</v>
      </c>
      <c r="D80" s="104">
        <f>Tableau5[[#This Row],[Scenario_ha]]*D49</f>
        <v>240000</v>
      </c>
      <c r="E80" s="104">
        <f>Tableau5[[#This Row],[Usable_fresh_kg]]*0.1</f>
        <v>24000</v>
      </c>
      <c r="F80" s="104">
        <f>Tableau5[[#This Row],[Dried_kg]]*C20</f>
        <v>480000000</v>
      </c>
      <c r="G80" s="104">
        <v>1350</v>
      </c>
      <c r="H80" s="104">
        <f>Tableau5[[#This Row],[Unit_cost_FCFA_per_kg]]*Tableau5[[#This Row],[Dried_kg]]</f>
        <v>32400000</v>
      </c>
      <c r="I80" s="104">
        <v>480</v>
      </c>
      <c r="J80" s="104">
        <v>600000</v>
      </c>
      <c r="K80" s="104">
        <v>300000</v>
      </c>
      <c r="L80" s="104">
        <f>Tableau5[[#This Row],[Cost_yearly_dried_mango_FCFA]]+Tableau5[[#This Row],[Export_price_FCFA]]</f>
        <v>512400000</v>
      </c>
      <c r="M80" s="104">
        <f>Tableau5[[#This Row],[Cost_yearly_dried_mango_FCFA]]-Tableau5[[#This Row],[Energy_cost_FCFA]]-Tableau5[[#This Row],[Maintenance]]</f>
        <v>31500000</v>
      </c>
      <c r="N80" s="104">
        <v>4.01</v>
      </c>
      <c r="O80" s="105">
        <v>15</v>
      </c>
      <c r="P80" s="21"/>
      <c r="Q80" s="21"/>
      <c r="R80" s="21"/>
      <c r="S80" s="21"/>
      <c r="T80" s="21"/>
      <c r="U80" s="21"/>
      <c r="V80" s="21"/>
      <c r="W80" s="21"/>
      <c r="X80" s="21"/>
      <c r="Y80" s="21"/>
    </row>
    <row r="81" spans="2:25">
      <c r="B81" s="85">
        <v>30</v>
      </c>
      <c r="C81" s="86">
        <v>2</v>
      </c>
      <c r="D81" s="104">
        <f>Tableau5[[#This Row],[Scenario_ha]]*D49</f>
        <v>240000</v>
      </c>
      <c r="E81" s="104">
        <f>Tableau5[[#This Row],[Usable_fresh_kg]]*0.1</f>
        <v>24000</v>
      </c>
      <c r="F81" s="86">
        <f>C20*Tableau5[[#This Row],[Dried_kg]]</f>
        <v>480000000</v>
      </c>
      <c r="G81" s="104">
        <v>1350</v>
      </c>
      <c r="H81" s="86">
        <f>Tableau5[[#This Row],[Dried_kg]]*Tableau5[[#This Row],[Unit_cost_FCFA_per_kg]]</f>
        <v>32400000</v>
      </c>
      <c r="I81" s="86">
        <v>480</v>
      </c>
      <c r="J81" s="104">
        <v>600000</v>
      </c>
      <c r="K81" s="104">
        <v>300000</v>
      </c>
      <c r="L81" s="104">
        <f>Tableau5[[#This Row],[Cost_yearly_dried_mango_FCFA]]+Tableau5[[#This Row],[Export_price_FCFA]]</f>
        <v>512400000</v>
      </c>
      <c r="M81" s="104">
        <f>Tableau5[[#This Row],[Cost_yearly_dried_mango_FCFA]]-Tableau5[[#This Row],[Energy_cost_FCFA]]-Tableau5[[#This Row],[Maintenance]]</f>
        <v>31500000</v>
      </c>
      <c r="N81" s="86">
        <v>4.0599999999999996</v>
      </c>
      <c r="O81" s="87">
        <v>15</v>
      </c>
      <c r="P81" s="21"/>
      <c r="Q81" s="21"/>
      <c r="R81" s="21"/>
      <c r="S81" s="21"/>
      <c r="T81" s="21"/>
      <c r="U81" s="21"/>
      <c r="V81" s="21"/>
      <c r="W81" s="21"/>
      <c r="X81" s="21"/>
      <c r="Y81" s="21"/>
    </row>
    <row r="82" spans="2:25">
      <c r="B82" s="85">
        <v>30</v>
      </c>
      <c r="C82" s="86">
        <v>3</v>
      </c>
      <c r="D82" s="104">
        <f>Tableau5[[#This Row],[Scenario_ha]]*D50</f>
        <v>240000</v>
      </c>
      <c r="E82" s="104">
        <f>Tableau5[[#This Row],[Usable_fresh_kg]]*0.1</f>
        <v>24000</v>
      </c>
      <c r="F82" s="86">
        <f>Tableau5[[#This Row],[Dried_kg]]*C20</f>
        <v>480000000</v>
      </c>
      <c r="G82" s="104">
        <v>1350</v>
      </c>
      <c r="H82" s="86">
        <f>Tableau5[[#This Row],[Dried_kg]]*Tableau5[[#This Row],[Unit_cost_FCFA_per_kg]]</f>
        <v>32400000</v>
      </c>
      <c r="I82" s="86">
        <v>480</v>
      </c>
      <c r="J82" s="104">
        <v>600000</v>
      </c>
      <c r="K82" s="104">
        <v>300000</v>
      </c>
      <c r="L82" s="104">
        <f>Tableau5[[#This Row],[Cost_yearly_dried_mango_FCFA]]+Tableau5[[#This Row],[Export_price_FCFA]]</f>
        <v>512400000</v>
      </c>
      <c r="M82" s="104">
        <f>Tableau5[[#This Row],[Cost_yearly_dried_mango_FCFA]]-Tableau5[[#This Row],[Energy_cost_FCFA]]-Tableau5[[#This Row],[Maintenance]]</f>
        <v>31500000</v>
      </c>
      <c r="N82" s="86">
        <v>4.12</v>
      </c>
      <c r="O82" s="87">
        <v>15</v>
      </c>
      <c r="P82" s="21"/>
      <c r="Q82" s="21"/>
      <c r="R82" s="21"/>
      <c r="S82" s="21"/>
      <c r="T82" s="21"/>
      <c r="U82" s="21"/>
      <c r="V82" s="21"/>
      <c r="W82" s="21"/>
      <c r="X82" s="21"/>
      <c r="Y82" s="21"/>
    </row>
    <row r="83" spans="2:25">
      <c r="B83" s="85">
        <v>30</v>
      </c>
      <c r="C83" s="86">
        <v>4</v>
      </c>
      <c r="D83" s="104">
        <f>Tableau5[[#This Row],[Scenario_ha]]*D51</f>
        <v>240000</v>
      </c>
      <c r="E83" s="104">
        <f>Tableau5[[#This Row],[Usable_fresh_kg]]*0.1</f>
        <v>24000</v>
      </c>
      <c r="F83" s="86">
        <f>Tableau5[[#This Row],[Dried_kg]]*C20</f>
        <v>480000000</v>
      </c>
      <c r="G83" s="104">
        <v>1350</v>
      </c>
      <c r="H83" s="86">
        <f>Tableau5[[#This Row],[Dried_kg]]*Tableau5[[#This Row],[Unit_cost_FCFA_per_kg]]</f>
        <v>32400000</v>
      </c>
      <c r="I83" s="86">
        <v>480</v>
      </c>
      <c r="J83" s="104">
        <v>600000</v>
      </c>
      <c r="K83" s="104">
        <v>300000</v>
      </c>
      <c r="L83" s="104">
        <f>Tableau5[[#This Row],[Cost_yearly_dried_mango_FCFA]]+Tableau5[[#This Row],[Export_price_FCFA]]</f>
        <v>512400000</v>
      </c>
      <c r="M83" s="104">
        <f>Tableau5[[#This Row],[Cost_yearly_dried_mango_FCFA]]-Tableau5[[#This Row],[Energy_cost_FCFA]]-Tableau5[[#This Row],[Maintenance]]</f>
        <v>31500000</v>
      </c>
      <c r="N83" s="86">
        <v>4.18</v>
      </c>
      <c r="O83" s="87">
        <v>15</v>
      </c>
      <c r="P83" s="21"/>
      <c r="Q83" s="21"/>
      <c r="R83" s="21"/>
      <c r="S83" s="21"/>
      <c r="T83" s="21"/>
      <c r="U83" s="21"/>
      <c r="V83" s="21"/>
      <c r="W83" s="21"/>
      <c r="X83" s="21"/>
      <c r="Y83" s="21"/>
    </row>
    <row r="84" spans="2:25">
      <c r="B84" s="85">
        <v>30</v>
      </c>
      <c r="C84" s="86">
        <v>5</v>
      </c>
      <c r="D84" s="104">
        <f>Tableau5[[#This Row],[Scenario_ha]]*D52</f>
        <v>240000</v>
      </c>
      <c r="E84" s="104">
        <f>Tableau5[[#This Row],[Usable_fresh_kg]]*0.1</f>
        <v>24000</v>
      </c>
      <c r="F84" s="86">
        <f>Tableau5[[#This Row],[Dried_kg]]*C20</f>
        <v>480000000</v>
      </c>
      <c r="G84" s="104">
        <v>1350</v>
      </c>
      <c r="H84" s="86">
        <f>Tableau5[[#This Row],[Dried_kg]]*Tableau5[[#This Row],[Unit_cost_FCFA_per_kg]]</f>
        <v>32400000</v>
      </c>
      <c r="I84" s="86">
        <v>480</v>
      </c>
      <c r="J84" s="104">
        <v>600000</v>
      </c>
      <c r="K84" s="104">
        <v>300000</v>
      </c>
      <c r="L84" s="104">
        <f>Tableau5[[#This Row],[Cost_yearly_dried_mango_FCFA]]+Tableau5[[#This Row],[Export_price_FCFA]]</f>
        <v>512400000</v>
      </c>
      <c r="M84" s="104">
        <f>Tableau5[[#This Row],[Cost_yearly_dried_mango_FCFA]]-Tableau5[[#This Row],[Energy_cost_FCFA]]-Tableau5[[#This Row],[Maintenance]]</f>
        <v>31500000</v>
      </c>
      <c r="N84" s="86">
        <v>4.2300000000000004</v>
      </c>
      <c r="O84" s="87">
        <v>15</v>
      </c>
      <c r="P84" s="21"/>
      <c r="Q84" s="21"/>
      <c r="R84" s="21"/>
      <c r="S84" s="21"/>
      <c r="T84" s="21"/>
      <c r="U84" s="21"/>
      <c r="V84" s="21"/>
      <c r="W84" s="21"/>
      <c r="X84" s="21"/>
      <c r="Y84" s="21"/>
    </row>
    <row r="85" spans="2:25">
      <c r="B85" s="85">
        <v>30</v>
      </c>
      <c r="C85" s="86">
        <v>6</v>
      </c>
      <c r="D85" s="104">
        <f>Tableau5[[#This Row],[Scenario_ha]]*D53</f>
        <v>240000</v>
      </c>
      <c r="E85" s="104">
        <f>Tableau5[[#This Row],[Usable_fresh_kg]]*0.1</f>
        <v>24000</v>
      </c>
      <c r="F85" s="86">
        <f>Tableau5[[#This Row],[Dried_kg]]*C20</f>
        <v>480000000</v>
      </c>
      <c r="G85" s="104">
        <v>1350</v>
      </c>
      <c r="H85" s="86">
        <f>Tableau5[[#This Row],[Dried_kg]]*Tableau5[[#This Row],[Unit_cost_FCFA_per_kg]]</f>
        <v>32400000</v>
      </c>
      <c r="I85" s="86">
        <v>480</v>
      </c>
      <c r="J85" s="104">
        <v>600000</v>
      </c>
      <c r="K85" s="104">
        <v>300000</v>
      </c>
      <c r="L85" s="104">
        <f>Tableau5[[#This Row],[Cost_yearly_dried_mango_FCFA]]+Tableau5[[#This Row],[Export_price_FCFA]]</f>
        <v>512400000</v>
      </c>
      <c r="M85" s="104">
        <f>Tableau5[[#This Row],[Cost_yearly_dried_mango_FCFA]]-Tableau5[[#This Row],[Energy_cost_FCFA]]-Tableau5[[#This Row],[Maintenance]]</f>
        <v>31500000</v>
      </c>
      <c r="N85" s="86">
        <v>4.29</v>
      </c>
      <c r="O85" s="87">
        <v>15</v>
      </c>
      <c r="P85" s="21"/>
      <c r="Q85" s="21"/>
      <c r="R85" s="21"/>
      <c r="S85" s="21"/>
      <c r="T85" s="21"/>
      <c r="U85" s="21"/>
      <c r="V85" s="21"/>
      <c r="W85" s="21"/>
      <c r="X85" s="21"/>
      <c r="Y85" s="21"/>
    </row>
    <row r="86" spans="2:25">
      <c r="B86" s="85">
        <v>30</v>
      </c>
      <c r="C86" s="86">
        <v>7</v>
      </c>
      <c r="D86" s="104">
        <f>Tableau5[[#This Row],[Scenario_ha]]*D54</f>
        <v>240000</v>
      </c>
      <c r="E86" s="104">
        <f>Tableau5[[#This Row],[Usable_fresh_kg]]*0.1</f>
        <v>24000</v>
      </c>
      <c r="F86" s="86">
        <f>Tableau5[[#This Row],[Dried_kg]]*C20</f>
        <v>480000000</v>
      </c>
      <c r="G86" s="104">
        <v>1350</v>
      </c>
      <c r="H86" s="86">
        <f>Tableau5[[#This Row],[Dried_kg]]*Tableau5[[#This Row],[Unit_cost_FCFA_per_kg]]</f>
        <v>32400000</v>
      </c>
      <c r="I86" s="86">
        <v>480</v>
      </c>
      <c r="J86" s="104">
        <v>600000</v>
      </c>
      <c r="K86" s="104">
        <v>300000</v>
      </c>
      <c r="L86" s="104">
        <f>Tableau5[[#This Row],[Cost_yearly_dried_mango_FCFA]]+Tableau5[[#This Row],[Export_price_FCFA]]</f>
        <v>512400000</v>
      </c>
      <c r="M86" s="104">
        <f>Tableau5[[#This Row],[Cost_yearly_dried_mango_FCFA]]-Tableau5[[#This Row],[Energy_cost_FCFA]]-Tableau5[[#This Row],[Maintenance]]</f>
        <v>31500000</v>
      </c>
      <c r="N86" s="86">
        <v>4.3499999999999996</v>
      </c>
      <c r="O86" s="87">
        <v>15</v>
      </c>
      <c r="P86" s="21"/>
      <c r="Q86" s="21"/>
      <c r="R86" s="21"/>
      <c r="S86" s="21"/>
      <c r="T86" s="21"/>
      <c r="U86" s="21"/>
      <c r="V86" s="21"/>
      <c r="W86" s="21"/>
      <c r="X86" s="21"/>
      <c r="Y86" s="21"/>
    </row>
    <row r="87" spans="2:25">
      <c r="B87" s="85">
        <v>30</v>
      </c>
      <c r="C87" s="86">
        <v>8</v>
      </c>
      <c r="D87" s="104">
        <f>Tableau5[[#This Row],[Scenario_ha]]*D55</f>
        <v>240000</v>
      </c>
      <c r="E87" s="104">
        <f>Tableau5[[#This Row],[Usable_fresh_kg]]*0.1</f>
        <v>24000</v>
      </c>
      <c r="F87" s="86">
        <f>Tableau5[[#This Row],[Dried_kg]]*C20</f>
        <v>480000000</v>
      </c>
      <c r="G87" s="104">
        <v>1350</v>
      </c>
      <c r="H87" s="86">
        <f>Tableau5[[#This Row],[Dried_kg]]*Tableau5[[#This Row],[Unit_cost_FCFA_per_kg]]</f>
        <v>32400000</v>
      </c>
      <c r="I87" s="86">
        <v>480</v>
      </c>
      <c r="J87" s="104">
        <v>600000</v>
      </c>
      <c r="K87" s="104">
        <v>300000</v>
      </c>
      <c r="L87" s="104">
        <f>Tableau5[[#This Row],[Cost_yearly_dried_mango_FCFA]]+Tableau5[[#This Row],[Export_price_FCFA]]</f>
        <v>512400000</v>
      </c>
      <c r="M87" s="104">
        <f>Tableau5[[#This Row],[Cost_yearly_dried_mango_FCFA]]-Tableau5[[#This Row],[Energy_cost_FCFA]]-Tableau5[[#This Row],[Maintenance]]</f>
        <v>31500000</v>
      </c>
      <c r="N87" s="86">
        <v>4.41</v>
      </c>
      <c r="O87" s="87">
        <v>15</v>
      </c>
      <c r="P87" s="21"/>
      <c r="Q87" s="21"/>
      <c r="R87" s="21"/>
      <c r="S87" s="21"/>
      <c r="T87" s="21"/>
      <c r="U87" s="21"/>
      <c r="V87" s="21"/>
      <c r="W87" s="21"/>
      <c r="X87" s="21"/>
      <c r="Y87" s="21"/>
    </row>
    <row r="88" spans="2:25">
      <c r="B88" s="85">
        <v>30</v>
      </c>
      <c r="C88" s="86">
        <v>9</v>
      </c>
      <c r="D88" s="104">
        <f>Tableau5[[#This Row],[Scenario_ha]]*D56</f>
        <v>240000</v>
      </c>
      <c r="E88" s="104">
        <f>Tableau5[[#This Row],[Usable_fresh_kg]]*0.1</f>
        <v>24000</v>
      </c>
      <c r="F88" s="86">
        <f>Tableau5[[#This Row],[Dried_kg]]*C20</f>
        <v>480000000</v>
      </c>
      <c r="G88" s="104">
        <v>1350</v>
      </c>
      <c r="H88" s="86">
        <f>Tableau5[[#This Row],[Dried_kg]]*Tableau5[[#This Row],[Unit_cost_FCFA_per_kg]]</f>
        <v>32400000</v>
      </c>
      <c r="I88" s="86">
        <v>480</v>
      </c>
      <c r="J88" s="104">
        <v>600000</v>
      </c>
      <c r="K88" s="104">
        <v>300000</v>
      </c>
      <c r="L88" s="104">
        <f>Tableau5[[#This Row],[Cost_yearly_dried_mango_FCFA]]+Tableau5[[#This Row],[Export_price_FCFA]]</f>
        <v>512400000</v>
      </c>
      <c r="M88" s="104">
        <f>Tableau5[[#This Row],[Cost_yearly_dried_mango_FCFA]]-Tableau5[[#This Row],[Energy_cost_FCFA]]-Tableau5[[#This Row],[Maintenance]]</f>
        <v>31500000</v>
      </c>
      <c r="N88" s="86">
        <v>4.47</v>
      </c>
      <c r="O88" s="87">
        <v>15</v>
      </c>
      <c r="P88" s="21"/>
      <c r="Q88" s="21"/>
      <c r="R88" s="21"/>
      <c r="S88" s="21"/>
      <c r="T88" s="21"/>
      <c r="U88" s="21"/>
      <c r="V88" s="21"/>
      <c r="W88" s="21"/>
      <c r="X88" s="21"/>
      <c r="Y88" s="21"/>
    </row>
    <row r="89" spans="2:25">
      <c r="B89" s="88">
        <v>30</v>
      </c>
      <c r="C89" s="89">
        <v>10</v>
      </c>
      <c r="D89" s="104">
        <f>Tableau5[[#This Row],[Scenario_ha]]*D57</f>
        <v>240000</v>
      </c>
      <c r="E89" s="104">
        <f>Tableau5[[#This Row],[Usable_fresh_kg]]*0.1</f>
        <v>24000</v>
      </c>
      <c r="F89" s="89">
        <f>Tableau5[[#This Row],[Dried_kg]]*C20</f>
        <v>480000000</v>
      </c>
      <c r="G89" s="104">
        <v>1350</v>
      </c>
      <c r="H89" s="86">
        <f>Tableau5[[#This Row],[Dried_kg]]*Tableau5[[#This Row],[Unit_cost_FCFA_per_kg]]</f>
        <v>32400000</v>
      </c>
      <c r="I89" s="89">
        <v>480</v>
      </c>
      <c r="J89" s="104">
        <v>600000</v>
      </c>
      <c r="K89" s="104">
        <v>300000</v>
      </c>
      <c r="L89" s="104">
        <f>Tableau5[[#This Row],[Cost_yearly_dried_mango_FCFA]]+Tableau5[[#This Row],[Export_price_FCFA]]</f>
        <v>512400000</v>
      </c>
      <c r="M89" s="104">
        <f>Tableau5[[#This Row],[Cost_yearly_dried_mango_FCFA]]-Tableau5[[#This Row],[Energy_cost_FCFA]]-Tableau5[[#This Row],[Maintenance]]</f>
        <v>31500000</v>
      </c>
      <c r="N89" s="89">
        <v>4.53</v>
      </c>
      <c r="O89" s="90">
        <v>15</v>
      </c>
      <c r="P89" s="21"/>
      <c r="Q89" s="21"/>
      <c r="R89" s="21"/>
      <c r="S89" s="21"/>
      <c r="T89" s="21"/>
      <c r="U89" s="21"/>
      <c r="V89" s="21"/>
      <c r="W89" s="21"/>
      <c r="X89" s="21"/>
      <c r="Y89" s="21"/>
    </row>
    <row r="90" spans="2:25">
      <c r="P90" s="21"/>
      <c r="Q90" s="21"/>
      <c r="R90" s="21"/>
      <c r="S90" s="21"/>
      <c r="T90" s="21"/>
      <c r="U90" s="21"/>
      <c r="V90" s="21"/>
      <c r="W90" s="21"/>
      <c r="X90" s="21"/>
      <c r="Y90" s="21"/>
    </row>
    <row r="91" spans="2:25">
      <c r="P91" s="21"/>
      <c r="Q91" s="21"/>
      <c r="R91" s="21"/>
      <c r="S91" s="21"/>
      <c r="T91" s="21"/>
      <c r="U91" s="21"/>
      <c r="V91" s="21"/>
      <c r="W91" s="21"/>
      <c r="X91" s="21"/>
      <c r="Y91" s="21"/>
    </row>
    <row r="92" spans="2:25">
      <c r="P92" s="21"/>
      <c r="Q92" s="21"/>
      <c r="R92" s="21"/>
      <c r="S92" s="21"/>
      <c r="T92" s="21"/>
      <c r="U92" s="21"/>
      <c r="V92" s="21"/>
      <c r="W92" s="21"/>
      <c r="X92" s="21"/>
      <c r="Y92" s="21"/>
    </row>
    <row r="93" spans="2:25">
      <c r="P93" s="21"/>
      <c r="Q93" s="21"/>
      <c r="R93" s="21"/>
      <c r="S93" s="21"/>
      <c r="T93" s="21"/>
      <c r="U93" s="21"/>
      <c r="V93" s="21"/>
      <c r="W93" s="21"/>
      <c r="X93" s="21"/>
      <c r="Y93" s="21"/>
    </row>
    <row r="94" spans="2:25">
      <c r="P94" s="21"/>
      <c r="Q94" s="21"/>
      <c r="R94" s="21"/>
      <c r="S94" s="21"/>
      <c r="T94" s="21"/>
      <c r="U94" s="21"/>
      <c r="V94" s="21"/>
      <c r="W94" s="21"/>
      <c r="X94" s="21"/>
      <c r="Y94" s="21"/>
    </row>
    <row r="95" spans="2:25">
      <c r="P95" s="21"/>
      <c r="Q95" s="21"/>
      <c r="R95" s="21"/>
      <c r="S95" s="21"/>
      <c r="T95" s="21"/>
      <c r="U95" s="21"/>
      <c r="V95" s="21"/>
      <c r="W95" s="21"/>
      <c r="X95" s="21"/>
      <c r="Y95" s="21"/>
    </row>
    <row r="96" spans="2:25">
      <c r="P96" s="21"/>
      <c r="Q96" s="21"/>
      <c r="R96" s="21"/>
      <c r="S96" s="21"/>
      <c r="T96" s="21"/>
      <c r="U96" s="21"/>
      <c r="V96" s="21"/>
      <c r="W96" s="21"/>
      <c r="X96" s="21"/>
      <c r="Y96" s="21"/>
    </row>
    <row r="97" spans="2:25" ht="30.75" customHeight="1">
      <c r="P97" s="157"/>
      <c r="Q97" s="21"/>
      <c r="R97" s="21"/>
      <c r="S97" s="21"/>
      <c r="T97" s="21"/>
      <c r="U97" s="21"/>
      <c r="V97" s="21"/>
      <c r="W97" s="21"/>
      <c r="X97" s="21"/>
      <c r="Y97" s="21"/>
    </row>
    <row r="98" spans="2:25" ht="30">
      <c r="P98" s="21"/>
      <c r="Q98" s="157"/>
      <c r="R98" s="157"/>
      <c r="S98" s="157"/>
      <c r="T98" s="157"/>
      <c r="U98" s="157"/>
      <c r="V98" s="157"/>
      <c r="W98" s="157"/>
      <c r="X98" s="157"/>
      <c r="Y98" s="157"/>
    </row>
    <row r="99" spans="2:25">
      <c r="Q99" s="21"/>
      <c r="R99" s="21"/>
      <c r="S99" s="21"/>
      <c r="T99" s="21"/>
      <c r="U99" s="21"/>
      <c r="V99" s="21"/>
      <c r="W99" s="21"/>
      <c r="X99" s="21"/>
      <c r="Y99" s="21"/>
    </row>
    <row r="100" spans="2:25" ht="30">
      <c r="B100" s="84" t="s">
        <v>653</v>
      </c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Q100" s="21"/>
      <c r="R100" s="21"/>
      <c r="S100" s="21"/>
      <c r="T100" s="21"/>
      <c r="U100" s="21"/>
      <c r="V100" s="21"/>
      <c r="W100" s="21"/>
      <c r="X100" s="21"/>
      <c r="Y100" s="21"/>
    </row>
    <row r="101" spans="2:25">
      <c r="B101" s="96" t="s">
        <v>629</v>
      </c>
      <c r="C101" s="97" t="s">
        <v>630</v>
      </c>
      <c r="D101" s="97" t="s">
        <v>631</v>
      </c>
      <c r="E101" s="97" t="s">
        <v>632</v>
      </c>
      <c r="F101" s="97" t="s">
        <v>633</v>
      </c>
      <c r="G101" s="97" t="s">
        <v>634</v>
      </c>
      <c r="H101" s="97" t="s">
        <v>635</v>
      </c>
      <c r="I101" s="97" t="s">
        <v>636</v>
      </c>
      <c r="J101" s="97" t="s">
        <v>637</v>
      </c>
      <c r="K101" s="97" t="s">
        <v>651</v>
      </c>
      <c r="L101" s="97" t="s">
        <v>639</v>
      </c>
      <c r="M101" s="97" t="s">
        <v>640</v>
      </c>
      <c r="N101" s="97" t="s">
        <v>641</v>
      </c>
      <c r="O101" s="98" t="s">
        <v>642</v>
      </c>
      <c r="Q101" s="21"/>
      <c r="R101" s="21"/>
      <c r="S101" s="21"/>
      <c r="T101" s="21"/>
      <c r="U101" s="21"/>
      <c r="V101" s="21"/>
      <c r="W101" s="21"/>
      <c r="X101" s="21"/>
      <c r="Y101" s="21"/>
    </row>
    <row r="102" spans="2:25">
      <c r="B102" s="85">
        <v>60</v>
      </c>
      <c r="C102" s="86">
        <v>1</v>
      </c>
      <c r="D102" s="86">
        <f>Tableau4[[#This Row],[Scenario_ha]]*D49</f>
        <v>480000</v>
      </c>
      <c r="E102" s="86">
        <f>Tableau4[[#This Row],[Usable_fresh_kg]]*0.1</f>
        <v>48000</v>
      </c>
      <c r="F102" s="86">
        <f>Tableau4[[#This Row],[Dried_kg]]*C20</f>
        <v>960000000</v>
      </c>
      <c r="G102" s="86">
        <v>1198</v>
      </c>
      <c r="H102" s="86">
        <f>Tableau4[[#This Row],[Dried_kg]]*Tableau4[[#This Row],[Unit_cost_FCFA_per_kg]]</f>
        <v>57504000</v>
      </c>
      <c r="I102" s="86">
        <v>960</v>
      </c>
      <c r="J102" s="86">
        <v>1000000</v>
      </c>
      <c r="K102" s="86">
        <v>600000</v>
      </c>
      <c r="L102" s="86">
        <f>Tableau4[[#This Row],[Cost_yearly_dried_mango_FCFA]]+Tableau4[[#This Row],[Export_price_FCFA]]</f>
        <v>1017504000</v>
      </c>
      <c r="M102" s="86">
        <f>Tableau4[[#This Row],[Cost_yearly_dried_mango_FCFA]]-Tableau4[[#This Row],[Energy_cost_FCFA]]-Tableau4[[#This Row],[Maintenance]]</f>
        <v>55904000</v>
      </c>
      <c r="N102" s="86">
        <v>3.79</v>
      </c>
      <c r="O102" s="87">
        <v>30</v>
      </c>
      <c r="Q102" s="21"/>
      <c r="R102" s="21"/>
      <c r="S102" s="21"/>
      <c r="T102" s="21"/>
      <c r="U102" s="21"/>
      <c r="V102" s="21"/>
      <c r="W102" s="21"/>
      <c r="X102" s="21"/>
      <c r="Y102" s="21"/>
    </row>
    <row r="103" spans="2:25">
      <c r="B103" s="85">
        <v>60</v>
      </c>
      <c r="C103" s="86">
        <v>2</v>
      </c>
      <c r="D103" s="86">
        <f>Tableau4[[#This Row],[Scenario_ha]]*D49</f>
        <v>480000</v>
      </c>
      <c r="E103" s="86">
        <f>Tableau4[[#This Row],[Usable_fresh_kg]]*0.1</f>
        <v>48000</v>
      </c>
      <c r="F103" s="86">
        <f>Tableau4[[#This Row],[Dried_kg]]*C20</f>
        <v>960000000</v>
      </c>
      <c r="G103" s="86">
        <v>1198</v>
      </c>
      <c r="H103" s="86">
        <f>Tableau4[[#This Row],[Dried_kg]]*Tableau4[[#This Row],[Unit_cost_FCFA_per_kg]]</f>
        <v>57504000</v>
      </c>
      <c r="I103" s="86">
        <v>960</v>
      </c>
      <c r="J103" s="86">
        <v>1000000</v>
      </c>
      <c r="K103" s="86">
        <v>600000</v>
      </c>
      <c r="L103" s="86">
        <f>Tableau4[[#This Row],[Cost_yearly_dried_mango_FCFA]]+Tableau4[[#This Row],[Export_price_FCFA]]</f>
        <v>1017504000</v>
      </c>
      <c r="M103" s="86">
        <f>Tableau4[[#This Row],[Cost_yearly_dried_mango_FCFA]]-Tableau4[[#This Row],[Energy_cost_FCFA]]-Tableau4[[#This Row],[Maintenance]]</f>
        <v>55904000</v>
      </c>
      <c r="N103" s="86">
        <v>3.84</v>
      </c>
      <c r="O103" s="87">
        <v>30</v>
      </c>
      <c r="Q103" s="21"/>
      <c r="R103" s="21"/>
      <c r="S103" s="21"/>
      <c r="T103" s="21"/>
      <c r="U103" s="21"/>
      <c r="V103" s="21"/>
      <c r="W103" s="21"/>
      <c r="X103" s="21"/>
      <c r="Y103" s="21"/>
    </row>
    <row r="104" spans="2:25">
      <c r="B104" s="85">
        <v>60</v>
      </c>
      <c r="C104" s="86">
        <v>3</v>
      </c>
      <c r="D104" s="86">
        <f>Tableau4[[#This Row],[Scenario_ha]]*D50</f>
        <v>480000</v>
      </c>
      <c r="E104" s="86">
        <f>Tableau4[[#This Row],[Usable_fresh_kg]]*0.1</f>
        <v>48000</v>
      </c>
      <c r="F104" s="86">
        <f>Tableau4[[#This Row],[Dried_kg]]*C20</f>
        <v>960000000</v>
      </c>
      <c r="G104" s="86">
        <v>1198</v>
      </c>
      <c r="H104" s="86">
        <f>Tableau4[[#This Row],[Dried_kg]]*Tableau4[[#This Row],[Unit_cost_FCFA_per_kg]]</f>
        <v>57504000</v>
      </c>
      <c r="I104" s="86">
        <v>960</v>
      </c>
      <c r="J104" s="86">
        <v>1000000</v>
      </c>
      <c r="K104" s="86">
        <v>600000</v>
      </c>
      <c r="L104" s="86">
        <f>Tableau4[[#This Row],[Cost_yearly_dried_mango_FCFA]]+Tableau4[[#This Row],[Export_price_FCFA]]</f>
        <v>1017504000</v>
      </c>
      <c r="M104" s="86">
        <f>Tableau4[[#This Row],[Cost_yearly_dried_mango_FCFA]]-Tableau4[[#This Row],[Energy_cost_FCFA]]-Tableau4[[#This Row],[Maintenance]]</f>
        <v>55904000</v>
      </c>
      <c r="N104" s="86">
        <v>3.9</v>
      </c>
      <c r="O104" s="87">
        <v>30</v>
      </c>
      <c r="Q104" s="21"/>
      <c r="R104" s="21"/>
      <c r="S104" s="21"/>
      <c r="T104" s="21"/>
      <c r="U104" s="21"/>
      <c r="V104" s="21"/>
      <c r="W104" s="21"/>
      <c r="X104" s="21"/>
      <c r="Y104" s="21"/>
    </row>
    <row r="105" spans="2:25">
      <c r="B105" s="85">
        <v>60</v>
      </c>
      <c r="C105" s="86">
        <v>4</v>
      </c>
      <c r="D105" s="86">
        <f>Tableau4[[#This Row],[Scenario_ha]]*D51</f>
        <v>480000</v>
      </c>
      <c r="E105" s="86">
        <f>Tableau4[[#This Row],[Usable_fresh_kg]]*0.1</f>
        <v>48000</v>
      </c>
      <c r="F105" s="86">
        <f>Tableau4[[#This Row],[Dried_kg]]*C20</f>
        <v>960000000</v>
      </c>
      <c r="G105" s="86">
        <v>1198</v>
      </c>
      <c r="H105" s="86">
        <f>Tableau4[[#This Row],[Dried_kg]]*Tableau4[[#This Row],[Unit_cost_FCFA_per_kg]]</f>
        <v>57504000</v>
      </c>
      <c r="I105" s="86">
        <v>960</v>
      </c>
      <c r="J105" s="86">
        <v>1000000</v>
      </c>
      <c r="K105" s="86">
        <v>600000</v>
      </c>
      <c r="L105" s="86">
        <f>Tableau4[[#This Row],[Cost_yearly_dried_mango_FCFA]]+Tableau4[[#This Row],[Export_price_FCFA]]</f>
        <v>1017504000</v>
      </c>
      <c r="M105" s="86">
        <f>Tableau4[[#This Row],[Cost_yearly_dried_mango_FCFA]]-Tableau4[[#This Row],[Energy_cost_FCFA]]-Tableau4[[#This Row],[Maintenance]]</f>
        <v>55904000</v>
      </c>
      <c r="N105" s="86">
        <v>3.95</v>
      </c>
      <c r="O105" s="87">
        <v>30</v>
      </c>
      <c r="Q105" s="21"/>
      <c r="R105" s="21"/>
      <c r="S105" s="21"/>
      <c r="T105" s="21"/>
      <c r="U105" s="21"/>
      <c r="V105" s="21"/>
      <c r="W105" s="21"/>
      <c r="X105" s="21"/>
      <c r="Y105" s="21"/>
    </row>
    <row r="106" spans="2:25">
      <c r="B106" s="85">
        <v>60</v>
      </c>
      <c r="C106" s="86">
        <v>5</v>
      </c>
      <c r="D106" s="86">
        <f>Tableau4[[#This Row],[Scenario_ha]]*D52</f>
        <v>480000</v>
      </c>
      <c r="E106" s="86">
        <f>Tableau4[[#This Row],[Usable_fresh_kg]]*0.1</f>
        <v>48000</v>
      </c>
      <c r="F106" s="86">
        <f>Tableau4[[#This Row],[Dried_kg]]*C20</f>
        <v>960000000</v>
      </c>
      <c r="G106" s="86">
        <v>1198</v>
      </c>
      <c r="H106" s="86">
        <f>Tableau4[[#This Row],[Dried_kg]]*Tableau4[[#This Row],[Unit_cost_FCFA_per_kg]]</f>
        <v>57504000</v>
      </c>
      <c r="I106" s="86">
        <v>960</v>
      </c>
      <c r="J106" s="86">
        <v>1000000</v>
      </c>
      <c r="K106" s="86">
        <v>600000</v>
      </c>
      <c r="L106" s="86">
        <f>Tableau4[[#This Row],[Cost_yearly_dried_mango_FCFA]]+Tableau4[[#This Row],[Export_price_FCFA]]</f>
        <v>1017504000</v>
      </c>
      <c r="M106" s="86">
        <f>Tableau4[[#This Row],[Cost_yearly_dried_mango_FCFA]]-Tableau4[[#This Row],[Energy_cost_FCFA]]-Tableau4[[#This Row],[Maintenance]]</f>
        <v>55904000</v>
      </c>
      <c r="N106" s="86">
        <v>4.01</v>
      </c>
      <c r="O106" s="87">
        <v>30</v>
      </c>
      <c r="Q106" s="21"/>
      <c r="R106" s="21"/>
      <c r="S106" s="21"/>
      <c r="T106" s="21"/>
      <c r="U106" s="21"/>
      <c r="V106" s="21"/>
      <c r="W106" s="21"/>
      <c r="X106" s="21"/>
      <c r="Y106" s="21"/>
    </row>
    <row r="107" spans="2:25">
      <c r="B107" s="85">
        <v>60</v>
      </c>
      <c r="C107" s="86">
        <v>6</v>
      </c>
      <c r="D107" s="86">
        <f>Tableau4[[#This Row],[Scenario_ha]]*D53</f>
        <v>480000</v>
      </c>
      <c r="E107" s="86">
        <f>Tableau4[[#This Row],[Usable_fresh_kg]]*0.1</f>
        <v>48000</v>
      </c>
      <c r="F107" s="86">
        <f>Tableau4[[#This Row],[Dried_kg]]*C20</f>
        <v>960000000</v>
      </c>
      <c r="G107" s="86">
        <v>1198</v>
      </c>
      <c r="H107" s="86">
        <f>Tableau4[[#This Row],[Dried_kg]]*Tableau4[[#This Row],[Unit_cost_FCFA_per_kg]]</f>
        <v>57504000</v>
      </c>
      <c r="I107" s="86">
        <v>960</v>
      </c>
      <c r="J107" s="86">
        <v>1000000</v>
      </c>
      <c r="K107" s="86">
        <v>600000</v>
      </c>
      <c r="L107" s="86">
        <f>Tableau4[[#This Row],[Cost_yearly_dried_mango_FCFA]]+Tableau4[[#This Row],[Export_price_FCFA]]</f>
        <v>1017504000</v>
      </c>
      <c r="M107" s="86">
        <f>Tableau4[[#This Row],[Cost_yearly_dried_mango_FCFA]]-Tableau4[[#This Row],[Energy_cost_FCFA]]-Tableau4[[#This Row],[Maintenance]]</f>
        <v>55904000</v>
      </c>
      <c r="N107" s="86">
        <v>4.0599999999999996</v>
      </c>
      <c r="O107" s="87">
        <v>30</v>
      </c>
      <c r="Q107" s="21"/>
      <c r="R107" s="21"/>
      <c r="S107" s="21"/>
      <c r="T107" s="21"/>
      <c r="U107" s="21"/>
      <c r="V107" s="21"/>
      <c r="W107" s="21"/>
      <c r="X107" s="21"/>
      <c r="Y107" s="21"/>
    </row>
    <row r="108" spans="2:25">
      <c r="B108" s="85">
        <v>60</v>
      </c>
      <c r="C108" s="86">
        <v>7</v>
      </c>
      <c r="D108" s="86">
        <f>Tableau4[[#This Row],[Scenario_ha]]*D54</f>
        <v>480000</v>
      </c>
      <c r="E108" s="86">
        <f>Tableau4[[#This Row],[Usable_fresh_kg]]*0.1</f>
        <v>48000</v>
      </c>
      <c r="F108" s="86">
        <f>Tableau4[[#This Row],[Dried_kg]]*C20</f>
        <v>960000000</v>
      </c>
      <c r="G108" s="86">
        <v>1198</v>
      </c>
      <c r="H108" s="86">
        <f>Tableau4[[#This Row],[Dried_kg]]*Tableau4[[#This Row],[Unit_cost_FCFA_per_kg]]</f>
        <v>57504000</v>
      </c>
      <c r="I108" s="86">
        <v>960</v>
      </c>
      <c r="J108" s="86">
        <v>1000000</v>
      </c>
      <c r="K108" s="86">
        <v>600000</v>
      </c>
      <c r="L108" s="86">
        <f>Tableau4[[#This Row],[Cost_yearly_dried_mango_FCFA]]+Tableau4[[#This Row],[Export_price_FCFA]]</f>
        <v>1017504000</v>
      </c>
      <c r="M108" s="86">
        <f>Tableau4[[#This Row],[Cost_yearly_dried_mango_FCFA]]-Tableau4[[#This Row],[Energy_cost_FCFA]]-Tableau4[[#This Row],[Maintenance]]</f>
        <v>55904000</v>
      </c>
      <c r="N108" s="86">
        <v>4.12</v>
      </c>
      <c r="O108" s="87">
        <v>30</v>
      </c>
      <c r="Q108" s="21"/>
      <c r="R108" s="21"/>
      <c r="S108" s="21"/>
      <c r="T108" s="21"/>
      <c r="U108" s="21"/>
      <c r="V108" s="21"/>
      <c r="W108" s="21"/>
      <c r="X108" s="21"/>
      <c r="Y108" s="21"/>
    </row>
    <row r="109" spans="2:25">
      <c r="B109" s="85">
        <v>60</v>
      </c>
      <c r="C109" s="86">
        <v>8</v>
      </c>
      <c r="D109" s="86">
        <f>Tableau4[[#This Row],[Scenario_ha]]*D55</f>
        <v>480000</v>
      </c>
      <c r="E109" s="86">
        <f>Tableau4[[#This Row],[Usable_fresh_kg]]*0.1</f>
        <v>48000</v>
      </c>
      <c r="F109" s="86">
        <f>Tableau4[[#This Row],[Dried_kg]]*C20</f>
        <v>960000000</v>
      </c>
      <c r="G109" s="86">
        <v>1198</v>
      </c>
      <c r="H109" s="86">
        <f>Tableau4[[#This Row],[Dried_kg]]*Tableau4[[#This Row],[Unit_cost_FCFA_per_kg]]</f>
        <v>57504000</v>
      </c>
      <c r="I109" s="86">
        <v>960</v>
      </c>
      <c r="J109" s="86">
        <v>1000000</v>
      </c>
      <c r="K109" s="86">
        <v>600000</v>
      </c>
      <c r="L109" s="86">
        <f>Tableau4[[#This Row],[Cost_yearly_dried_mango_FCFA]]+Tableau4[[#This Row],[Export_price_FCFA]]</f>
        <v>1017504000</v>
      </c>
      <c r="M109" s="86">
        <f>Tableau4[[#This Row],[Cost_yearly_dried_mango_FCFA]]-Tableau4[[#This Row],[Energy_cost_FCFA]]-Tableau4[[#This Row],[Maintenance]]</f>
        <v>55904000</v>
      </c>
      <c r="N109" s="86">
        <v>4.17</v>
      </c>
      <c r="O109" s="87">
        <v>30</v>
      </c>
    </row>
    <row r="110" spans="2:25">
      <c r="B110" s="85">
        <v>60</v>
      </c>
      <c r="C110" s="86">
        <v>9</v>
      </c>
      <c r="D110" s="86">
        <f>Tableau4[[#This Row],[Scenario_ha]]*D56</f>
        <v>480000</v>
      </c>
      <c r="E110" s="86">
        <f>Tableau4[[#This Row],[Usable_fresh_kg]]*0.1</f>
        <v>48000</v>
      </c>
      <c r="F110" s="86">
        <f>Tableau4[[#This Row],[Dried_kg]]*C20</f>
        <v>960000000</v>
      </c>
      <c r="G110" s="86">
        <v>1198</v>
      </c>
      <c r="H110" s="86">
        <f>Tableau4[[#This Row],[Dried_kg]]*Tableau4[[#This Row],[Unit_cost_FCFA_per_kg]]</f>
        <v>57504000</v>
      </c>
      <c r="I110" s="86">
        <v>960</v>
      </c>
      <c r="J110" s="86">
        <v>1000000</v>
      </c>
      <c r="K110" s="86">
        <v>600000</v>
      </c>
      <c r="L110" s="86">
        <f>Tableau4[[#This Row],[Cost_yearly_dried_mango_FCFA]]+Tableau4[[#This Row],[Export_price_FCFA]]</f>
        <v>1017504000</v>
      </c>
      <c r="M110" s="86">
        <f>Tableau4[[#This Row],[Cost_yearly_dried_mango_FCFA]]-Tableau4[[#This Row],[Energy_cost_FCFA]]-Tableau4[[#This Row],[Maintenance]]</f>
        <v>55904000</v>
      </c>
      <c r="N110" s="86">
        <v>4.2300000000000004</v>
      </c>
      <c r="O110" s="87">
        <v>30</v>
      </c>
    </row>
    <row r="111" spans="2:25">
      <c r="B111" s="88">
        <v>60</v>
      </c>
      <c r="C111" s="89">
        <v>10</v>
      </c>
      <c r="D111" s="86">
        <f>Tableau4[[#This Row],[Scenario_ha]]*D57</f>
        <v>480000</v>
      </c>
      <c r="E111" s="89">
        <f>Tableau4[[#This Row],[Usable_fresh_kg]]*0.1</f>
        <v>48000</v>
      </c>
      <c r="F111" s="86">
        <f>Tableau4[[#This Row],[Dried_kg]]*C20</f>
        <v>960000000</v>
      </c>
      <c r="G111" s="86">
        <v>1198</v>
      </c>
      <c r="H111" s="86">
        <f>Tableau4[[#This Row],[Dried_kg]]*Tableau4[[#This Row],[Unit_cost_FCFA_per_kg]]</f>
        <v>57504000</v>
      </c>
      <c r="I111" s="89">
        <v>960</v>
      </c>
      <c r="J111" s="86">
        <v>1000000</v>
      </c>
      <c r="K111" s="86">
        <v>600000</v>
      </c>
      <c r="L111" s="89">
        <f>Tableau4[[#This Row],[Cost_yearly_dried_mango_FCFA]]+Tableau4[[#This Row],[Export_price_FCFA]]</f>
        <v>1017504000</v>
      </c>
      <c r="M111" s="86">
        <f>Tableau4[[#This Row],[Cost_yearly_dried_mango_FCFA]]-Tableau4[[#This Row],[Energy_cost_FCFA]]-Tableau4[[#This Row],[Maintenance]]</f>
        <v>55904000</v>
      </c>
      <c r="N111" s="89">
        <v>4.29</v>
      </c>
      <c r="O111" s="90">
        <v>30</v>
      </c>
    </row>
    <row r="118" spans="2:15" ht="30">
      <c r="B118" s="136" t="s">
        <v>654</v>
      </c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>
      <c r="B119" s="91" t="s">
        <v>629</v>
      </c>
      <c r="C119" s="92" t="s">
        <v>630</v>
      </c>
      <c r="D119" s="92" t="s">
        <v>631</v>
      </c>
      <c r="E119" s="92" t="s">
        <v>632</v>
      </c>
      <c r="F119" s="92" t="s">
        <v>633</v>
      </c>
      <c r="G119" s="92" t="s">
        <v>634</v>
      </c>
      <c r="H119" s="92" t="s">
        <v>635</v>
      </c>
      <c r="I119" s="92" t="s">
        <v>636</v>
      </c>
      <c r="J119" s="92" t="s">
        <v>637</v>
      </c>
      <c r="K119" s="92" t="s">
        <v>638</v>
      </c>
      <c r="L119" s="92" t="s">
        <v>639</v>
      </c>
      <c r="M119" s="92" t="s">
        <v>640</v>
      </c>
      <c r="N119" s="93" t="s">
        <v>641</v>
      </c>
      <c r="O119" s="169" t="s">
        <v>642</v>
      </c>
    </row>
    <row r="120" spans="2:15">
      <c r="B120" s="85">
        <v>2</v>
      </c>
      <c r="C120" s="86">
        <v>1</v>
      </c>
      <c r="D120" s="86">
        <f>Tableau210[[#This Row],[Scenario_ha]]*D49</f>
        <v>16000</v>
      </c>
      <c r="E120" s="86">
        <f>Tableau210[[#This Row],[Usable_fresh_kg]]*0.1</f>
        <v>1600</v>
      </c>
      <c r="F120" s="86">
        <f>Tableau210[[#This Row],[Dried_kg]]*C20</f>
        <v>32000000</v>
      </c>
      <c r="G120" s="86">
        <v>1820</v>
      </c>
      <c r="H120" s="86">
        <f>Tableau210[[#This Row],[Unit_cost_FCFA_per_kg]]*Tableau210[[#This Row],[Dried_kg]]</f>
        <v>2912000</v>
      </c>
      <c r="I120" s="86">
        <v>16</v>
      </c>
      <c r="J120" s="86">
        <v>90000</v>
      </c>
      <c r="K120" s="86">
        <v>30000</v>
      </c>
      <c r="L120" s="86">
        <f>Tableau210[[#This Row],[Cost_yearly_dried_mango_FCFA]]+Tableau210[[#This Row],[Export_price_FCFA]]</f>
        <v>34912000</v>
      </c>
      <c r="M120" s="86">
        <f>Tableau210[[#This Row],[Cost_yearly_dried_mango_FCFA]]-Tableau210[[#This Row],[Energy_cost_FCFA]]-Tableau210[[#This Row],[Maintenance_FCFA]]</f>
        <v>2792000</v>
      </c>
      <c r="N120" s="87">
        <v>4.6100000000000003</v>
      </c>
      <c r="O120" s="87">
        <v>2</v>
      </c>
    </row>
    <row r="121" spans="2:15">
      <c r="B121" s="85">
        <v>2</v>
      </c>
      <c r="C121" s="86">
        <v>2</v>
      </c>
      <c r="D121" s="86">
        <f>Tableau210[[#This Row],[Scenario_ha]]*D49</f>
        <v>16000</v>
      </c>
      <c r="E121" s="86">
        <f>Tableau210[[#This Row],[Usable_fresh_kg]]*0.1</f>
        <v>1600</v>
      </c>
      <c r="F121" s="86">
        <f>Tableau210[[#This Row],[Dried_kg]]*C20</f>
        <v>32000000</v>
      </c>
      <c r="G121" s="86">
        <v>1820</v>
      </c>
      <c r="H121" s="86">
        <f>Tableau210[[#This Row],[Unit_cost_FCFA_per_kg]]*Tableau210[[#This Row],[Dried_kg]]</f>
        <v>2912000</v>
      </c>
      <c r="I121" s="86">
        <v>16</v>
      </c>
      <c r="J121" s="86">
        <v>90000</v>
      </c>
      <c r="K121" s="86">
        <v>30000</v>
      </c>
      <c r="L121" s="86">
        <f>Tableau210[[#This Row],[Cost_yearly_dried_mango_FCFA]]+Tableau210[[#This Row],[Export_price_FCFA]]</f>
        <v>34912000</v>
      </c>
      <c r="M121" s="86">
        <f>Tableau210[[#This Row],[Cost_yearly_dried_mango_FCFA]]-Tableau210[[#This Row],[Energy_cost_FCFA]]-Tableau210[[#This Row],[Maintenance_FCFA]]</f>
        <v>2792000</v>
      </c>
      <c r="N121" s="87">
        <v>4.67</v>
      </c>
      <c r="O121" s="87">
        <v>2</v>
      </c>
    </row>
    <row r="122" spans="2:15">
      <c r="B122" s="85">
        <v>2</v>
      </c>
      <c r="C122" s="86">
        <v>3</v>
      </c>
      <c r="D122" s="86">
        <f>Tableau210[[#This Row],[Scenario_ha]]*D50</f>
        <v>16000</v>
      </c>
      <c r="E122" s="86">
        <f>Tableau210[[#This Row],[Usable_fresh_kg]]*0.1</f>
        <v>1600</v>
      </c>
      <c r="F122" s="86">
        <f>Tableau210[[#This Row],[Dried_kg]]*C20</f>
        <v>32000000</v>
      </c>
      <c r="G122" s="86">
        <v>1820</v>
      </c>
      <c r="H122" s="86">
        <f>Tableau210[[#This Row],[Unit_cost_FCFA_per_kg]]*Tableau210[[#This Row],[Dried_kg]]</f>
        <v>2912000</v>
      </c>
      <c r="I122" s="86">
        <v>16</v>
      </c>
      <c r="J122" s="86">
        <v>90000</v>
      </c>
      <c r="K122" s="86">
        <v>30000</v>
      </c>
      <c r="L122" s="86">
        <f>Tableau210[[#This Row],[Cost_yearly_dried_mango_FCFA]]+Tableau210[[#This Row],[Export_price_FCFA]]</f>
        <v>34912000</v>
      </c>
      <c r="M122" s="86">
        <f>Tableau210[[#This Row],[Cost_yearly_dried_mango_FCFA]]-Tableau210[[#This Row],[Energy_cost_FCFA]]-Tableau210[[#This Row],[Maintenance_FCFA]]</f>
        <v>2792000</v>
      </c>
      <c r="N122" s="86">
        <v>4.7300000000000004</v>
      </c>
      <c r="O122" s="87">
        <v>2</v>
      </c>
    </row>
    <row r="123" spans="2:15">
      <c r="B123" s="85">
        <v>2</v>
      </c>
      <c r="C123" s="86">
        <v>4</v>
      </c>
      <c r="D123" s="86">
        <f>Tableau210[[#This Row],[Scenario_ha]]*D51</f>
        <v>16000</v>
      </c>
      <c r="E123" s="86">
        <f>Tableau210[[#This Row],[Usable_fresh_kg]]*0.1</f>
        <v>1600</v>
      </c>
      <c r="F123" s="86">
        <f>Tableau210[[#This Row],[Dried_kg]]*C20</f>
        <v>32000000</v>
      </c>
      <c r="G123" s="86">
        <v>1820</v>
      </c>
      <c r="H123" s="86">
        <f>Tableau210[[#This Row],[Unit_cost_FCFA_per_kg]]*Tableau210[[#This Row],[Dried_kg]]</f>
        <v>2912000</v>
      </c>
      <c r="I123" s="86">
        <v>16</v>
      </c>
      <c r="J123" s="86">
        <v>90000</v>
      </c>
      <c r="K123" s="86">
        <v>30000</v>
      </c>
      <c r="L123" s="86">
        <f>Tableau210[[#This Row],[Cost_yearly_dried_mango_FCFA]]+Tableau210[[#This Row],[Export_price_FCFA]]</f>
        <v>34912000</v>
      </c>
      <c r="M123" s="86">
        <f>Tableau210[[#This Row],[Cost_yearly_dried_mango_FCFA]]-Tableau210[[#This Row],[Energy_cost_FCFA]]-Tableau210[[#This Row],[Maintenance_FCFA]]</f>
        <v>2792000</v>
      </c>
      <c r="N123" s="86">
        <v>4.79</v>
      </c>
      <c r="O123" s="87">
        <v>2</v>
      </c>
    </row>
    <row r="124" spans="2:15">
      <c r="B124" s="85">
        <v>2</v>
      </c>
      <c r="C124" s="86">
        <v>5</v>
      </c>
      <c r="D124" s="86">
        <f>Tableau210[[#This Row],[Scenario_ha]]*D52</f>
        <v>16000</v>
      </c>
      <c r="E124" s="86">
        <f>Tableau210[[#This Row],[Usable_fresh_kg]]*0.1</f>
        <v>1600</v>
      </c>
      <c r="F124" s="86">
        <f>Tableau210[[#This Row],[Dried_kg]]*C20</f>
        <v>32000000</v>
      </c>
      <c r="G124" s="86">
        <v>1820</v>
      </c>
      <c r="H124" s="86">
        <f>Tableau210[[#This Row],[Unit_cost_FCFA_per_kg]]*Tableau210[[#This Row],[Dried_kg]]</f>
        <v>2912000</v>
      </c>
      <c r="I124" s="86">
        <v>16</v>
      </c>
      <c r="J124" s="86">
        <v>90000</v>
      </c>
      <c r="K124" s="86">
        <v>30000</v>
      </c>
      <c r="L124" s="86">
        <f>Tableau210[[#This Row],[Cost_yearly_dried_mango_FCFA]]+Tableau210[[#This Row],[Export_price_FCFA]]</f>
        <v>34912000</v>
      </c>
      <c r="M124" s="86">
        <f>Tableau210[[#This Row],[Cost_yearly_dried_mango_FCFA]]-Tableau210[[#This Row],[Energy_cost_FCFA]]-Tableau210[[#This Row],[Maintenance_FCFA]]</f>
        <v>2792000</v>
      </c>
      <c r="N124" s="86">
        <v>4.8600000000000003</v>
      </c>
      <c r="O124" s="87">
        <v>2</v>
      </c>
    </row>
    <row r="125" spans="2:15">
      <c r="B125" s="85">
        <v>2</v>
      </c>
      <c r="C125" s="86">
        <v>6</v>
      </c>
      <c r="D125" s="86">
        <f>Tableau210[[#This Row],[Scenario_ha]]*D53</f>
        <v>16000</v>
      </c>
      <c r="E125" s="86">
        <f>Tableau210[[#This Row],[Usable_fresh_kg]]*0.1</f>
        <v>1600</v>
      </c>
      <c r="F125" s="86">
        <f>Tableau210[[#This Row],[Dried_kg]]*C20</f>
        <v>32000000</v>
      </c>
      <c r="G125" s="86">
        <v>1820</v>
      </c>
      <c r="H125" s="86">
        <f>Tableau210[[#This Row],[Unit_cost_FCFA_per_kg]]*Tableau210[[#This Row],[Dried_kg]]</f>
        <v>2912000</v>
      </c>
      <c r="I125" s="86">
        <v>16</v>
      </c>
      <c r="J125" s="86">
        <v>90000</v>
      </c>
      <c r="K125" s="86">
        <v>30000</v>
      </c>
      <c r="L125" s="86">
        <f>Tableau210[[#This Row],[Cost_yearly_dried_mango_FCFA]]+Tableau210[[#This Row],[Export_price_FCFA]]</f>
        <v>34912000</v>
      </c>
      <c r="M125" s="86">
        <f>Tableau210[[#This Row],[Cost_yearly_dried_mango_FCFA]]-Tableau210[[#This Row],[Energy_cost_FCFA]]-Tableau210[[#This Row],[Maintenance_FCFA]]</f>
        <v>2792000</v>
      </c>
      <c r="N125" s="86">
        <v>4.92</v>
      </c>
      <c r="O125" s="87">
        <v>2</v>
      </c>
    </row>
    <row r="126" spans="2:15">
      <c r="B126" s="85">
        <v>2</v>
      </c>
      <c r="C126" s="86">
        <v>7</v>
      </c>
      <c r="D126" s="86">
        <f>Tableau210[[#This Row],[Scenario_ha]]*D54</f>
        <v>16000</v>
      </c>
      <c r="E126" s="86">
        <f>Tableau210[[#This Row],[Usable_fresh_kg]]*0.1</f>
        <v>1600</v>
      </c>
      <c r="F126" s="86">
        <f>Tableau210[[#This Row],[Dried_kg]]*C20</f>
        <v>32000000</v>
      </c>
      <c r="G126" s="86">
        <v>1820</v>
      </c>
      <c r="H126" s="86">
        <f>Tableau210[[#This Row],[Unit_cost_FCFA_per_kg]]*Tableau210[[#This Row],[Dried_kg]]</f>
        <v>2912000</v>
      </c>
      <c r="I126" s="86">
        <v>16</v>
      </c>
      <c r="J126" s="86">
        <v>90000</v>
      </c>
      <c r="K126" s="86">
        <v>30000</v>
      </c>
      <c r="L126" s="86">
        <f>Tableau210[[#This Row],[Cost_yearly_dried_mango_FCFA]]+Tableau210[[#This Row],[Export_price_FCFA]]</f>
        <v>34912000</v>
      </c>
      <c r="M126" s="86">
        <f>Tableau210[[#This Row],[Cost_yearly_dried_mango_FCFA]]-Tableau210[[#This Row],[Energy_cost_FCFA]]-Tableau210[[#This Row],[Maintenance_FCFA]]</f>
        <v>2792000</v>
      </c>
      <c r="N126" s="86">
        <v>4.9800000000000004</v>
      </c>
      <c r="O126" s="87">
        <v>2</v>
      </c>
    </row>
    <row r="127" spans="2:15">
      <c r="B127" s="85">
        <v>2</v>
      </c>
      <c r="C127" s="86">
        <v>8</v>
      </c>
      <c r="D127" s="86">
        <f>Tableau210[[#This Row],[Scenario_ha]]*D55</f>
        <v>16000</v>
      </c>
      <c r="E127" s="86">
        <f>Tableau210[[#This Row],[Usable_fresh_kg]]*0.1</f>
        <v>1600</v>
      </c>
      <c r="F127" s="86">
        <f>Tableau210[[#This Row],[Dried_kg]]*C20</f>
        <v>32000000</v>
      </c>
      <c r="G127" s="86">
        <v>1820</v>
      </c>
      <c r="H127" s="86">
        <f>Tableau210[[#This Row],[Unit_cost_FCFA_per_kg]]*Tableau210[[#This Row],[Dried_kg]]</f>
        <v>2912000</v>
      </c>
      <c r="I127" s="86">
        <v>16</v>
      </c>
      <c r="J127" s="86">
        <v>90000</v>
      </c>
      <c r="K127" s="86">
        <v>30000</v>
      </c>
      <c r="L127" s="86">
        <f>Tableau210[[#This Row],[Cost_yearly_dried_mango_FCFA]]+Tableau210[[#This Row],[Export_price_FCFA]]</f>
        <v>34912000</v>
      </c>
      <c r="M127" s="86">
        <f>Tableau210[[#This Row],[Cost_yearly_dried_mango_FCFA]]-Tableau210[[#This Row],[Energy_cost_FCFA]]-Tableau210[[#This Row],[Maintenance_FCFA]]</f>
        <v>2792000</v>
      </c>
      <c r="N127" s="86">
        <v>5.04</v>
      </c>
      <c r="O127" s="87">
        <v>2</v>
      </c>
    </row>
    <row r="128" spans="2:15">
      <c r="B128" s="85">
        <v>2</v>
      </c>
      <c r="C128" s="86">
        <v>9</v>
      </c>
      <c r="D128" s="86">
        <f>Tableau210[[#This Row],[Scenario_ha]]*D56</f>
        <v>16000</v>
      </c>
      <c r="E128" s="86">
        <f>Tableau210[[#This Row],[Usable_fresh_kg]]*0.1</f>
        <v>1600</v>
      </c>
      <c r="F128" s="86">
        <f>Tableau210[[#This Row],[Dried_kg]]*C20</f>
        <v>32000000</v>
      </c>
      <c r="G128" s="86">
        <v>1820</v>
      </c>
      <c r="H128" s="86">
        <f>Tableau210[[#This Row],[Unit_cost_FCFA_per_kg]]*Tableau210[[#This Row],[Dried_kg]]</f>
        <v>2912000</v>
      </c>
      <c r="I128" s="86">
        <v>16</v>
      </c>
      <c r="J128" s="86">
        <v>90000</v>
      </c>
      <c r="K128" s="86">
        <v>30000</v>
      </c>
      <c r="L128" s="86">
        <f>Tableau210[[#This Row],[Cost_yearly_dried_mango_FCFA]]+Tableau210[[#This Row],[Export_price_FCFA]]</f>
        <v>34912000</v>
      </c>
      <c r="M128" s="86">
        <f>Tableau210[[#This Row],[Cost_yearly_dried_mango_FCFA]]-Tableau210[[#This Row],[Energy_cost_FCFA]]-Tableau210[[#This Row],[Maintenance_FCFA]]</f>
        <v>2792000</v>
      </c>
      <c r="N128" s="86">
        <v>5.0999999999999996</v>
      </c>
      <c r="O128" s="87">
        <v>2</v>
      </c>
    </row>
    <row r="129" spans="2:15">
      <c r="B129" s="88">
        <v>2</v>
      </c>
      <c r="C129" s="89">
        <v>10</v>
      </c>
      <c r="D129" s="86">
        <f>Tableau210[[#This Row],[Scenario_ha]]*D57</f>
        <v>16000</v>
      </c>
      <c r="E129" s="86">
        <f>Tableau210[[#This Row],[Usable_fresh_kg]]*0.1</f>
        <v>1600</v>
      </c>
      <c r="F129" s="86">
        <f>Tableau210[[#This Row],[Dried_kg]]*C20</f>
        <v>32000000</v>
      </c>
      <c r="G129" s="86">
        <v>1820</v>
      </c>
      <c r="H129" s="86">
        <f>Tableau210[[#This Row],[Unit_cost_FCFA_per_kg]]*Tableau210[[#This Row],[Dried_kg]]</f>
        <v>2912000</v>
      </c>
      <c r="I129" s="89">
        <v>16</v>
      </c>
      <c r="J129" s="86">
        <v>90000</v>
      </c>
      <c r="K129" s="155">
        <v>30000</v>
      </c>
      <c r="L129" s="155">
        <f>Tableau210[[#This Row],[Cost_yearly_dried_mango_FCFA]]+Tableau210[[#This Row],[Export_price_FCFA]]</f>
        <v>34912000</v>
      </c>
      <c r="M129" s="86">
        <f>Tableau210[[#This Row],[Cost_yearly_dried_mango_FCFA]]-Tableau210[[#This Row],[Energy_cost_FCFA]]-Tableau210[[#This Row],[Maintenance_FCFA]]</f>
        <v>2792000</v>
      </c>
      <c r="N129" s="89">
        <v>5.17</v>
      </c>
      <c r="O129" s="87">
        <v>2</v>
      </c>
    </row>
    <row r="144" spans="2:15" ht="42.75" customHeight="1">
      <c r="B144" s="364" t="s">
        <v>655</v>
      </c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2:15" ht="15" customHeight="1"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2:15" ht="15" customHeight="1"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2:15" ht="30">
      <c r="B147" s="224" t="s">
        <v>628</v>
      </c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</row>
    <row r="148" spans="2:15">
      <c r="B148" s="220" t="s">
        <v>629</v>
      </c>
      <c r="C148" s="221" t="s">
        <v>630</v>
      </c>
      <c r="D148" s="221" t="s">
        <v>631</v>
      </c>
      <c r="E148" s="221" t="s">
        <v>632</v>
      </c>
      <c r="F148" s="221" t="s">
        <v>633</v>
      </c>
      <c r="G148" s="221" t="s">
        <v>634</v>
      </c>
      <c r="H148" s="221" t="s">
        <v>635</v>
      </c>
      <c r="I148" s="221" t="s">
        <v>636</v>
      </c>
      <c r="J148" s="221" t="s">
        <v>637</v>
      </c>
      <c r="K148" s="221" t="s">
        <v>638</v>
      </c>
      <c r="L148" s="221" t="s">
        <v>639</v>
      </c>
      <c r="M148" s="221" t="s">
        <v>640</v>
      </c>
      <c r="N148" s="221" t="s">
        <v>641</v>
      </c>
      <c r="O148" s="222" t="s">
        <v>642</v>
      </c>
    </row>
    <row r="149" spans="2:15">
      <c r="B149" s="215">
        <v>1</v>
      </c>
      <c r="C149" s="214">
        <v>1</v>
      </c>
      <c r="D149" s="214">
        <v>8000</v>
      </c>
      <c r="E149" s="214">
        <v>800</v>
      </c>
      <c r="F149" s="214" t="s">
        <v>656</v>
      </c>
      <c r="G149" s="214" t="s">
        <v>657</v>
      </c>
      <c r="H149" s="214" t="s">
        <v>658</v>
      </c>
      <c r="I149" s="214">
        <v>16</v>
      </c>
      <c r="J149" s="214" t="s">
        <v>659</v>
      </c>
      <c r="K149" s="214" t="s">
        <v>660</v>
      </c>
      <c r="L149" s="214" t="s">
        <v>661</v>
      </c>
      <c r="M149" s="214" t="s">
        <v>662</v>
      </c>
      <c r="N149" s="214">
        <v>4.6100000000000003</v>
      </c>
      <c r="O149" s="216">
        <v>1</v>
      </c>
    </row>
    <row r="150" spans="2:15">
      <c r="B150" s="215">
        <v>1</v>
      </c>
      <c r="C150" s="214">
        <v>2</v>
      </c>
      <c r="D150" s="214">
        <v>8000</v>
      </c>
      <c r="E150" s="214">
        <v>800</v>
      </c>
      <c r="F150" s="214" t="s">
        <v>656</v>
      </c>
      <c r="G150" s="214" t="s">
        <v>657</v>
      </c>
      <c r="H150" s="214" t="s">
        <v>658</v>
      </c>
      <c r="I150" s="214">
        <v>16</v>
      </c>
      <c r="J150" s="214" t="s">
        <v>659</v>
      </c>
      <c r="K150" s="214" t="s">
        <v>660</v>
      </c>
      <c r="L150" s="214" t="s">
        <v>661</v>
      </c>
      <c r="M150" s="214" t="s">
        <v>662</v>
      </c>
      <c r="N150" s="214">
        <v>4.67</v>
      </c>
      <c r="O150" s="216">
        <v>1</v>
      </c>
    </row>
    <row r="151" spans="2:15">
      <c r="B151" s="215">
        <v>1</v>
      </c>
      <c r="C151" s="214">
        <v>3</v>
      </c>
      <c r="D151" s="214">
        <v>8000</v>
      </c>
      <c r="E151" s="214">
        <v>800</v>
      </c>
      <c r="F151" s="214" t="s">
        <v>656</v>
      </c>
      <c r="G151" s="214" t="s">
        <v>657</v>
      </c>
      <c r="H151" s="214" t="s">
        <v>658</v>
      </c>
      <c r="I151" s="214">
        <v>16</v>
      </c>
      <c r="J151" s="214" t="s">
        <v>659</v>
      </c>
      <c r="K151" s="214" t="s">
        <v>660</v>
      </c>
      <c r="L151" s="214" t="s">
        <v>661</v>
      </c>
      <c r="M151" s="214" t="s">
        <v>662</v>
      </c>
      <c r="N151" s="214">
        <v>4.7300000000000004</v>
      </c>
      <c r="O151" s="216">
        <v>1</v>
      </c>
    </row>
    <row r="152" spans="2:15">
      <c r="B152" s="215">
        <v>1</v>
      </c>
      <c r="C152" s="214">
        <v>4</v>
      </c>
      <c r="D152" s="214">
        <v>8000</v>
      </c>
      <c r="E152" s="214">
        <v>800</v>
      </c>
      <c r="F152" s="214" t="s">
        <v>656</v>
      </c>
      <c r="G152" s="214" t="s">
        <v>657</v>
      </c>
      <c r="H152" s="214" t="s">
        <v>658</v>
      </c>
      <c r="I152" s="214">
        <v>16</v>
      </c>
      <c r="J152" s="214" t="s">
        <v>659</v>
      </c>
      <c r="K152" s="214" t="s">
        <v>660</v>
      </c>
      <c r="L152" s="214" t="s">
        <v>661</v>
      </c>
      <c r="M152" s="214" t="s">
        <v>662</v>
      </c>
      <c r="N152" s="214">
        <v>4.79</v>
      </c>
      <c r="O152" s="216">
        <v>1</v>
      </c>
    </row>
    <row r="153" spans="2:15">
      <c r="B153" s="215">
        <v>1</v>
      </c>
      <c r="C153" s="214">
        <v>5</v>
      </c>
      <c r="D153" s="214">
        <v>8000</v>
      </c>
      <c r="E153" s="214">
        <v>800</v>
      </c>
      <c r="F153" s="214" t="s">
        <v>656</v>
      </c>
      <c r="G153" s="214" t="s">
        <v>657</v>
      </c>
      <c r="H153" s="214" t="s">
        <v>658</v>
      </c>
      <c r="I153" s="214">
        <v>16</v>
      </c>
      <c r="J153" s="214" t="s">
        <v>659</v>
      </c>
      <c r="K153" s="214" t="s">
        <v>660</v>
      </c>
      <c r="L153" s="214" t="s">
        <v>661</v>
      </c>
      <c r="M153" s="214" t="s">
        <v>662</v>
      </c>
      <c r="N153" s="214">
        <v>4.8600000000000003</v>
      </c>
      <c r="O153" s="216">
        <v>1</v>
      </c>
    </row>
    <row r="154" spans="2:15">
      <c r="B154" s="215">
        <v>1</v>
      </c>
      <c r="C154" s="214">
        <v>6</v>
      </c>
      <c r="D154" s="214">
        <v>8000</v>
      </c>
      <c r="E154" s="214">
        <v>800</v>
      </c>
      <c r="F154" s="214" t="s">
        <v>656</v>
      </c>
      <c r="G154" s="214" t="s">
        <v>657</v>
      </c>
      <c r="H154" s="214" t="s">
        <v>658</v>
      </c>
      <c r="I154" s="214">
        <v>16</v>
      </c>
      <c r="J154" s="214" t="s">
        <v>659</v>
      </c>
      <c r="K154" s="214" t="s">
        <v>660</v>
      </c>
      <c r="L154" s="214" t="s">
        <v>661</v>
      </c>
      <c r="M154" s="214" t="s">
        <v>662</v>
      </c>
      <c r="N154" s="214">
        <v>4.92</v>
      </c>
      <c r="O154" s="216">
        <v>1</v>
      </c>
    </row>
    <row r="155" spans="2:15">
      <c r="B155" s="215">
        <v>1</v>
      </c>
      <c r="C155" s="214">
        <v>7</v>
      </c>
      <c r="D155" s="214">
        <v>8000</v>
      </c>
      <c r="E155" s="214">
        <v>800</v>
      </c>
      <c r="F155" s="214" t="s">
        <v>656</v>
      </c>
      <c r="G155" s="214" t="s">
        <v>657</v>
      </c>
      <c r="H155" s="214" t="s">
        <v>658</v>
      </c>
      <c r="I155" s="214">
        <v>16</v>
      </c>
      <c r="J155" s="214" t="s">
        <v>659</v>
      </c>
      <c r="K155" s="214" t="s">
        <v>660</v>
      </c>
      <c r="L155" s="214" t="s">
        <v>661</v>
      </c>
      <c r="M155" s="214" t="s">
        <v>662</v>
      </c>
      <c r="N155" s="214">
        <v>4.9800000000000004</v>
      </c>
      <c r="O155" s="216">
        <v>1</v>
      </c>
    </row>
    <row r="156" spans="2:15">
      <c r="B156" s="215">
        <v>1</v>
      </c>
      <c r="C156" s="214">
        <v>8</v>
      </c>
      <c r="D156" s="214">
        <v>8000</v>
      </c>
      <c r="E156" s="214">
        <v>800</v>
      </c>
      <c r="F156" s="214" t="s">
        <v>656</v>
      </c>
      <c r="G156" s="214" t="s">
        <v>657</v>
      </c>
      <c r="H156" s="214" t="s">
        <v>658</v>
      </c>
      <c r="I156" s="214">
        <v>16</v>
      </c>
      <c r="J156" s="214" t="s">
        <v>659</v>
      </c>
      <c r="K156" s="214" t="s">
        <v>660</v>
      </c>
      <c r="L156" s="214" t="s">
        <v>661</v>
      </c>
      <c r="M156" s="214" t="s">
        <v>662</v>
      </c>
      <c r="N156" s="214">
        <v>5.04</v>
      </c>
      <c r="O156" s="216">
        <v>1</v>
      </c>
    </row>
    <row r="157" spans="2:15">
      <c r="B157" s="215">
        <v>1</v>
      </c>
      <c r="C157" s="214">
        <v>9</v>
      </c>
      <c r="D157" s="214">
        <v>8000</v>
      </c>
      <c r="E157" s="214">
        <v>800</v>
      </c>
      <c r="F157" s="214" t="s">
        <v>656</v>
      </c>
      <c r="G157" s="214" t="s">
        <v>657</v>
      </c>
      <c r="H157" s="214" t="s">
        <v>658</v>
      </c>
      <c r="I157" s="214">
        <v>16</v>
      </c>
      <c r="J157" s="214" t="s">
        <v>659</v>
      </c>
      <c r="K157" s="214" t="s">
        <v>660</v>
      </c>
      <c r="L157" s="214" t="s">
        <v>661</v>
      </c>
      <c r="M157" s="214" t="s">
        <v>662</v>
      </c>
      <c r="N157" s="214">
        <v>5.0999999999999996</v>
      </c>
      <c r="O157" s="216">
        <v>1</v>
      </c>
    </row>
    <row r="158" spans="2:15">
      <c r="B158" s="217">
        <v>1</v>
      </c>
      <c r="C158" s="218">
        <v>10</v>
      </c>
      <c r="D158" s="218">
        <v>8000</v>
      </c>
      <c r="E158" s="218">
        <v>800</v>
      </c>
      <c r="F158" s="218" t="s">
        <v>656</v>
      </c>
      <c r="G158" s="218" t="s">
        <v>657</v>
      </c>
      <c r="H158" s="218" t="s">
        <v>658</v>
      </c>
      <c r="I158" s="218">
        <v>16</v>
      </c>
      <c r="J158" s="218" t="s">
        <v>659</v>
      </c>
      <c r="K158" s="218" t="s">
        <v>660</v>
      </c>
      <c r="L158" s="218" t="s">
        <v>661</v>
      </c>
      <c r="M158" s="218" t="s">
        <v>662</v>
      </c>
      <c r="N158" s="218">
        <v>5.17</v>
      </c>
      <c r="O158" s="219">
        <v>1</v>
      </c>
    </row>
    <row r="159" spans="2:15"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</row>
    <row r="160" spans="2:15"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</row>
    <row r="161" spans="2:15"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</row>
    <row r="162" spans="2:15"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</row>
    <row r="163" spans="2:15"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</row>
    <row r="164" spans="2:15"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</row>
    <row r="165" spans="2:15" ht="30">
      <c r="B165" s="224" t="s">
        <v>654</v>
      </c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</row>
    <row r="166" spans="2:15">
      <c r="B166" s="220" t="s">
        <v>629</v>
      </c>
      <c r="C166" s="221" t="s">
        <v>630</v>
      </c>
      <c r="D166" s="221" t="s">
        <v>631</v>
      </c>
      <c r="E166" s="221" t="s">
        <v>632</v>
      </c>
      <c r="F166" s="221" t="s">
        <v>633</v>
      </c>
      <c r="G166" s="221" t="s">
        <v>634</v>
      </c>
      <c r="H166" s="221" t="s">
        <v>635</v>
      </c>
      <c r="I166" s="221" t="s">
        <v>636</v>
      </c>
      <c r="J166" s="221" t="s">
        <v>637</v>
      </c>
      <c r="K166" s="221" t="s">
        <v>638</v>
      </c>
      <c r="L166" s="221" t="s">
        <v>639</v>
      </c>
      <c r="M166" s="221" t="s">
        <v>640</v>
      </c>
      <c r="N166" s="221" t="s">
        <v>641</v>
      </c>
      <c r="O166" s="222" t="s">
        <v>642</v>
      </c>
    </row>
    <row r="167" spans="2:15">
      <c r="B167" s="215">
        <v>2</v>
      </c>
      <c r="C167" s="214">
        <v>1</v>
      </c>
      <c r="D167" s="214">
        <v>16000</v>
      </c>
      <c r="E167" s="214">
        <v>1600</v>
      </c>
      <c r="F167" s="214" t="s">
        <v>663</v>
      </c>
      <c r="G167" s="214" t="s">
        <v>657</v>
      </c>
      <c r="H167" s="214" t="s">
        <v>664</v>
      </c>
      <c r="I167" s="214">
        <v>16</v>
      </c>
      <c r="J167" s="214" t="s">
        <v>665</v>
      </c>
      <c r="K167" s="214" t="s">
        <v>660</v>
      </c>
      <c r="L167" s="214" t="s">
        <v>666</v>
      </c>
      <c r="M167" s="214" t="s">
        <v>667</v>
      </c>
      <c r="N167" s="214">
        <v>4.6100000000000003</v>
      </c>
      <c r="O167" s="216">
        <v>2</v>
      </c>
    </row>
    <row r="168" spans="2:15">
      <c r="B168" s="215">
        <v>2</v>
      </c>
      <c r="C168" s="214">
        <v>2</v>
      </c>
      <c r="D168" s="214">
        <v>16000</v>
      </c>
      <c r="E168" s="214">
        <v>1600</v>
      </c>
      <c r="F168" s="214" t="s">
        <v>663</v>
      </c>
      <c r="G168" s="214" t="s">
        <v>657</v>
      </c>
      <c r="H168" s="214" t="s">
        <v>664</v>
      </c>
      <c r="I168" s="214">
        <v>16</v>
      </c>
      <c r="J168" s="214" t="s">
        <v>665</v>
      </c>
      <c r="K168" s="214" t="s">
        <v>660</v>
      </c>
      <c r="L168" s="214" t="s">
        <v>666</v>
      </c>
      <c r="M168" s="214" t="s">
        <v>667</v>
      </c>
      <c r="N168" s="214">
        <v>4.67</v>
      </c>
      <c r="O168" s="216">
        <v>2</v>
      </c>
    </row>
    <row r="169" spans="2:15">
      <c r="B169" s="215">
        <v>2</v>
      </c>
      <c r="C169" s="214">
        <v>3</v>
      </c>
      <c r="D169" s="214">
        <v>16000</v>
      </c>
      <c r="E169" s="214">
        <v>1600</v>
      </c>
      <c r="F169" s="214" t="s">
        <v>663</v>
      </c>
      <c r="G169" s="214" t="s">
        <v>657</v>
      </c>
      <c r="H169" s="214" t="s">
        <v>664</v>
      </c>
      <c r="I169" s="214">
        <v>16</v>
      </c>
      <c r="J169" s="214" t="s">
        <v>665</v>
      </c>
      <c r="K169" s="214" t="s">
        <v>660</v>
      </c>
      <c r="L169" s="214" t="s">
        <v>666</v>
      </c>
      <c r="M169" s="214" t="s">
        <v>667</v>
      </c>
      <c r="N169" s="214">
        <v>4.7300000000000004</v>
      </c>
      <c r="O169" s="216">
        <v>2</v>
      </c>
    </row>
    <row r="170" spans="2:15" ht="14.25" customHeight="1">
      <c r="B170" s="215">
        <v>2</v>
      </c>
      <c r="C170" s="214">
        <v>4</v>
      </c>
      <c r="D170" s="214">
        <v>16000</v>
      </c>
      <c r="E170" s="214">
        <v>1600</v>
      </c>
      <c r="F170" s="214" t="s">
        <v>663</v>
      </c>
      <c r="G170" s="214" t="s">
        <v>657</v>
      </c>
      <c r="H170" s="214" t="s">
        <v>664</v>
      </c>
      <c r="I170" s="214">
        <v>16</v>
      </c>
      <c r="J170" s="214" t="s">
        <v>665</v>
      </c>
      <c r="K170" s="214" t="s">
        <v>660</v>
      </c>
      <c r="L170" s="214" t="s">
        <v>666</v>
      </c>
      <c r="M170" s="214" t="s">
        <v>667</v>
      </c>
      <c r="N170" s="214">
        <v>4.79</v>
      </c>
      <c r="O170" s="216">
        <v>2</v>
      </c>
    </row>
    <row r="171" spans="2:15">
      <c r="B171" s="215">
        <v>2</v>
      </c>
      <c r="C171" s="214">
        <v>5</v>
      </c>
      <c r="D171" s="214">
        <v>16000</v>
      </c>
      <c r="E171" s="214">
        <v>1600</v>
      </c>
      <c r="F171" s="214" t="s">
        <v>663</v>
      </c>
      <c r="G171" s="214" t="s">
        <v>657</v>
      </c>
      <c r="H171" s="214" t="s">
        <v>664</v>
      </c>
      <c r="I171" s="214">
        <v>16</v>
      </c>
      <c r="J171" s="214" t="s">
        <v>665</v>
      </c>
      <c r="K171" s="214" t="s">
        <v>660</v>
      </c>
      <c r="L171" s="214" t="s">
        <v>666</v>
      </c>
      <c r="M171" s="214" t="s">
        <v>667</v>
      </c>
      <c r="N171" s="214">
        <v>4.8600000000000003</v>
      </c>
      <c r="O171" s="216">
        <v>2</v>
      </c>
    </row>
    <row r="172" spans="2:15">
      <c r="B172" s="215">
        <v>2</v>
      </c>
      <c r="C172" s="214">
        <v>6</v>
      </c>
      <c r="D172" s="214">
        <v>16000</v>
      </c>
      <c r="E172" s="214">
        <v>1600</v>
      </c>
      <c r="F172" s="214" t="s">
        <v>663</v>
      </c>
      <c r="G172" s="214" t="s">
        <v>657</v>
      </c>
      <c r="H172" s="214" t="s">
        <v>664</v>
      </c>
      <c r="I172" s="214">
        <v>16</v>
      </c>
      <c r="J172" s="214" t="s">
        <v>665</v>
      </c>
      <c r="K172" s="214" t="s">
        <v>660</v>
      </c>
      <c r="L172" s="214" t="s">
        <v>666</v>
      </c>
      <c r="M172" s="214" t="s">
        <v>667</v>
      </c>
      <c r="N172" s="214">
        <v>4.92</v>
      </c>
      <c r="O172" s="216">
        <v>2</v>
      </c>
    </row>
    <row r="173" spans="2:15">
      <c r="B173" s="215">
        <v>2</v>
      </c>
      <c r="C173" s="214">
        <v>7</v>
      </c>
      <c r="D173" s="214">
        <v>16000</v>
      </c>
      <c r="E173" s="214">
        <v>1600</v>
      </c>
      <c r="F173" s="214" t="s">
        <v>663</v>
      </c>
      <c r="G173" s="214" t="s">
        <v>657</v>
      </c>
      <c r="H173" s="214" t="s">
        <v>664</v>
      </c>
      <c r="I173" s="214">
        <v>16</v>
      </c>
      <c r="J173" s="214" t="s">
        <v>665</v>
      </c>
      <c r="K173" s="214" t="s">
        <v>660</v>
      </c>
      <c r="L173" s="214" t="s">
        <v>666</v>
      </c>
      <c r="M173" s="214" t="s">
        <v>667</v>
      </c>
      <c r="N173" s="214">
        <v>4.9800000000000004</v>
      </c>
      <c r="O173" s="216">
        <v>2</v>
      </c>
    </row>
    <row r="174" spans="2:15">
      <c r="B174" s="215">
        <v>2</v>
      </c>
      <c r="C174" s="214">
        <v>8</v>
      </c>
      <c r="D174" s="214">
        <v>16000</v>
      </c>
      <c r="E174" s="214">
        <v>1600</v>
      </c>
      <c r="F174" s="214" t="s">
        <v>663</v>
      </c>
      <c r="G174" s="214" t="s">
        <v>657</v>
      </c>
      <c r="H174" s="214" t="s">
        <v>664</v>
      </c>
      <c r="I174" s="214">
        <v>16</v>
      </c>
      <c r="J174" s="214" t="s">
        <v>665</v>
      </c>
      <c r="K174" s="214" t="s">
        <v>660</v>
      </c>
      <c r="L174" s="214" t="s">
        <v>666</v>
      </c>
      <c r="M174" s="214" t="s">
        <v>667</v>
      </c>
      <c r="N174" s="214">
        <v>5.04</v>
      </c>
      <c r="O174" s="216">
        <v>2</v>
      </c>
    </row>
    <row r="175" spans="2:15">
      <c r="B175" s="215">
        <v>2</v>
      </c>
      <c r="C175" s="214">
        <v>9</v>
      </c>
      <c r="D175" s="214">
        <v>16000</v>
      </c>
      <c r="E175" s="214">
        <v>1600</v>
      </c>
      <c r="F175" s="214" t="s">
        <v>663</v>
      </c>
      <c r="G175" s="214" t="s">
        <v>657</v>
      </c>
      <c r="H175" s="214" t="s">
        <v>664</v>
      </c>
      <c r="I175" s="214">
        <v>16</v>
      </c>
      <c r="J175" s="214" t="s">
        <v>665</v>
      </c>
      <c r="K175" s="214" t="s">
        <v>660</v>
      </c>
      <c r="L175" s="214" t="s">
        <v>666</v>
      </c>
      <c r="M175" s="214" t="s">
        <v>667</v>
      </c>
      <c r="N175" s="214">
        <v>5.0999999999999996</v>
      </c>
      <c r="O175" s="216">
        <v>2</v>
      </c>
    </row>
    <row r="176" spans="2:15">
      <c r="B176" s="217">
        <v>2</v>
      </c>
      <c r="C176" s="218">
        <v>10</v>
      </c>
      <c r="D176" s="218">
        <v>16000</v>
      </c>
      <c r="E176" s="218">
        <v>1600</v>
      </c>
      <c r="F176" s="218" t="s">
        <v>663</v>
      </c>
      <c r="G176" s="218" t="s">
        <v>657</v>
      </c>
      <c r="H176" s="218" t="s">
        <v>664</v>
      </c>
      <c r="I176" s="218">
        <v>16</v>
      </c>
      <c r="J176" s="218" t="s">
        <v>665</v>
      </c>
      <c r="K176" s="218" t="s">
        <v>660</v>
      </c>
      <c r="L176" s="218" t="s">
        <v>666</v>
      </c>
      <c r="M176" s="218" t="s">
        <v>667</v>
      </c>
      <c r="N176" s="218">
        <v>5.17</v>
      </c>
      <c r="O176" s="219">
        <v>2</v>
      </c>
    </row>
    <row r="177" spans="2:15"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</row>
    <row r="178" spans="2:15"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</row>
    <row r="179" spans="2:15"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</row>
    <row r="180" spans="2:15"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</row>
    <row r="181" spans="2:15"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</row>
    <row r="182" spans="2:15"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</row>
    <row r="183" spans="2:15"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</row>
    <row r="184" spans="2:15"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</row>
    <row r="185" spans="2:15"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</row>
    <row r="186" spans="2:15"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</row>
    <row r="187" spans="2:15"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</row>
    <row r="188" spans="2:15" ht="30">
      <c r="B188" s="223" t="s">
        <v>650</v>
      </c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</row>
    <row r="189" spans="2:15">
      <c r="B189" s="220" t="s">
        <v>629</v>
      </c>
      <c r="C189" s="221" t="s">
        <v>630</v>
      </c>
      <c r="D189" s="221" t="s">
        <v>631</v>
      </c>
      <c r="E189" s="221" t="s">
        <v>632</v>
      </c>
      <c r="F189" s="221" t="s">
        <v>633</v>
      </c>
      <c r="G189" s="221" t="s">
        <v>634</v>
      </c>
      <c r="H189" s="221" t="s">
        <v>635</v>
      </c>
      <c r="I189" s="221" t="s">
        <v>636</v>
      </c>
      <c r="J189" s="221" t="s">
        <v>637</v>
      </c>
      <c r="K189" s="221" t="s">
        <v>651</v>
      </c>
      <c r="L189" s="221" t="s">
        <v>639</v>
      </c>
      <c r="M189" s="221" t="s">
        <v>640</v>
      </c>
      <c r="N189" s="221" t="s">
        <v>641</v>
      </c>
      <c r="O189" s="222" t="s">
        <v>642</v>
      </c>
    </row>
    <row r="190" spans="2:15">
      <c r="B190" s="215">
        <v>3</v>
      </c>
      <c r="C190" s="214">
        <v>1</v>
      </c>
      <c r="D190" s="214">
        <v>24000</v>
      </c>
      <c r="E190" s="214">
        <v>2400</v>
      </c>
      <c r="F190" s="214" t="s">
        <v>668</v>
      </c>
      <c r="G190" s="214" t="s">
        <v>669</v>
      </c>
      <c r="H190" s="214" t="s">
        <v>670</v>
      </c>
      <c r="I190" s="214">
        <v>48</v>
      </c>
      <c r="J190" s="214" t="s">
        <v>671</v>
      </c>
      <c r="K190" s="214" t="s">
        <v>672</v>
      </c>
      <c r="L190" s="214" t="s">
        <v>673</v>
      </c>
      <c r="M190" s="214" t="s">
        <v>674</v>
      </c>
      <c r="N190" s="214">
        <v>4.45</v>
      </c>
      <c r="O190" s="216">
        <v>2</v>
      </c>
    </row>
    <row r="191" spans="2:15">
      <c r="B191" s="215">
        <v>3</v>
      </c>
      <c r="C191" s="214">
        <v>2</v>
      </c>
      <c r="D191" s="214">
        <v>24000</v>
      </c>
      <c r="E191" s="214">
        <v>2400</v>
      </c>
      <c r="F191" s="214" t="s">
        <v>668</v>
      </c>
      <c r="G191" s="214" t="s">
        <v>669</v>
      </c>
      <c r="H191" s="214" t="s">
        <v>670</v>
      </c>
      <c r="I191" s="214">
        <v>48</v>
      </c>
      <c r="J191" s="214" t="s">
        <v>671</v>
      </c>
      <c r="K191" s="214" t="s">
        <v>672</v>
      </c>
      <c r="L191" s="214" t="s">
        <v>673</v>
      </c>
      <c r="M191" s="214" t="s">
        <v>674</v>
      </c>
      <c r="N191" s="214">
        <v>4.51</v>
      </c>
      <c r="O191" s="216">
        <v>2</v>
      </c>
    </row>
    <row r="192" spans="2:15">
      <c r="B192" s="215">
        <v>3</v>
      </c>
      <c r="C192" s="214">
        <v>3</v>
      </c>
      <c r="D192" s="214">
        <v>24000</v>
      </c>
      <c r="E192" s="214">
        <v>2400</v>
      </c>
      <c r="F192" s="214" t="s">
        <v>668</v>
      </c>
      <c r="G192" s="214" t="s">
        <v>669</v>
      </c>
      <c r="H192" s="214" t="s">
        <v>670</v>
      </c>
      <c r="I192" s="214">
        <v>48</v>
      </c>
      <c r="J192" s="214" t="s">
        <v>671</v>
      </c>
      <c r="K192" s="214" t="s">
        <v>672</v>
      </c>
      <c r="L192" s="214" t="s">
        <v>673</v>
      </c>
      <c r="M192" s="214" t="s">
        <v>674</v>
      </c>
      <c r="N192" s="214">
        <v>4.57</v>
      </c>
      <c r="O192" s="216">
        <v>2</v>
      </c>
    </row>
    <row r="193" spans="2:15">
      <c r="B193" s="215">
        <v>3</v>
      </c>
      <c r="C193" s="214">
        <v>4</v>
      </c>
      <c r="D193" s="214">
        <v>24000</v>
      </c>
      <c r="E193" s="214">
        <v>2400</v>
      </c>
      <c r="F193" s="214" t="s">
        <v>668</v>
      </c>
      <c r="G193" s="214" t="s">
        <v>669</v>
      </c>
      <c r="H193" s="214" t="s">
        <v>670</v>
      </c>
      <c r="I193" s="214">
        <v>48</v>
      </c>
      <c r="J193" s="214" t="s">
        <v>671</v>
      </c>
      <c r="K193" s="214" t="s">
        <v>672</v>
      </c>
      <c r="L193" s="214" t="s">
        <v>673</v>
      </c>
      <c r="M193" s="214" t="s">
        <v>674</v>
      </c>
      <c r="N193" s="214">
        <v>4.63</v>
      </c>
      <c r="O193" s="216">
        <v>2</v>
      </c>
    </row>
    <row r="194" spans="2:15">
      <c r="B194" s="215">
        <v>3</v>
      </c>
      <c r="C194" s="214">
        <v>5</v>
      </c>
      <c r="D194" s="214">
        <v>24000</v>
      </c>
      <c r="E194" s="214">
        <v>2400</v>
      </c>
      <c r="F194" s="214" t="s">
        <v>668</v>
      </c>
      <c r="G194" s="214" t="s">
        <v>669</v>
      </c>
      <c r="H194" s="214" t="s">
        <v>670</v>
      </c>
      <c r="I194" s="214">
        <v>48</v>
      </c>
      <c r="J194" s="214" t="s">
        <v>671</v>
      </c>
      <c r="K194" s="214" t="s">
        <v>672</v>
      </c>
      <c r="L194" s="214" t="s">
        <v>673</v>
      </c>
      <c r="M194" s="214" t="s">
        <v>674</v>
      </c>
      <c r="N194" s="214">
        <v>4.7</v>
      </c>
      <c r="O194" s="216">
        <v>2</v>
      </c>
    </row>
    <row r="195" spans="2:15">
      <c r="B195" s="215">
        <v>3</v>
      </c>
      <c r="C195" s="214">
        <v>6</v>
      </c>
      <c r="D195" s="214">
        <v>24000</v>
      </c>
      <c r="E195" s="214">
        <v>2400</v>
      </c>
      <c r="F195" s="214" t="s">
        <v>668</v>
      </c>
      <c r="G195" s="214" t="s">
        <v>669</v>
      </c>
      <c r="H195" s="214" t="s">
        <v>670</v>
      </c>
      <c r="I195" s="214">
        <v>48</v>
      </c>
      <c r="J195" s="214" t="s">
        <v>671</v>
      </c>
      <c r="K195" s="214" t="s">
        <v>672</v>
      </c>
      <c r="L195" s="214" t="s">
        <v>673</v>
      </c>
      <c r="M195" s="214" t="s">
        <v>674</v>
      </c>
      <c r="N195" s="214">
        <v>4.76</v>
      </c>
      <c r="O195" s="216">
        <v>2</v>
      </c>
    </row>
    <row r="196" spans="2:15">
      <c r="B196" s="215">
        <v>3</v>
      </c>
      <c r="C196" s="214">
        <v>7</v>
      </c>
      <c r="D196" s="214">
        <v>24000</v>
      </c>
      <c r="E196" s="214">
        <v>2400</v>
      </c>
      <c r="F196" s="214" t="s">
        <v>668</v>
      </c>
      <c r="G196" s="214" t="s">
        <v>669</v>
      </c>
      <c r="H196" s="214" t="s">
        <v>670</v>
      </c>
      <c r="I196" s="214">
        <v>48</v>
      </c>
      <c r="J196" s="214" t="s">
        <v>671</v>
      </c>
      <c r="K196" s="214" t="s">
        <v>672</v>
      </c>
      <c r="L196" s="214" t="s">
        <v>673</v>
      </c>
      <c r="M196" s="214" t="s">
        <v>674</v>
      </c>
      <c r="N196" s="214">
        <v>4.82</v>
      </c>
      <c r="O196" s="216">
        <v>2</v>
      </c>
    </row>
    <row r="197" spans="2:15">
      <c r="B197" s="215">
        <v>3</v>
      </c>
      <c r="C197" s="214">
        <v>8</v>
      </c>
      <c r="D197" s="214">
        <v>24000</v>
      </c>
      <c r="E197" s="214">
        <v>2400</v>
      </c>
      <c r="F197" s="214" t="s">
        <v>668</v>
      </c>
      <c r="G197" s="214" t="s">
        <v>669</v>
      </c>
      <c r="H197" s="214" t="s">
        <v>670</v>
      </c>
      <c r="I197" s="214">
        <v>48</v>
      </c>
      <c r="J197" s="214" t="s">
        <v>671</v>
      </c>
      <c r="K197" s="214" t="s">
        <v>672</v>
      </c>
      <c r="L197" s="214" t="s">
        <v>673</v>
      </c>
      <c r="M197" s="214" t="s">
        <v>674</v>
      </c>
      <c r="N197" s="214">
        <v>4.88</v>
      </c>
      <c r="O197" s="216">
        <v>2</v>
      </c>
    </row>
    <row r="198" spans="2:15">
      <c r="B198" s="215">
        <v>3</v>
      </c>
      <c r="C198" s="214">
        <v>9</v>
      </c>
      <c r="D198" s="214">
        <v>24000</v>
      </c>
      <c r="E198" s="214">
        <v>2400</v>
      </c>
      <c r="F198" s="214" t="s">
        <v>668</v>
      </c>
      <c r="G198" s="214" t="s">
        <v>669</v>
      </c>
      <c r="H198" s="214" t="s">
        <v>670</v>
      </c>
      <c r="I198" s="214">
        <v>48</v>
      </c>
      <c r="J198" s="214" t="s">
        <v>671</v>
      </c>
      <c r="K198" s="214" t="s">
        <v>672</v>
      </c>
      <c r="L198" s="214" t="s">
        <v>673</v>
      </c>
      <c r="M198" s="214" t="s">
        <v>674</v>
      </c>
      <c r="N198" s="214">
        <v>4.9400000000000004</v>
      </c>
      <c r="O198" s="216">
        <v>2</v>
      </c>
    </row>
    <row r="199" spans="2:15">
      <c r="B199" s="217">
        <v>3</v>
      </c>
      <c r="C199" s="218">
        <v>10</v>
      </c>
      <c r="D199" s="218">
        <v>24000</v>
      </c>
      <c r="E199" s="218">
        <v>2400</v>
      </c>
      <c r="F199" s="218" t="s">
        <v>668</v>
      </c>
      <c r="G199" s="218" t="s">
        <v>669</v>
      </c>
      <c r="H199" s="218" t="s">
        <v>670</v>
      </c>
      <c r="I199" s="218">
        <v>48</v>
      </c>
      <c r="J199" s="218" t="s">
        <v>671</v>
      </c>
      <c r="K199" s="218" t="s">
        <v>672</v>
      </c>
      <c r="L199" s="218" t="s">
        <v>673</v>
      </c>
      <c r="M199" s="218" t="s">
        <v>674</v>
      </c>
      <c r="N199" s="218">
        <v>5</v>
      </c>
      <c r="O199" s="219">
        <v>2</v>
      </c>
    </row>
    <row r="200" spans="2:15"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</row>
    <row r="201" spans="2:15"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</row>
    <row r="202" spans="2:15"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</row>
    <row r="203" spans="2:15"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</row>
    <row r="204" spans="2:15"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</row>
    <row r="205" spans="2:15" ht="30">
      <c r="B205" s="224" t="s">
        <v>652</v>
      </c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</row>
    <row r="206" spans="2:15">
      <c r="B206" s="220" t="s">
        <v>629</v>
      </c>
      <c r="C206" s="221" t="s">
        <v>630</v>
      </c>
      <c r="D206" s="221" t="s">
        <v>631</v>
      </c>
      <c r="E206" s="221" t="s">
        <v>632</v>
      </c>
      <c r="F206" s="221" t="s">
        <v>633</v>
      </c>
      <c r="G206" s="221" t="s">
        <v>634</v>
      </c>
      <c r="H206" s="221" t="s">
        <v>635</v>
      </c>
      <c r="I206" s="221" t="s">
        <v>636</v>
      </c>
      <c r="J206" s="221" t="s">
        <v>637</v>
      </c>
      <c r="K206" s="221" t="s">
        <v>651</v>
      </c>
      <c r="L206" s="221" t="s">
        <v>639</v>
      </c>
      <c r="M206" s="221" t="s">
        <v>640</v>
      </c>
      <c r="N206" s="221" t="s">
        <v>641</v>
      </c>
      <c r="O206" s="222" t="s">
        <v>642</v>
      </c>
    </row>
    <row r="207" spans="2:15">
      <c r="B207" s="215">
        <v>30</v>
      </c>
      <c r="C207" s="214">
        <v>1</v>
      </c>
      <c r="D207" s="214">
        <v>240000</v>
      </c>
      <c r="E207" s="214">
        <v>24000</v>
      </c>
      <c r="F207" s="214" t="s">
        <v>675</v>
      </c>
      <c r="G207" s="214" t="s">
        <v>676</v>
      </c>
      <c r="H207" s="214" t="s">
        <v>677</v>
      </c>
      <c r="I207" s="214">
        <v>480</v>
      </c>
      <c r="J207" s="214" t="s">
        <v>678</v>
      </c>
      <c r="K207" s="214" t="s">
        <v>679</v>
      </c>
      <c r="L207" s="214" t="s">
        <v>680</v>
      </c>
      <c r="M207" s="214" t="s">
        <v>681</v>
      </c>
      <c r="N207" s="214">
        <v>4.01</v>
      </c>
      <c r="O207" s="216">
        <v>15</v>
      </c>
    </row>
    <row r="208" spans="2:15">
      <c r="B208" s="215">
        <v>30</v>
      </c>
      <c r="C208" s="214">
        <v>2</v>
      </c>
      <c r="D208" s="214">
        <v>240000</v>
      </c>
      <c r="E208" s="214">
        <v>24000</v>
      </c>
      <c r="F208" s="214" t="s">
        <v>675</v>
      </c>
      <c r="G208" s="214" t="s">
        <v>676</v>
      </c>
      <c r="H208" s="214" t="s">
        <v>677</v>
      </c>
      <c r="I208" s="214">
        <v>480</v>
      </c>
      <c r="J208" s="214" t="s">
        <v>678</v>
      </c>
      <c r="K208" s="214" t="s">
        <v>679</v>
      </c>
      <c r="L208" s="214" t="s">
        <v>680</v>
      </c>
      <c r="M208" s="214" t="s">
        <v>681</v>
      </c>
      <c r="N208" s="214">
        <v>4.0599999999999996</v>
      </c>
      <c r="O208" s="216">
        <v>15</v>
      </c>
    </row>
    <row r="209" spans="2:15">
      <c r="B209" s="215">
        <v>30</v>
      </c>
      <c r="C209" s="214">
        <v>3</v>
      </c>
      <c r="D209" s="214">
        <v>240000</v>
      </c>
      <c r="E209" s="214">
        <v>24000</v>
      </c>
      <c r="F209" s="214" t="s">
        <v>675</v>
      </c>
      <c r="G209" s="214" t="s">
        <v>676</v>
      </c>
      <c r="H209" s="214" t="s">
        <v>677</v>
      </c>
      <c r="I209" s="214">
        <v>480</v>
      </c>
      <c r="J209" s="214" t="s">
        <v>678</v>
      </c>
      <c r="K209" s="214" t="s">
        <v>679</v>
      </c>
      <c r="L209" s="214" t="s">
        <v>680</v>
      </c>
      <c r="M209" s="214" t="s">
        <v>681</v>
      </c>
      <c r="N209" s="214">
        <v>4.12</v>
      </c>
      <c r="O209" s="216">
        <v>15</v>
      </c>
    </row>
    <row r="210" spans="2:15">
      <c r="B210" s="215">
        <v>30</v>
      </c>
      <c r="C210" s="214">
        <v>4</v>
      </c>
      <c r="D210" s="214">
        <v>240000</v>
      </c>
      <c r="E210" s="214">
        <v>24000</v>
      </c>
      <c r="F210" s="214" t="s">
        <v>675</v>
      </c>
      <c r="G210" s="214" t="s">
        <v>676</v>
      </c>
      <c r="H210" s="214" t="s">
        <v>677</v>
      </c>
      <c r="I210" s="214">
        <v>480</v>
      </c>
      <c r="J210" s="214" t="s">
        <v>678</v>
      </c>
      <c r="K210" s="214" t="s">
        <v>679</v>
      </c>
      <c r="L210" s="214" t="s">
        <v>680</v>
      </c>
      <c r="M210" s="214" t="s">
        <v>681</v>
      </c>
      <c r="N210" s="214">
        <v>4.18</v>
      </c>
      <c r="O210" s="216">
        <v>15</v>
      </c>
    </row>
    <row r="211" spans="2:15">
      <c r="B211" s="215">
        <v>30</v>
      </c>
      <c r="C211" s="214">
        <v>5</v>
      </c>
      <c r="D211" s="214">
        <v>240000</v>
      </c>
      <c r="E211" s="214">
        <v>24000</v>
      </c>
      <c r="F211" s="214" t="s">
        <v>675</v>
      </c>
      <c r="G211" s="214" t="s">
        <v>676</v>
      </c>
      <c r="H211" s="214" t="s">
        <v>677</v>
      </c>
      <c r="I211" s="214">
        <v>480</v>
      </c>
      <c r="J211" s="214" t="s">
        <v>678</v>
      </c>
      <c r="K211" s="214" t="s">
        <v>679</v>
      </c>
      <c r="L211" s="214" t="s">
        <v>680</v>
      </c>
      <c r="M211" s="214" t="s">
        <v>681</v>
      </c>
      <c r="N211" s="214">
        <v>4.2300000000000004</v>
      </c>
      <c r="O211" s="216">
        <v>15</v>
      </c>
    </row>
    <row r="212" spans="2:15">
      <c r="B212" s="215">
        <v>30</v>
      </c>
      <c r="C212" s="214">
        <v>6</v>
      </c>
      <c r="D212" s="214">
        <v>240000</v>
      </c>
      <c r="E212" s="214">
        <v>24000</v>
      </c>
      <c r="F212" s="214" t="s">
        <v>675</v>
      </c>
      <c r="G212" s="214" t="s">
        <v>676</v>
      </c>
      <c r="H212" s="214" t="s">
        <v>677</v>
      </c>
      <c r="I212" s="214">
        <v>480</v>
      </c>
      <c r="J212" s="214" t="s">
        <v>678</v>
      </c>
      <c r="K212" s="214" t="s">
        <v>679</v>
      </c>
      <c r="L212" s="214" t="s">
        <v>680</v>
      </c>
      <c r="M212" s="214" t="s">
        <v>681</v>
      </c>
      <c r="N212" s="214">
        <v>4.29</v>
      </c>
      <c r="O212" s="216">
        <v>15</v>
      </c>
    </row>
    <row r="213" spans="2:15">
      <c r="B213" s="215">
        <v>30</v>
      </c>
      <c r="C213" s="214">
        <v>7</v>
      </c>
      <c r="D213" s="214">
        <v>240000</v>
      </c>
      <c r="E213" s="214">
        <v>24000</v>
      </c>
      <c r="F213" s="214" t="s">
        <v>675</v>
      </c>
      <c r="G213" s="214" t="s">
        <v>676</v>
      </c>
      <c r="H213" s="214" t="s">
        <v>677</v>
      </c>
      <c r="I213" s="214">
        <v>480</v>
      </c>
      <c r="J213" s="214" t="s">
        <v>678</v>
      </c>
      <c r="K213" s="214" t="s">
        <v>679</v>
      </c>
      <c r="L213" s="214" t="s">
        <v>680</v>
      </c>
      <c r="M213" s="214" t="s">
        <v>681</v>
      </c>
      <c r="N213" s="214">
        <v>4.3499999999999996</v>
      </c>
      <c r="O213" s="216">
        <v>15</v>
      </c>
    </row>
    <row r="214" spans="2:15">
      <c r="B214" s="215">
        <v>30</v>
      </c>
      <c r="C214" s="214">
        <v>8</v>
      </c>
      <c r="D214" s="214">
        <v>240000</v>
      </c>
      <c r="E214" s="214">
        <v>24000</v>
      </c>
      <c r="F214" s="214" t="s">
        <v>675</v>
      </c>
      <c r="G214" s="214" t="s">
        <v>676</v>
      </c>
      <c r="H214" s="214" t="s">
        <v>677</v>
      </c>
      <c r="I214" s="214">
        <v>480</v>
      </c>
      <c r="J214" s="214" t="s">
        <v>678</v>
      </c>
      <c r="K214" s="214" t="s">
        <v>679</v>
      </c>
      <c r="L214" s="214" t="s">
        <v>680</v>
      </c>
      <c r="M214" s="214" t="s">
        <v>681</v>
      </c>
      <c r="N214" s="214">
        <v>4.41</v>
      </c>
      <c r="O214" s="216">
        <v>15</v>
      </c>
    </row>
    <row r="215" spans="2:15">
      <c r="B215" s="215">
        <v>30</v>
      </c>
      <c r="C215" s="214">
        <v>9</v>
      </c>
      <c r="D215" s="214">
        <v>240000</v>
      </c>
      <c r="E215" s="214">
        <v>24000</v>
      </c>
      <c r="F215" s="214" t="s">
        <v>675</v>
      </c>
      <c r="G215" s="214" t="s">
        <v>676</v>
      </c>
      <c r="H215" s="214" t="s">
        <v>677</v>
      </c>
      <c r="I215" s="214">
        <v>480</v>
      </c>
      <c r="J215" s="214" t="s">
        <v>678</v>
      </c>
      <c r="K215" s="214" t="s">
        <v>679</v>
      </c>
      <c r="L215" s="214" t="s">
        <v>680</v>
      </c>
      <c r="M215" s="214" t="s">
        <v>681</v>
      </c>
      <c r="N215" s="214">
        <v>4.47</v>
      </c>
      <c r="O215" s="216">
        <v>15</v>
      </c>
    </row>
    <row r="216" spans="2:15">
      <c r="B216" s="217">
        <v>30</v>
      </c>
      <c r="C216" s="218">
        <v>10</v>
      </c>
      <c r="D216" s="218">
        <v>240000</v>
      </c>
      <c r="E216" s="218">
        <v>24000</v>
      </c>
      <c r="F216" s="218" t="s">
        <v>675</v>
      </c>
      <c r="G216" s="218" t="s">
        <v>676</v>
      </c>
      <c r="H216" s="218" t="s">
        <v>677</v>
      </c>
      <c r="I216" s="218">
        <v>480</v>
      </c>
      <c r="J216" s="218" t="s">
        <v>678</v>
      </c>
      <c r="K216" s="218" t="s">
        <v>679</v>
      </c>
      <c r="L216" s="218" t="s">
        <v>680</v>
      </c>
      <c r="M216" s="218" t="s">
        <v>681</v>
      </c>
      <c r="N216" s="218">
        <v>4.53</v>
      </c>
      <c r="O216" s="219">
        <v>15</v>
      </c>
    </row>
    <row r="217" spans="2:15"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</row>
    <row r="218" spans="2:15"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</row>
    <row r="219" spans="2:15"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</row>
    <row r="220" spans="2:15"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</row>
    <row r="221" spans="2:15" ht="30">
      <c r="B221" s="223" t="s">
        <v>682</v>
      </c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</row>
    <row r="222" spans="2:15">
      <c r="B222" s="220" t="s">
        <v>629</v>
      </c>
      <c r="C222" s="221" t="s">
        <v>630</v>
      </c>
      <c r="D222" s="221" t="s">
        <v>631</v>
      </c>
      <c r="E222" s="221" t="s">
        <v>632</v>
      </c>
      <c r="F222" s="221" t="s">
        <v>633</v>
      </c>
      <c r="G222" s="221" t="s">
        <v>634</v>
      </c>
      <c r="H222" s="221" t="s">
        <v>635</v>
      </c>
      <c r="I222" s="221" t="s">
        <v>636</v>
      </c>
      <c r="J222" s="221" t="s">
        <v>637</v>
      </c>
      <c r="K222" s="221" t="s">
        <v>651</v>
      </c>
      <c r="L222" s="221" t="s">
        <v>639</v>
      </c>
      <c r="M222" s="221" t="s">
        <v>640</v>
      </c>
      <c r="N222" s="221" t="s">
        <v>641</v>
      </c>
      <c r="O222" s="222" t="s">
        <v>642</v>
      </c>
    </row>
    <row r="223" spans="2:15">
      <c r="B223" s="215">
        <v>60</v>
      </c>
      <c r="C223" s="214">
        <v>1</v>
      </c>
      <c r="D223" s="214">
        <v>480000</v>
      </c>
      <c r="E223" s="214">
        <v>48000</v>
      </c>
      <c r="F223" s="214" t="s">
        <v>683</v>
      </c>
      <c r="G223" s="214" t="s">
        <v>684</v>
      </c>
      <c r="H223" s="214" t="s">
        <v>685</v>
      </c>
      <c r="I223" s="214">
        <v>960</v>
      </c>
      <c r="J223" s="214" t="s">
        <v>686</v>
      </c>
      <c r="K223" s="214" t="s">
        <v>678</v>
      </c>
      <c r="L223" s="214" t="s">
        <v>687</v>
      </c>
      <c r="M223" s="214" t="s">
        <v>688</v>
      </c>
      <c r="N223" s="214">
        <v>3.79</v>
      </c>
      <c r="O223" s="216">
        <v>30</v>
      </c>
    </row>
    <row r="224" spans="2:15">
      <c r="B224" s="215">
        <v>60</v>
      </c>
      <c r="C224" s="214">
        <v>2</v>
      </c>
      <c r="D224" s="214">
        <v>480000</v>
      </c>
      <c r="E224" s="214">
        <v>48000</v>
      </c>
      <c r="F224" s="214" t="s">
        <v>683</v>
      </c>
      <c r="G224" s="214" t="s">
        <v>684</v>
      </c>
      <c r="H224" s="214" t="s">
        <v>685</v>
      </c>
      <c r="I224" s="214">
        <v>960</v>
      </c>
      <c r="J224" s="214" t="s">
        <v>686</v>
      </c>
      <c r="K224" s="214" t="s">
        <v>678</v>
      </c>
      <c r="L224" s="214" t="s">
        <v>687</v>
      </c>
      <c r="M224" s="214" t="s">
        <v>688</v>
      </c>
      <c r="N224" s="214">
        <v>3.84</v>
      </c>
      <c r="O224" s="216">
        <v>30</v>
      </c>
    </row>
    <row r="225" spans="2:15">
      <c r="B225" s="215">
        <v>60</v>
      </c>
      <c r="C225" s="214">
        <v>3</v>
      </c>
      <c r="D225" s="214">
        <v>480000</v>
      </c>
      <c r="E225" s="214">
        <v>48000</v>
      </c>
      <c r="F225" s="214" t="s">
        <v>683</v>
      </c>
      <c r="G225" s="214" t="s">
        <v>684</v>
      </c>
      <c r="H225" s="214" t="s">
        <v>685</v>
      </c>
      <c r="I225" s="214">
        <v>960</v>
      </c>
      <c r="J225" s="214" t="s">
        <v>686</v>
      </c>
      <c r="K225" s="214" t="s">
        <v>678</v>
      </c>
      <c r="L225" s="214" t="s">
        <v>687</v>
      </c>
      <c r="M225" s="214" t="s">
        <v>688</v>
      </c>
      <c r="N225" s="214">
        <v>3.9</v>
      </c>
      <c r="O225" s="216">
        <v>30</v>
      </c>
    </row>
    <row r="226" spans="2:15">
      <c r="B226" s="215">
        <v>60</v>
      </c>
      <c r="C226" s="214">
        <v>4</v>
      </c>
      <c r="D226" s="214">
        <v>480000</v>
      </c>
      <c r="E226" s="214">
        <v>48000</v>
      </c>
      <c r="F226" s="214" t="s">
        <v>683</v>
      </c>
      <c r="G226" s="214" t="s">
        <v>684</v>
      </c>
      <c r="H226" s="214" t="s">
        <v>685</v>
      </c>
      <c r="I226" s="214">
        <v>960</v>
      </c>
      <c r="J226" s="214" t="s">
        <v>686</v>
      </c>
      <c r="K226" s="214" t="s">
        <v>678</v>
      </c>
      <c r="L226" s="214" t="s">
        <v>687</v>
      </c>
      <c r="M226" s="214" t="s">
        <v>688</v>
      </c>
      <c r="N226" s="214">
        <v>3.95</v>
      </c>
      <c r="O226" s="216">
        <v>30</v>
      </c>
    </row>
    <row r="227" spans="2:15">
      <c r="B227" s="215">
        <v>60</v>
      </c>
      <c r="C227" s="214">
        <v>5</v>
      </c>
      <c r="D227" s="214">
        <v>480000</v>
      </c>
      <c r="E227" s="214">
        <v>48000</v>
      </c>
      <c r="F227" s="214" t="s">
        <v>683</v>
      </c>
      <c r="G227" s="214" t="s">
        <v>684</v>
      </c>
      <c r="H227" s="214" t="s">
        <v>685</v>
      </c>
      <c r="I227" s="214">
        <v>960</v>
      </c>
      <c r="J227" s="214" t="s">
        <v>686</v>
      </c>
      <c r="K227" s="214" t="s">
        <v>678</v>
      </c>
      <c r="L227" s="214" t="s">
        <v>687</v>
      </c>
      <c r="M227" s="214" t="s">
        <v>688</v>
      </c>
      <c r="N227" s="214">
        <v>4.01</v>
      </c>
      <c r="O227" s="216">
        <v>30</v>
      </c>
    </row>
    <row r="228" spans="2:15">
      <c r="B228" s="215">
        <v>60</v>
      </c>
      <c r="C228" s="214">
        <v>6</v>
      </c>
      <c r="D228" s="214">
        <v>480000</v>
      </c>
      <c r="E228" s="214">
        <v>48000</v>
      </c>
      <c r="F228" s="214" t="s">
        <v>683</v>
      </c>
      <c r="G228" s="214" t="s">
        <v>684</v>
      </c>
      <c r="H228" s="214" t="s">
        <v>685</v>
      </c>
      <c r="I228" s="214">
        <v>960</v>
      </c>
      <c r="J228" s="214" t="s">
        <v>686</v>
      </c>
      <c r="K228" s="214" t="s">
        <v>678</v>
      </c>
      <c r="L228" s="214" t="s">
        <v>687</v>
      </c>
      <c r="M228" s="214" t="s">
        <v>688</v>
      </c>
      <c r="N228" s="214">
        <v>4.0599999999999996</v>
      </c>
      <c r="O228" s="216">
        <v>30</v>
      </c>
    </row>
    <row r="229" spans="2:15">
      <c r="B229" s="215">
        <v>60</v>
      </c>
      <c r="C229" s="214">
        <v>7</v>
      </c>
      <c r="D229" s="214">
        <v>480000</v>
      </c>
      <c r="E229" s="214">
        <v>48000</v>
      </c>
      <c r="F229" s="214" t="s">
        <v>683</v>
      </c>
      <c r="G229" s="214" t="s">
        <v>684</v>
      </c>
      <c r="H229" s="214" t="s">
        <v>685</v>
      </c>
      <c r="I229" s="214">
        <v>960</v>
      </c>
      <c r="J229" s="214" t="s">
        <v>686</v>
      </c>
      <c r="K229" s="214" t="s">
        <v>678</v>
      </c>
      <c r="L229" s="214" t="s">
        <v>687</v>
      </c>
      <c r="M229" s="214" t="s">
        <v>688</v>
      </c>
      <c r="N229" s="214">
        <v>4.12</v>
      </c>
      <c r="O229" s="216">
        <v>30</v>
      </c>
    </row>
    <row r="230" spans="2:15">
      <c r="B230" s="215">
        <v>60</v>
      </c>
      <c r="C230" s="214">
        <v>8</v>
      </c>
      <c r="D230" s="214">
        <v>480000</v>
      </c>
      <c r="E230" s="214">
        <v>48000</v>
      </c>
      <c r="F230" s="214" t="s">
        <v>683</v>
      </c>
      <c r="G230" s="214" t="s">
        <v>684</v>
      </c>
      <c r="H230" s="214" t="s">
        <v>685</v>
      </c>
      <c r="I230" s="214">
        <v>960</v>
      </c>
      <c r="J230" s="214" t="s">
        <v>686</v>
      </c>
      <c r="K230" s="214" t="s">
        <v>678</v>
      </c>
      <c r="L230" s="214" t="s">
        <v>687</v>
      </c>
      <c r="M230" s="214" t="s">
        <v>688</v>
      </c>
      <c r="N230" s="214">
        <v>4.17</v>
      </c>
      <c r="O230" s="216">
        <v>30</v>
      </c>
    </row>
    <row r="231" spans="2:15">
      <c r="B231" s="215">
        <v>60</v>
      </c>
      <c r="C231" s="214">
        <v>9</v>
      </c>
      <c r="D231" s="214">
        <v>480000</v>
      </c>
      <c r="E231" s="214">
        <v>48000</v>
      </c>
      <c r="F231" s="214" t="s">
        <v>683</v>
      </c>
      <c r="G231" s="214" t="s">
        <v>684</v>
      </c>
      <c r="H231" s="214" t="s">
        <v>685</v>
      </c>
      <c r="I231" s="214">
        <v>960</v>
      </c>
      <c r="J231" s="214" t="s">
        <v>686</v>
      </c>
      <c r="K231" s="214" t="s">
        <v>678</v>
      </c>
      <c r="L231" s="214" t="s">
        <v>687</v>
      </c>
      <c r="M231" s="214" t="s">
        <v>688</v>
      </c>
      <c r="N231" s="214">
        <v>4.2300000000000004</v>
      </c>
      <c r="O231" s="216">
        <v>30</v>
      </c>
    </row>
    <row r="232" spans="2:15">
      <c r="B232" s="217">
        <v>60</v>
      </c>
      <c r="C232" s="218">
        <v>10</v>
      </c>
      <c r="D232" s="218">
        <v>480000</v>
      </c>
      <c r="E232" s="218">
        <v>48000</v>
      </c>
      <c r="F232" s="218" t="s">
        <v>683</v>
      </c>
      <c r="G232" s="218" t="s">
        <v>684</v>
      </c>
      <c r="H232" s="218" t="s">
        <v>685</v>
      </c>
      <c r="I232" s="218">
        <v>960</v>
      </c>
      <c r="J232" s="218" t="s">
        <v>686</v>
      </c>
      <c r="K232" s="218" t="s">
        <v>678</v>
      </c>
      <c r="L232" s="218" t="s">
        <v>687</v>
      </c>
      <c r="M232" s="218" t="s">
        <v>688</v>
      </c>
      <c r="N232" s="218">
        <v>4.29</v>
      </c>
      <c r="O232" s="219">
        <v>30</v>
      </c>
    </row>
  </sheetData>
  <mergeCells count="19">
    <mergeCell ref="A1:Z1"/>
    <mergeCell ref="B8:C9"/>
    <mergeCell ref="D8:D9"/>
    <mergeCell ref="B10:C10"/>
    <mergeCell ref="B32:J32"/>
    <mergeCell ref="B14:F14"/>
    <mergeCell ref="L14:L15"/>
    <mergeCell ref="L16:L17"/>
    <mergeCell ref="L18:L22"/>
    <mergeCell ref="N14:O14"/>
    <mergeCell ref="P14:P15"/>
    <mergeCell ref="L12:P13"/>
    <mergeCell ref="M14:M15"/>
    <mergeCell ref="L23:L27"/>
    <mergeCell ref="P16:P31"/>
    <mergeCell ref="L28:L31"/>
    <mergeCell ref="B41:O43"/>
    <mergeCell ref="B144:O146"/>
    <mergeCell ref="Q41:AD43"/>
  </mergeCells>
  <hyperlinks>
    <hyperlink ref="P16:P31" r:id="rId1" display="BOBO-DIOULASSO AND ORODARA AREAS  ASSESSMENT (BURKINA FASO)" xr:uid="{D31B20DC-DBD7-47F5-A068-326E7FCAA69D}"/>
    <hyperlink ref="F18" r:id="rId2" xr:uid="{0785F72E-3BFA-42BB-8D26-8029A43CB7E9}"/>
    <hyperlink ref="F17" r:id="rId3" xr:uid="{82C79400-EC0F-4561-BBDD-C2789A35BE31}"/>
    <hyperlink ref="F20" r:id="rId4" xr:uid="{85A91FAF-3567-4ABE-8839-B907F181BCD1}"/>
    <hyperlink ref="F16" r:id="rId5" location="read" xr:uid="{9BC0BF8E-9098-4886-8CBF-3E39828904D8}"/>
    <hyperlink ref="F21" r:id="rId6" xr:uid="{87A56E00-7900-43EF-92A6-71863580F049}"/>
    <hyperlink ref="F22" r:id="rId7" xr:uid="{483D044A-0AEA-48AF-B2FC-1E3B01F91E96}"/>
    <hyperlink ref="F25" r:id="rId8" xr:uid="{B680B412-460C-49FC-B527-5A3031406CFD}"/>
    <hyperlink ref="F26" r:id="rId9" xr:uid="{0B9D1F44-ABAB-4948-9721-D40D5AA03500}"/>
    <hyperlink ref="F27:F28" r:id="rId10" display="Link - pseau.org" xr:uid="{A2D4319A-2642-4F70-9712-A8184C68189B}"/>
  </hyperlinks>
  <pageMargins left="0.7" right="0.7" top="0.75" bottom="0.75" header="0.3" footer="0.3"/>
  <drawing r:id="rId11"/>
  <legacyDrawing r:id="rId12"/>
  <tableParts count="13"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B1:L25"/>
  <sheetViews>
    <sheetView workbookViewId="0">
      <selection activeCell="D734" sqref="D734"/>
    </sheetView>
  </sheetViews>
  <sheetFormatPr defaultRowHeight="15"/>
  <cols>
    <col min="2" max="2" width="17.5703125" customWidth="1"/>
    <col min="3" max="3" width="18.28515625" customWidth="1"/>
    <col min="4" max="4" width="40.28515625" customWidth="1"/>
    <col min="6" max="6" width="16.42578125" customWidth="1"/>
    <col min="7" max="7" width="20.7109375" customWidth="1"/>
    <col min="8" max="8" width="39" customWidth="1"/>
    <col min="10" max="10" width="20.42578125" customWidth="1"/>
    <col min="11" max="11" width="16.28515625" customWidth="1"/>
    <col min="12" max="12" width="41" customWidth="1"/>
  </cols>
  <sheetData>
    <row r="1" spans="2:12">
      <c r="C1" s="303" t="s">
        <v>689</v>
      </c>
      <c r="G1" s="303"/>
      <c r="K1" s="303"/>
    </row>
    <row r="3" spans="2:12">
      <c r="B3" s="27" t="s">
        <v>690</v>
      </c>
      <c r="C3" s="28" t="s">
        <v>170</v>
      </c>
      <c r="D3" s="28" t="s">
        <v>691</v>
      </c>
      <c r="F3" s="31"/>
      <c r="G3" s="31"/>
      <c r="H3" s="31"/>
      <c r="J3" s="31"/>
      <c r="K3" s="31"/>
      <c r="L3" s="31"/>
    </row>
    <row r="4" spans="2:12">
      <c r="B4" s="29" t="s">
        <v>692</v>
      </c>
      <c r="C4" s="34">
        <v>1.5</v>
      </c>
      <c r="D4" s="34" t="s">
        <v>693</v>
      </c>
      <c r="F4" s="31"/>
      <c r="G4" s="31"/>
      <c r="H4" s="31"/>
      <c r="J4" s="31"/>
      <c r="K4" s="31"/>
      <c r="L4" s="31"/>
    </row>
    <row r="5" spans="2:12">
      <c r="B5" s="29" t="s">
        <v>694</v>
      </c>
      <c r="C5" s="34">
        <v>4</v>
      </c>
      <c r="D5" s="34" t="s">
        <v>695</v>
      </c>
      <c r="F5" s="31"/>
      <c r="G5" s="31"/>
      <c r="H5" s="31"/>
      <c r="J5" s="31"/>
      <c r="K5" s="31"/>
      <c r="L5" s="31"/>
    </row>
    <row r="6" spans="2:12">
      <c r="B6" s="29" t="s">
        <v>696</v>
      </c>
      <c r="C6" s="34">
        <v>2</v>
      </c>
      <c r="D6" s="34" t="s">
        <v>693</v>
      </c>
      <c r="F6" s="31"/>
      <c r="G6" s="31"/>
      <c r="H6" s="31"/>
      <c r="J6" s="31"/>
      <c r="K6" s="31"/>
      <c r="L6" s="31"/>
    </row>
    <row r="7" spans="2:12">
      <c r="B7" s="29" t="s">
        <v>697</v>
      </c>
      <c r="C7" s="34">
        <v>4</v>
      </c>
      <c r="D7" s="34" t="s">
        <v>695</v>
      </c>
      <c r="F7" s="31"/>
      <c r="G7" s="31"/>
      <c r="H7" s="31"/>
      <c r="J7" s="31"/>
      <c r="K7" s="31"/>
      <c r="L7" s="31"/>
    </row>
    <row r="8" spans="2:12">
      <c r="B8" s="29" t="s">
        <v>698</v>
      </c>
      <c r="C8" s="34">
        <v>3</v>
      </c>
      <c r="D8" s="34" t="s">
        <v>693</v>
      </c>
      <c r="F8" s="31"/>
      <c r="G8" s="31"/>
      <c r="H8" s="31"/>
      <c r="J8" s="31"/>
      <c r="K8" s="31"/>
      <c r="L8" s="31"/>
    </row>
    <row r="9" spans="2:12">
      <c r="B9" s="29" t="s">
        <v>699</v>
      </c>
      <c r="C9" s="34">
        <v>5</v>
      </c>
      <c r="D9" s="34" t="s">
        <v>695</v>
      </c>
      <c r="F9" s="31"/>
      <c r="G9" s="31"/>
      <c r="H9" s="31"/>
      <c r="J9" s="31"/>
      <c r="K9" s="31"/>
      <c r="L9" s="31"/>
    </row>
    <row r="10" spans="2:12">
      <c r="B10" s="29" t="s">
        <v>700</v>
      </c>
      <c r="C10" s="34">
        <f>C4*C5+C5*C7+C8*C9</f>
        <v>37</v>
      </c>
      <c r="D10" s="34" t="s">
        <v>701</v>
      </c>
      <c r="F10" s="31"/>
      <c r="G10" s="31"/>
      <c r="H10" s="31"/>
      <c r="J10" s="31"/>
      <c r="K10" s="31"/>
      <c r="L10" s="31"/>
    </row>
    <row r="11" spans="2:12">
      <c r="B11" s="30" t="s">
        <v>702</v>
      </c>
      <c r="C11" s="35" t="s">
        <v>702</v>
      </c>
      <c r="D11" s="35" t="s">
        <v>702</v>
      </c>
      <c r="F11" s="32"/>
      <c r="G11" s="32"/>
      <c r="H11" s="32"/>
      <c r="J11" s="32"/>
      <c r="K11" s="32"/>
      <c r="L11" s="32"/>
    </row>
    <row r="12" spans="2:12">
      <c r="B12" s="29" t="s">
        <v>703</v>
      </c>
      <c r="C12" s="34">
        <v>5.5</v>
      </c>
      <c r="D12" s="34" t="s">
        <v>695</v>
      </c>
      <c r="F12" s="31"/>
      <c r="G12" s="31"/>
      <c r="H12" s="31"/>
      <c r="J12" s="31"/>
      <c r="K12" s="31"/>
      <c r="L12" s="31"/>
    </row>
    <row r="13" spans="2:12">
      <c r="B13" s="29" t="s">
        <v>704</v>
      </c>
      <c r="C13" s="36">
        <v>0.2</v>
      </c>
      <c r="D13" s="34" t="s">
        <v>705</v>
      </c>
      <c r="F13" s="31"/>
      <c r="G13" s="33"/>
      <c r="H13" s="31"/>
      <c r="J13" s="31"/>
      <c r="K13" s="33"/>
      <c r="L13" s="31"/>
    </row>
    <row r="14" spans="2:12">
      <c r="B14" s="29" t="s">
        <v>706</v>
      </c>
      <c r="C14" s="34">
        <v>6.6</v>
      </c>
      <c r="D14" s="34" t="s">
        <v>707</v>
      </c>
      <c r="F14" s="31"/>
      <c r="G14" s="31"/>
      <c r="H14" s="31"/>
      <c r="J14" s="31"/>
      <c r="K14" s="31"/>
      <c r="L14" s="31"/>
    </row>
    <row r="15" spans="2:12">
      <c r="B15" s="29" t="s">
        <v>708</v>
      </c>
      <c r="C15" s="34">
        <v>0.75</v>
      </c>
      <c r="D15" s="34" t="s">
        <v>705</v>
      </c>
      <c r="F15" s="31"/>
      <c r="G15" s="31"/>
      <c r="H15" s="31"/>
      <c r="J15" s="31"/>
      <c r="K15" s="31"/>
      <c r="L15" s="31"/>
    </row>
    <row r="16" spans="2:12">
      <c r="B16" s="29" t="s">
        <v>709</v>
      </c>
      <c r="C16" s="34">
        <f>C10/(C14*C15)</f>
        <v>7.4747474747474758</v>
      </c>
      <c r="D16" s="34" t="s">
        <v>710</v>
      </c>
      <c r="F16" s="31"/>
      <c r="G16" s="31"/>
      <c r="H16" s="31"/>
      <c r="J16" s="31"/>
      <c r="K16" s="31"/>
      <c r="L16" s="31"/>
    </row>
    <row r="17" spans="2:12">
      <c r="B17" s="29" t="s">
        <v>711</v>
      </c>
      <c r="C17" s="34">
        <v>400</v>
      </c>
      <c r="D17" s="34" t="s">
        <v>712</v>
      </c>
      <c r="F17" s="31"/>
      <c r="G17" s="31"/>
      <c r="H17" s="31"/>
      <c r="J17" s="31"/>
      <c r="K17" s="31"/>
      <c r="L17" s="31"/>
    </row>
    <row r="18" spans="2:12">
      <c r="B18" s="29" t="s">
        <v>713</v>
      </c>
      <c r="C18" s="34">
        <f>(C16*1000)/400</f>
        <v>18.686868686868692</v>
      </c>
      <c r="D18" s="34" t="s">
        <v>714</v>
      </c>
      <c r="F18" s="31"/>
      <c r="G18" s="31"/>
      <c r="H18" s="31"/>
      <c r="J18" s="31"/>
      <c r="K18" s="31"/>
      <c r="L18" s="31"/>
    </row>
    <row r="19" spans="2:12">
      <c r="B19" s="30" t="s">
        <v>702</v>
      </c>
      <c r="C19" s="35" t="s">
        <v>702</v>
      </c>
      <c r="D19" s="35" t="s">
        <v>702</v>
      </c>
      <c r="F19" s="32"/>
      <c r="G19" s="32"/>
      <c r="H19" s="32"/>
      <c r="J19" s="32"/>
      <c r="K19" s="32"/>
      <c r="L19" s="32"/>
    </row>
    <row r="20" spans="2:12">
      <c r="B20" s="29" t="s">
        <v>715</v>
      </c>
      <c r="C20" s="34">
        <v>0.9</v>
      </c>
      <c r="D20" s="34"/>
      <c r="F20" s="31"/>
      <c r="G20" s="31"/>
      <c r="H20" s="31"/>
      <c r="J20" s="31"/>
      <c r="K20" s="31"/>
      <c r="L20" s="31"/>
    </row>
    <row r="21" spans="2:12">
      <c r="B21" s="29" t="s">
        <v>716</v>
      </c>
      <c r="C21" s="34">
        <v>0.8</v>
      </c>
      <c r="D21" s="34"/>
      <c r="F21" s="31"/>
      <c r="G21" s="31"/>
      <c r="H21" s="31"/>
      <c r="J21" s="31"/>
      <c r="K21" s="31"/>
      <c r="L21" s="31"/>
    </row>
    <row r="22" spans="2:12" ht="24.75">
      <c r="B22" s="29" t="s">
        <v>717</v>
      </c>
      <c r="C22" s="34">
        <f>C10/(C20*C21)</f>
        <v>51.388888888888886</v>
      </c>
      <c r="D22" s="34" t="s">
        <v>701</v>
      </c>
      <c r="F22" s="31"/>
      <c r="G22" s="31"/>
      <c r="H22" s="31"/>
      <c r="J22" s="31"/>
      <c r="K22" s="31"/>
      <c r="L22" s="31"/>
    </row>
    <row r="23" spans="2:12">
      <c r="B23" s="30" t="s">
        <v>702</v>
      </c>
      <c r="C23" s="35" t="s">
        <v>702</v>
      </c>
      <c r="D23" s="35" t="s">
        <v>702</v>
      </c>
      <c r="F23" s="32"/>
      <c r="G23" s="32"/>
      <c r="H23" s="32"/>
      <c r="J23" s="32"/>
      <c r="K23" s="32"/>
      <c r="L23" s="32"/>
    </row>
    <row r="24" spans="2:12">
      <c r="B24" s="29" t="s">
        <v>718</v>
      </c>
      <c r="C24" s="34">
        <v>6.5</v>
      </c>
      <c r="D24" s="34" t="s">
        <v>693</v>
      </c>
      <c r="F24" s="31"/>
      <c r="G24" s="31"/>
      <c r="H24" s="31"/>
      <c r="J24" s="31"/>
      <c r="K24" s="31"/>
      <c r="L24" s="31"/>
    </row>
    <row r="25" spans="2:12">
      <c r="B25" t="s">
        <v>719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B4:G65"/>
  <sheetViews>
    <sheetView workbookViewId="0">
      <selection activeCell="C10" sqref="C10"/>
    </sheetView>
  </sheetViews>
  <sheetFormatPr defaultRowHeight="15"/>
  <cols>
    <col min="2" max="2" width="71.28515625" customWidth="1"/>
    <col min="3" max="3" width="50.28515625" customWidth="1"/>
    <col min="4" max="4" width="26" customWidth="1"/>
    <col min="5" max="5" width="46" customWidth="1"/>
    <col min="6" max="6" width="31" customWidth="1"/>
    <col min="7" max="7" width="23.28515625" bestFit="1" customWidth="1"/>
  </cols>
  <sheetData>
    <row r="4" spans="2:7">
      <c r="B4" s="273" t="s">
        <v>720</v>
      </c>
      <c r="C4" s="274" t="s">
        <v>721</v>
      </c>
      <c r="D4" s="274" t="s">
        <v>722</v>
      </c>
      <c r="E4" s="274" t="s">
        <v>723</v>
      </c>
      <c r="F4" s="274" t="s">
        <v>724</v>
      </c>
      <c r="G4" s="275" t="s">
        <v>725</v>
      </c>
    </row>
    <row r="5" spans="2:7" ht="14.25">
      <c r="B5" s="276" t="s">
        <v>726</v>
      </c>
      <c r="C5" s="34">
        <v>37</v>
      </c>
      <c r="D5" s="34">
        <v>7.5</v>
      </c>
      <c r="E5" s="34">
        <v>19</v>
      </c>
      <c r="F5" s="34">
        <v>52</v>
      </c>
      <c r="G5" s="34">
        <v>6.3</v>
      </c>
    </row>
    <row r="6" spans="2:7">
      <c r="D6" t="s">
        <v>10</v>
      </c>
    </row>
    <row r="7" spans="2:7" ht="21">
      <c r="B7" s="384" t="s">
        <v>727</v>
      </c>
      <c r="C7" s="384"/>
      <c r="D7" s="384"/>
    </row>
    <row r="8" spans="2:7" ht="18">
      <c r="B8" s="262"/>
    </row>
    <row r="9" spans="2:7" ht="21">
      <c r="B9" s="307" t="s">
        <v>237</v>
      </c>
      <c r="C9" s="307" t="s">
        <v>728</v>
      </c>
      <c r="D9" s="307" t="s">
        <v>729</v>
      </c>
    </row>
    <row r="10" spans="2:7" ht="21">
      <c r="B10" s="308" t="s">
        <v>700</v>
      </c>
      <c r="C10" s="308" t="s">
        <v>730</v>
      </c>
      <c r="D10" s="308" t="s">
        <v>730</v>
      </c>
    </row>
    <row r="11" spans="2:7" ht="21">
      <c r="B11" s="308" t="s">
        <v>731</v>
      </c>
      <c r="C11" s="308" t="s">
        <v>732</v>
      </c>
      <c r="D11" s="308" t="s">
        <v>733</v>
      </c>
    </row>
    <row r="12" spans="2:7" ht="21">
      <c r="B12" s="308" t="s">
        <v>734</v>
      </c>
      <c r="C12" s="308">
        <v>19</v>
      </c>
      <c r="D12" s="308">
        <v>15</v>
      </c>
    </row>
    <row r="13" spans="2:7" ht="21">
      <c r="B13" s="308" t="s">
        <v>735</v>
      </c>
      <c r="C13" s="308">
        <v>43825</v>
      </c>
      <c r="D13" s="308">
        <v>42850</v>
      </c>
    </row>
    <row r="14" spans="2:7" ht="21">
      <c r="B14" s="308" t="s">
        <v>736</v>
      </c>
      <c r="C14" s="308" t="s">
        <v>737</v>
      </c>
      <c r="D14" s="308" t="s">
        <v>738</v>
      </c>
    </row>
    <row r="15" spans="2:7" ht="21">
      <c r="B15" s="308" t="s">
        <v>739</v>
      </c>
      <c r="C15" s="308" t="s">
        <v>740</v>
      </c>
      <c r="D15" s="308" t="s">
        <v>740</v>
      </c>
    </row>
    <row r="19" spans="2:5" ht="21">
      <c r="B19" s="384" t="s">
        <v>741</v>
      </c>
      <c r="C19" s="384"/>
      <c r="D19" s="384"/>
      <c r="E19" s="384"/>
    </row>
    <row r="21" spans="2:5" ht="21">
      <c r="B21" s="307" t="s">
        <v>742</v>
      </c>
      <c r="C21" s="307" t="s">
        <v>743</v>
      </c>
      <c r="D21" s="307" t="s">
        <v>744</v>
      </c>
      <c r="E21" s="307" t="s">
        <v>745</v>
      </c>
    </row>
    <row r="22" spans="2:5" ht="21">
      <c r="B22" s="308" t="s">
        <v>746</v>
      </c>
      <c r="C22" s="308" t="s">
        <v>747</v>
      </c>
      <c r="D22" s="270">
        <v>0.46</v>
      </c>
      <c r="E22" s="308" t="s">
        <v>748</v>
      </c>
    </row>
    <row r="23" spans="2:5" ht="21">
      <c r="B23" s="308" t="s">
        <v>749</v>
      </c>
      <c r="C23" s="308" t="s">
        <v>750</v>
      </c>
      <c r="D23" s="270">
        <v>0.19</v>
      </c>
      <c r="E23" s="308" t="s">
        <v>751</v>
      </c>
    </row>
    <row r="24" spans="2:5" ht="21">
      <c r="B24" s="308" t="s">
        <v>752</v>
      </c>
      <c r="C24" s="308" t="s">
        <v>753</v>
      </c>
      <c r="D24" s="270">
        <v>0.14000000000000001</v>
      </c>
      <c r="E24" s="308" t="s">
        <v>754</v>
      </c>
    </row>
    <row r="25" spans="2:5" ht="21">
      <c r="B25" s="308" t="s">
        <v>755</v>
      </c>
      <c r="C25" s="308" t="s">
        <v>756</v>
      </c>
      <c r="D25" s="270">
        <v>0.11</v>
      </c>
      <c r="E25" s="308" t="s">
        <v>757</v>
      </c>
    </row>
    <row r="26" spans="2:5" ht="21">
      <c r="B26" s="308" t="s">
        <v>758</v>
      </c>
      <c r="C26" s="308" t="s">
        <v>759</v>
      </c>
      <c r="D26" s="270">
        <v>0.05</v>
      </c>
      <c r="E26" s="308" t="s">
        <v>760</v>
      </c>
    </row>
    <row r="27" spans="2:5" ht="21">
      <c r="B27" s="308" t="s">
        <v>761</v>
      </c>
      <c r="C27" s="308" t="s">
        <v>759</v>
      </c>
      <c r="D27" s="270">
        <v>0.05</v>
      </c>
      <c r="E27" s="308" t="s">
        <v>762</v>
      </c>
    </row>
    <row r="28" spans="2:5" ht="21">
      <c r="B28" s="308" t="s">
        <v>310</v>
      </c>
      <c r="C28" s="308" t="s">
        <v>763</v>
      </c>
      <c r="D28" s="270">
        <v>1</v>
      </c>
      <c r="E28" s="308" t="s">
        <v>764</v>
      </c>
    </row>
    <row r="32" spans="2:5" ht="21">
      <c r="B32" s="384" t="s">
        <v>765</v>
      </c>
      <c r="C32" s="384"/>
      <c r="D32" s="384"/>
      <c r="E32" s="384"/>
    </row>
    <row r="33" spans="2:6" ht="21">
      <c r="B33" s="307"/>
      <c r="C33" s="307"/>
      <c r="D33" s="307"/>
      <c r="E33" s="307"/>
    </row>
    <row r="34" spans="2:6" ht="21">
      <c r="B34" s="386" t="s">
        <v>766</v>
      </c>
      <c r="C34" s="387"/>
      <c r="D34" s="387"/>
      <c r="E34" s="307"/>
    </row>
    <row r="35" spans="2:6" ht="21">
      <c r="B35" s="387"/>
      <c r="C35" s="387"/>
      <c r="D35" s="387"/>
      <c r="E35" s="307"/>
    </row>
    <row r="36" spans="2:6">
      <c r="B36" s="387"/>
      <c r="C36" s="387"/>
      <c r="D36" s="387"/>
    </row>
    <row r="37" spans="2:6" ht="30" customHeight="1">
      <c r="B37" s="387"/>
      <c r="C37" s="387"/>
      <c r="D37" s="387"/>
    </row>
    <row r="38" spans="2:6" ht="21">
      <c r="B38" s="307"/>
    </row>
    <row r="39" spans="2:6" ht="21">
      <c r="B39" s="285" t="s">
        <v>767</v>
      </c>
      <c r="C39" s="285" t="s">
        <v>768</v>
      </c>
      <c r="D39" s="285" t="s">
        <v>769</v>
      </c>
      <c r="E39" s="285" t="s">
        <v>770</v>
      </c>
      <c r="F39" s="285" t="s">
        <v>771</v>
      </c>
    </row>
    <row r="40" spans="2:6" ht="21">
      <c r="B40" s="286" t="s">
        <v>772</v>
      </c>
      <c r="C40" s="286" t="s">
        <v>773</v>
      </c>
      <c r="D40" s="286">
        <v>9000</v>
      </c>
      <c r="E40" s="286">
        <v>7200</v>
      </c>
      <c r="F40" s="286">
        <v>-1800</v>
      </c>
    </row>
    <row r="41" spans="2:6" ht="21">
      <c r="B41" s="286" t="s">
        <v>774</v>
      </c>
      <c r="C41" s="286" t="s">
        <v>775</v>
      </c>
      <c r="D41" s="286">
        <v>0</v>
      </c>
      <c r="E41" s="286">
        <v>3000</v>
      </c>
      <c r="F41" s="286">
        <v>3000</v>
      </c>
    </row>
    <row r="42" spans="2:6" ht="21">
      <c r="B42" s="286" t="s">
        <v>776</v>
      </c>
      <c r="C42" s="286" t="s">
        <v>777</v>
      </c>
      <c r="D42" s="286">
        <v>10875</v>
      </c>
      <c r="E42" s="286">
        <v>8700</v>
      </c>
      <c r="F42" s="286">
        <v>-2175</v>
      </c>
    </row>
    <row r="43" spans="2:6" ht="21">
      <c r="B43" s="286" t="s">
        <v>778</v>
      </c>
      <c r="C43" s="286" t="s">
        <v>779</v>
      </c>
      <c r="D43" s="286">
        <v>20800</v>
      </c>
      <c r="E43" s="286">
        <v>20800</v>
      </c>
      <c r="F43" s="286">
        <v>0</v>
      </c>
    </row>
    <row r="44" spans="2:6" ht="21">
      <c r="B44" s="286" t="s">
        <v>780</v>
      </c>
      <c r="C44" s="286" t="s">
        <v>781</v>
      </c>
      <c r="D44" s="286">
        <v>3150</v>
      </c>
      <c r="E44" s="286">
        <v>3150</v>
      </c>
      <c r="F44" s="286">
        <v>0</v>
      </c>
    </row>
    <row r="45" spans="2:6" ht="21">
      <c r="B45" s="287" t="s">
        <v>310</v>
      </c>
      <c r="C45" s="288" t="s">
        <v>293</v>
      </c>
      <c r="D45" s="287">
        <v>43825</v>
      </c>
      <c r="E45" s="287">
        <v>42850</v>
      </c>
      <c r="F45" s="287">
        <v>-975</v>
      </c>
    </row>
    <row r="47" spans="2:6" ht="21">
      <c r="B47" s="385" t="s">
        <v>782</v>
      </c>
      <c r="C47" s="385"/>
      <c r="D47" s="385"/>
      <c r="E47" s="385"/>
    </row>
    <row r="49" spans="2:5" ht="21">
      <c r="B49" s="384" t="s">
        <v>783</v>
      </c>
      <c r="C49" s="384"/>
      <c r="D49" s="384"/>
      <c r="E49" s="384"/>
    </row>
    <row r="51" spans="2:5" ht="21">
      <c r="B51" s="307" t="s">
        <v>237</v>
      </c>
      <c r="C51" s="307" t="s">
        <v>769</v>
      </c>
      <c r="D51" s="307" t="s">
        <v>770</v>
      </c>
      <c r="E51" s="307" t="s">
        <v>784</v>
      </c>
    </row>
    <row r="52" spans="2:5" ht="21">
      <c r="B52" s="308" t="s">
        <v>785</v>
      </c>
      <c r="C52" s="308" t="s">
        <v>786</v>
      </c>
      <c r="D52" s="308" t="s">
        <v>786</v>
      </c>
      <c r="E52" s="271" t="s">
        <v>787</v>
      </c>
    </row>
    <row r="53" spans="2:5" ht="21">
      <c r="B53" s="308" t="s">
        <v>788</v>
      </c>
      <c r="C53" s="308" t="s">
        <v>789</v>
      </c>
      <c r="D53" s="308" t="s">
        <v>789</v>
      </c>
      <c r="E53" s="308" t="s">
        <v>790</v>
      </c>
    </row>
    <row r="54" spans="2:5" ht="21">
      <c r="B54" s="308" t="s">
        <v>739</v>
      </c>
      <c r="C54" s="308">
        <v>1351</v>
      </c>
      <c r="D54" s="308">
        <v>1351</v>
      </c>
      <c r="E54" s="271" t="s">
        <v>791</v>
      </c>
    </row>
    <row r="55" spans="2:5" ht="21">
      <c r="B55" s="308" t="s">
        <v>792</v>
      </c>
      <c r="C55" s="308">
        <v>43825</v>
      </c>
      <c r="D55" s="308">
        <v>42850</v>
      </c>
      <c r="E55" s="308" t="s">
        <v>793</v>
      </c>
    </row>
    <row r="56" spans="2:5" ht="21">
      <c r="B56" s="308" t="s">
        <v>164</v>
      </c>
      <c r="C56" s="308" t="s">
        <v>737</v>
      </c>
      <c r="D56" s="308" t="s">
        <v>738</v>
      </c>
      <c r="E56" s="271" t="s">
        <v>794</v>
      </c>
    </row>
    <row r="59" spans="2:5" ht="18" customHeight="1">
      <c r="B59" s="272"/>
    </row>
    <row r="60" spans="2:5" ht="15" customHeight="1">
      <c r="B60" s="284"/>
    </row>
    <row r="61" spans="2:5" ht="15" customHeight="1">
      <c r="B61" s="284"/>
    </row>
    <row r="62" spans="2:5" ht="15" customHeight="1">
      <c r="B62" s="284"/>
    </row>
    <row r="63" spans="2:5" ht="15" customHeight="1">
      <c r="B63" s="284"/>
    </row>
    <row r="64" spans="2:5" ht="15" customHeight="1">
      <c r="B64" s="284"/>
    </row>
    <row r="65" spans="2:2" ht="15" customHeight="1">
      <c r="B65" s="284"/>
    </row>
  </sheetData>
  <mergeCells count="6">
    <mergeCell ref="B49:E49"/>
    <mergeCell ref="B7:D7"/>
    <mergeCell ref="B19:E19"/>
    <mergeCell ref="B32:E32"/>
    <mergeCell ref="B47:E47"/>
    <mergeCell ref="B34:D3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54EDA-2722-47B6-B216-52DE8B402746}">
  <dimension ref="B2:N23"/>
  <sheetViews>
    <sheetView workbookViewId="0">
      <selection activeCell="B2" sqref="B2:K2"/>
    </sheetView>
  </sheetViews>
  <sheetFormatPr defaultRowHeight="15"/>
  <cols>
    <col min="2" max="2" width="93.28515625" customWidth="1"/>
    <col min="3" max="3" width="125" customWidth="1"/>
    <col min="4" max="4" width="21.42578125" customWidth="1"/>
    <col min="5" max="5" width="17.7109375" customWidth="1"/>
    <col min="6" max="6" width="21.42578125" customWidth="1"/>
    <col min="7" max="8" width="40.85546875" customWidth="1"/>
    <col min="9" max="9" width="70.140625" customWidth="1"/>
    <col min="10" max="10" width="110.28515625" customWidth="1"/>
    <col min="11" max="11" width="29.28515625" customWidth="1"/>
    <col min="12" max="12" width="40.7109375" customWidth="1"/>
    <col min="13" max="13" width="38.85546875" customWidth="1"/>
  </cols>
  <sheetData>
    <row r="2" spans="2:14" ht="24">
      <c r="B2" s="388" t="s">
        <v>795</v>
      </c>
      <c r="C2" s="388"/>
      <c r="D2" s="388"/>
      <c r="E2" s="388"/>
      <c r="F2" s="388"/>
      <c r="G2" s="388"/>
      <c r="H2" s="388"/>
      <c r="I2" s="388"/>
      <c r="J2" s="388"/>
      <c r="K2" s="388"/>
    </row>
    <row r="4" spans="2:14" ht="21">
      <c r="B4" s="289" t="s">
        <v>796</v>
      </c>
      <c r="C4" s="289" t="s">
        <v>797</v>
      </c>
      <c r="D4" s="289" t="s">
        <v>798</v>
      </c>
      <c r="E4" s="289" t="s">
        <v>799</v>
      </c>
      <c r="F4" s="289" t="s">
        <v>800</v>
      </c>
      <c r="G4" s="297" t="s">
        <v>801</v>
      </c>
      <c r="H4" s="298" t="s">
        <v>802</v>
      </c>
      <c r="I4" s="289" t="s">
        <v>58</v>
      </c>
      <c r="J4" s="298" t="s">
        <v>803</v>
      </c>
      <c r="K4" s="289" t="s">
        <v>804</v>
      </c>
      <c r="L4" s="289" t="s">
        <v>805</v>
      </c>
      <c r="M4" s="289" t="s">
        <v>806</v>
      </c>
      <c r="N4" s="308"/>
    </row>
    <row r="5" spans="2:14" ht="21">
      <c r="B5" s="290" t="s">
        <v>807</v>
      </c>
      <c r="C5" s="290" t="s">
        <v>808</v>
      </c>
      <c r="D5" s="290">
        <v>8</v>
      </c>
      <c r="E5" s="290">
        <v>6</v>
      </c>
      <c r="F5" s="290">
        <v>48</v>
      </c>
      <c r="G5" s="292" t="s">
        <v>809</v>
      </c>
      <c r="H5" s="299" t="s">
        <v>810</v>
      </c>
      <c r="I5" s="290" t="s">
        <v>811</v>
      </c>
      <c r="J5" s="299" t="s">
        <v>812</v>
      </c>
      <c r="K5" s="291">
        <v>3000</v>
      </c>
      <c r="L5" s="290">
        <v>500</v>
      </c>
      <c r="M5" s="290">
        <v>1.5</v>
      </c>
      <c r="N5" s="308"/>
    </row>
    <row r="6" spans="2:14" ht="21">
      <c r="B6" s="290" t="s">
        <v>813</v>
      </c>
      <c r="C6" s="290" t="s">
        <v>814</v>
      </c>
      <c r="D6" s="290">
        <v>6</v>
      </c>
      <c r="E6" s="290">
        <v>5</v>
      </c>
      <c r="F6" s="290">
        <v>30</v>
      </c>
      <c r="G6" s="292" t="s">
        <v>815</v>
      </c>
      <c r="H6" s="299" t="s">
        <v>816</v>
      </c>
      <c r="I6" s="290" t="s">
        <v>817</v>
      </c>
      <c r="J6" s="299" t="s">
        <v>818</v>
      </c>
      <c r="K6" s="291">
        <v>5000</v>
      </c>
      <c r="L6" s="291">
        <v>1000</v>
      </c>
      <c r="M6" s="290" t="s">
        <v>819</v>
      </c>
      <c r="N6" s="308"/>
    </row>
    <row r="7" spans="2:14" ht="21">
      <c r="B7" s="290" t="s">
        <v>820</v>
      </c>
      <c r="C7" s="290" t="s">
        <v>821</v>
      </c>
      <c r="D7" s="290">
        <v>20</v>
      </c>
      <c r="E7" s="290">
        <v>12</v>
      </c>
      <c r="F7" s="290">
        <v>240</v>
      </c>
      <c r="G7" s="292" t="s">
        <v>822</v>
      </c>
      <c r="H7" s="299" t="s">
        <v>823</v>
      </c>
      <c r="I7" s="290" t="s">
        <v>824</v>
      </c>
      <c r="J7" s="299" t="s">
        <v>825</v>
      </c>
      <c r="K7" s="291">
        <v>10000</v>
      </c>
      <c r="L7" s="291">
        <v>1500</v>
      </c>
      <c r="M7" s="290">
        <v>8</v>
      </c>
      <c r="N7" s="308"/>
    </row>
    <row r="8" spans="2:14" ht="21">
      <c r="B8" s="290" t="s">
        <v>826</v>
      </c>
      <c r="C8" s="290" t="s">
        <v>827</v>
      </c>
      <c r="D8" s="290">
        <v>7</v>
      </c>
      <c r="E8" s="290">
        <v>5</v>
      </c>
      <c r="F8" s="290">
        <v>35</v>
      </c>
      <c r="G8" s="292" t="s">
        <v>828</v>
      </c>
      <c r="H8" s="299" t="s">
        <v>829</v>
      </c>
      <c r="I8" s="290" t="s">
        <v>830</v>
      </c>
      <c r="J8" s="299" t="s">
        <v>831</v>
      </c>
      <c r="K8" s="291">
        <v>6000</v>
      </c>
      <c r="L8" s="291">
        <v>1000</v>
      </c>
      <c r="M8" s="290">
        <v>2</v>
      </c>
      <c r="N8" s="308"/>
    </row>
    <row r="9" spans="2:14" ht="21">
      <c r="B9" s="290" t="s">
        <v>832</v>
      </c>
      <c r="C9" s="290" t="s">
        <v>833</v>
      </c>
      <c r="D9" s="290">
        <v>5</v>
      </c>
      <c r="E9" s="290">
        <v>4</v>
      </c>
      <c r="F9" s="290">
        <v>20</v>
      </c>
      <c r="G9" s="293" t="s">
        <v>834</v>
      </c>
      <c r="H9" s="299" t="s">
        <v>835</v>
      </c>
      <c r="I9" s="290" t="s">
        <v>836</v>
      </c>
      <c r="J9" s="299" t="s">
        <v>837</v>
      </c>
      <c r="K9" s="291">
        <v>8000</v>
      </c>
      <c r="L9" s="291">
        <v>1200</v>
      </c>
      <c r="M9" s="290">
        <v>5</v>
      </c>
      <c r="N9" s="308"/>
    </row>
    <row r="10" spans="2:14" ht="21">
      <c r="B10" s="290" t="s">
        <v>838</v>
      </c>
      <c r="C10" s="290" t="s">
        <v>839</v>
      </c>
      <c r="D10" s="290">
        <v>8</v>
      </c>
      <c r="E10" s="290">
        <v>6</v>
      </c>
      <c r="F10" s="290">
        <v>48</v>
      </c>
      <c r="G10" s="292" t="s">
        <v>809</v>
      </c>
      <c r="H10" s="299" t="s">
        <v>810</v>
      </c>
      <c r="I10" s="290" t="s">
        <v>840</v>
      </c>
      <c r="J10" s="299" t="s">
        <v>841</v>
      </c>
      <c r="K10" s="291">
        <v>2000</v>
      </c>
      <c r="L10" s="290">
        <v>400</v>
      </c>
      <c r="M10" s="290">
        <v>1</v>
      </c>
      <c r="N10" s="308"/>
    </row>
    <row r="11" spans="2:14" ht="21">
      <c r="B11" s="290" t="s">
        <v>842</v>
      </c>
      <c r="C11" s="290" t="s">
        <v>843</v>
      </c>
      <c r="D11" s="290">
        <v>4</v>
      </c>
      <c r="E11" s="290">
        <v>3</v>
      </c>
      <c r="F11" s="290">
        <v>12</v>
      </c>
      <c r="G11" s="292" t="s">
        <v>844</v>
      </c>
      <c r="H11" s="299" t="s">
        <v>844</v>
      </c>
      <c r="I11" s="290" t="s">
        <v>845</v>
      </c>
      <c r="J11" s="299" t="s">
        <v>846</v>
      </c>
      <c r="K11" s="291">
        <v>12000</v>
      </c>
      <c r="L11" s="291">
        <v>2000</v>
      </c>
      <c r="M11" s="290" t="s">
        <v>844</v>
      </c>
      <c r="N11" s="308"/>
    </row>
    <row r="12" spans="2:14" ht="21">
      <c r="B12" s="290" t="s">
        <v>847</v>
      </c>
      <c r="C12" s="290" t="s">
        <v>848</v>
      </c>
      <c r="D12" s="290">
        <v>6</v>
      </c>
      <c r="E12" s="290">
        <v>4</v>
      </c>
      <c r="F12" s="290">
        <v>24</v>
      </c>
      <c r="G12" s="292" t="s">
        <v>849</v>
      </c>
      <c r="H12" s="299" t="s">
        <v>810</v>
      </c>
      <c r="I12" s="290" t="s">
        <v>850</v>
      </c>
      <c r="J12" s="299" t="s">
        <v>851</v>
      </c>
      <c r="K12" s="291">
        <v>5000</v>
      </c>
      <c r="L12" s="290">
        <v>800</v>
      </c>
      <c r="M12" s="290">
        <v>0.5</v>
      </c>
      <c r="N12" s="308"/>
    </row>
    <row r="15" spans="2:14" ht="20.25">
      <c r="B15" s="296" t="s">
        <v>852</v>
      </c>
    </row>
    <row r="16" spans="2:14" ht="20.25">
      <c r="B16" s="294" t="s">
        <v>853</v>
      </c>
      <c r="C16" s="289" t="s">
        <v>854</v>
      </c>
    </row>
    <row r="17" spans="2:3" ht="20.25">
      <c r="B17" s="294" t="s">
        <v>855</v>
      </c>
      <c r="C17" s="300" t="s">
        <v>856</v>
      </c>
    </row>
    <row r="18" spans="2:3" ht="20.25">
      <c r="B18" s="294" t="s">
        <v>857</v>
      </c>
      <c r="C18" s="300" t="s">
        <v>858</v>
      </c>
    </row>
    <row r="19" spans="2:3" ht="20.25">
      <c r="B19" s="294" t="s">
        <v>859</v>
      </c>
      <c r="C19" s="302"/>
    </row>
    <row r="20" spans="2:3" ht="20.25">
      <c r="B20" s="294" t="s">
        <v>860</v>
      </c>
      <c r="C20" s="301"/>
    </row>
    <row r="21" spans="2:3" ht="20.25">
      <c r="B21" s="295" t="s">
        <v>861</v>
      </c>
      <c r="C21" s="301"/>
    </row>
    <row r="22" spans="2:3" ht="20.25">
      <c r="B22" s="295" t="s">
        <v>862</v>
      </c>
    </row>
    <row r="23" spans="2:3" ht="20.25">
      <c r="B23" s="300" t="s">
        <v>863</v>
      </c>
    </row>
  </sheetData>
  <mergeCells count="1">
    <mergeCell ref="B2:K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53FAB-D4DF-4407-AE90-24D8E540EE36}">
  <dimension ref="A1:I48"/>
  <sheetViews>
    <sheetView topLeftCell="C47" workbookViewId="0">
      <selection activeCell="C26" sqref="C26:D27"/>
    </sheetView>
  </sheetViews>
  <sheetFormatPr defaultRowHeight="15"/>
  <cols>
    <col min="1" max="1" width="19.85546875" bestFit="1" customWidth="1"/>
    <col min="2" max="2" width="34.42578125" bestFit="1" customWidth="1"/>
    <col min="3" max="3" width="58.140625" customWidth="1"/>
    <col min="4" max="4" width="32.85546875" customWidth="1"/>
    <col min="5" max="5" width="21.7109375" customWidth="1"/>
    <col min="6" max="6" width="10.85546875" bestFit="1" customWidth="1"/>
  </cols>
  <sheetData>
    <row r="1" spans="1:5">
      <c r="A1" s="49"/>
      <c r="B1" s="49"/>
      <c r="C1" s="49"/>
      <c r="D1" s="49"/>
    </row>
    <row r="2" spans="1:5">
      <c r="A2" s="47"/>
      <c r="B2" s="47"/>
      <c r="C2" s="47"/>
      <c r="D2" s="48"/>
    </row>
    <row r="3" spans="1:5">
      <c r="A3" s="47"/>
      <c r="B3" s="47"/>
      <c r="C3" s="47"/>
      <c r="D3" s="48"/>
    </row>
    <row r="4" spans="1:5">
      <c r="A4" s="47"/>
      <c r="B4" s="47"/>
      <c r="C4" s="47"/>
      <c r="D4" s="48"/>
    </row>
    <row r="5" spans="1:5">
      <c r="A5" s="47"/>
      <c r="B5" s="47"/>
      <c r="C5" s="47"/>
      <c r="D5" s="48"/>
    </row>
    <row r="6" spans="1:5">
      <c r="A6" s="47"/>
      <c r="B6" s="47"/>
      <c r="C6" s="47"/>
      <c r="D6" s="48"/>
    </row>
    <row r="9" spans="1:5">
      <c r="B9" s="50"/>
      <c r="C9" s="50"/>
    </row>
    <row r="10" spans="1:5">
      <c r="B10" s="50"/>
      <c r="C10" s="50"/>
    </row>
    <row r="14" spans="1:5" ht="18.75">
      <c r="C14" s="236" t="s">
        <v>864</v>
      </c>
      <c r="D14" s="236"/>
      <c r="E14" s="236"/>
    </row>
    <row r="17" spans="2:9">
      <c r="B17" s="180" t="s">
        <v>865</v>
      </c>
      <c r="C17" s="180" t="s">
        <v>866</v>
      </c>
      <c r="D17" s="180" t="s">
        <v>867</v>
      </c>
      <c r="E17" s="180" t="s">
        <v>868</v>
      </c>
      <c r="F17" s="180" t="s">
        <v>869</v>
      </c>
    </row>
    <row r="18" spans="2:9">
      <c r="B18" s="175" t="s">
        <v>870</v>
      </c>
      <c r="C18" s="176">
        <v>80</v>
      </c>
      <c r="D18" s="176">
        <v>160</v>
      </c>
      <c r="E18" s="176">
        <v>80</v>
      </c>
      <c r="F18" s="177">
        <v>1</v>
      </c>
    </row>
    <row r="19" spans="2:9">
      <c r="B19" s="175" t="s">
        <v>871</v>
      </c>
      <c r="C19" s="176" t="s">
        <v>872</v>
      </c>
      <c r="D19" s="176" t="s">
        <v>873</v>
      </c>
      <c r="E19" s="178" t="s">
        <v>874</v>
      </c>
      <c r="F19" s="175" t="s">
        <v>875</v>
      </c>
    </row>
    <row r="20" spans="2:9">
      <c r="B20" s="175" t="s">
        <v>876</v>
      </c>
      <c r="C20" s="176" t="s">
        <v>877</v>
      </c>
      <c r="D20" s="176">
        <v>0</v>
      </c>
      <c r="E20" s="178" t="s">
        <v>878</v>
      </c>
      <c r="F20" s="177">
        <v>1</v>
      </c>
    </row>
    <row r="21" spans="2:9">
      <c r="B21" s="175" t="s">
        <v>879</v>
      </c>
      <c r="C21" s="179">
        <v>0.55000000000000004</v>
      </c>
      <c r="D21" s="179">
        <v>0.85</v>
      </c>
      <c r="E21" s="179">
        <v>0.3</v>
      </c>
      <c r="F21" s="175" t="s">
        <v>880</v>
      </c>
    </row>
    <row r="22" spans="2:9">
      <c r="B22" s="175" t="s">
        <v>881</v>
      </c>
      <c r="C22" s="179">
        <v>0.6</v>
      </c>
      <c r="D22" s="179">
        <v>0.92</v>
      </c>
      <c r="E22" s="179">
        <v>0.32</v>
      </c>
      <c r="F22" s="175" t="s">
        <v>882</v>
      </c>
    </row>
    <row r="23" spans="2:9">
      <c r="B23" s="175" t="s">
        <v>883</v>
      </c>
      <c r="C23" s="176">
        <v>5</v>
      </c>
      <c r="D23" s="176">
        <v>9</v>
      </c>
      <c r="E23" s="176">
        <v>4</v>
      </c>
      <c r="F23" s="177">
        <v>0.8</v>
      </c>
    </row>
    <row r="26" spans="2:9">
      <c r="C26" s="416" t="s">
        <v>884</v>
      </c>
      <c r="D26" s="417"/>
    </row>
    <row r="27" spans="2:9">
      <c r="C27" s="417"/>
      <c r="D27" s="417"/>
    </row>
    <row r="29" spans="2:9">
      <c r="B29" s="389" t="s">
        <v>885</v>
      </c>
      <c r="C29" s="389" t="s">
        <v>886</v>
      </c>
      <c r="D29" s="392" t="s">
        <v>887</v>
      </c>
      <c r="E29" s="394" t="s">
        <v>888</v>
      </c>
      <c r="F29" s="394"/>
      <c r="G29" s="395"/>
      <c r="H29" s="394" t="s">
        <v>889</v>
      </c>
      <c r="I29" s="395"/>
    </row>
    <row r="30" spans="2:9">
      <c r="B30" s="390"/>
      <c r="C30" s="391"/>
      <c r="D30" s="393"/>
      <c r="E30" s="396"/>
      <c r="F30" s="396"/>
      <c r="G30" s="397"/>
      <c r="H30" s="396"/>
      <c r="I30" s="397"/>
    </row>
    <row r="31" spans="2:9">
      <c r="B31" s="230" t="s">
        <v>890</v>
      </c>
      <c r="C31" s="231" t="s">
        <v>891</v>
      </c>
      <c r="D31" s="403" t="s">
        <v>892</v>
      </c>
      <c r="E31" s="400" t="s">
        <v>893</v>
      </c>
      <c r="F31" s="404"/>
      <c r="G31" s="405"/>
      <c r="H31" s="406" t="s">
        <v>894</v>
      </c>
      <c r="I31" s="399"/>
    </row>
    <row r="32" spans="2:9">
      <c r="B32" s="230" t="s">
        <v>895</v>
      </c>
      <c r="C32" s="232" t="s">
        <v>896</v>
      </c>
      <c r="D32" s="403"/>
      <c r="E32" s="400"/>
      <c r="F32" s="404"/>
      <c r="G32" s="405"/>
      <c r="H32" s="398" t="s">
        <v>897</v>
      </c>
      <c r="I32" s="399"/>
    </row>
    <row r="33" spans="2:9">
      <c r="B33" s="230" t="s">
        <v>898</v>
      </c>
      <c r="C33" s="232" t="s">
        <v>899</v>
      </c>
      <c r="D33" s="403"/>
      <c r="E33" s="402"/>
      <c r="F33" s="330"/>
      <c r="G33" s="303"/>
      <c r="H33" s="398" t="s">
        <v>900</v>
      </c>
      <c r="I33" s="399"/>
    </row>
    <row r="34" spans="2:9">
      <c r="B34" s="400" t="s">
        <v>901</v>
      </c>
      <c r="C34" s="232" t="s">
        <v>902</v>
      </c>
      <c r="D34" s="401" t="s">
        <v>903</v>
      </c>
      <c r="E34" s="402"/>
      <c r="F34" s="330"/>
      <c r="G34" s="303"/>
      <c r="H34" s="398"/>
      <c r="I34" s="399"/>
    </row>
    <row r="35" spans="2:9">
      <c r="B35" s="400"/>
      <c r="C35" s="232" t="s">
        <v>904</v>
      </c>
      <c r="D35" s="401"/>
      <c r="E35" s="402"/>
      <c r="F35" s="330"/>
      <c r="G35" s="303"/>
      <c r="H35" s="398"/>
      <c r="I35" s="399"/>
    </row>
    <row r="36" spans="2:9" ht="18.75">
      <c r="B36" s="230"/>
      <c r="C36" s="233" t="s">
        <v>905</v>
      </c>
      <c r="D36" s="407" t="s">
        <v>906</v>
      </c>
      <c r="E36" s="408" t="s">
        <v>907</v>
      </c>
      <c r="F36" s="409"/>
      <c r="G36" s="410"/>
      <c r="H36" s="330"/>
      <c r="I36" s="411"/>
    </row>
    <row r="37" spans="2:9">
      <c r="B37" s="230"/>
      <c r="C37" s="231" t="s">
        <v>908</v>
      </c>
      <c r="D37" s="401"/>
      <c r="E37" s="400" t="s">
        <v>909</v>
      </c>
      <c r="F37" s="404"/>
      <c r="G37" s="405"/>
      <c r="H37" s="402"/>
      <c r="I37" s="411"/>
    </row>
    <row r="38" spans="2:9">
      <c r="B38" s="230"/>
      <c r="C38" s="232" t="s">
        <v>910</v>
      </c>
      <c r="D38" s="412"/>
      <c r="E38" s="400"/>
      <c r="F38" s="404"/>
      <c r="G38" s="405"/>
      <c r="H38" s="402"/>
      <c r="I38" s="411"/>
    </row>
    <row r="39" spans="2:9">
      <c r="B39" s="230"/>
      <c r="C39" s="232" t="s">
        <v>911</v>
      </c>
      <c r="D39" s="412"/>
      <c r="E39" s="400" t="s">
        <v>912</v>
      </c>
      <c r="F39" s="404"/>
      <c r="G39" s="405"/>
      <c r="H39" s="402"/>
      <c r="I39" s="411"/>
    </row>
    <row r="40" spans="2:9">
      <c r="B40" s="230"/>
      <c r="C40" s="232" t="s">
        <v>913</v>
      </c>
      <c r="E40" s="400"/>
      <c r="F40" s="404"/>
      <c r="G40" s="405"/>
      <c r="H40" s="402"/>
      <c r="I40" s="411"/>
    </row>
    <row r="41" spans="2:9">
      <c r="B41" s="230"/>
      <c r="C41" s="234"/>
      <c r="E41" s="402"/>
      <c r="F41" s="330"/>
      <c r="G41" s="411"/>
      <c r="H41" s="402"/>
      <c r="I41" s="411"/>
    </row>
    <row r="42" spans="2:9" ht="18.75">
      <c r="B42" s="421" t="s">
        <v>914</v>
      </c>
      <c r="C42" s="422"/>
      <c r="D42" s="408" t="s">
        <v>915</v>
      </c>
      <c r="E42" s="409"/>
      <c r="F42" s="409"/>
      <c r="G42" s="409"/>
      <c r="H42" s="409"/>
      <c r="I42" s="410"/>
    </row>
    <row r="43" spans="2:9">
      <c r="B43" s="423" t="s">
        <v>916</v>
      </c>
      <c r="C43" s="424"/>
      <c r="D43" s="423" t="s">
        <v>917</v>
      </c>
      <c r="E43" s="425"/>
      <c r="F43" s="425"/>
      <c r="G43" s="425"/>
      <c r="H43" s="425"/>
      <c r="I43" s="424"/>
    </row>
    <row r="44" spans="2:9">
      <c r="B44" s="418" t="s">
        <v>918</v>
      </c>
      <c r="C44" s="419"/>
      <c r="D44" s="418" t="s">
        <v>919</v>
      </c>
      <c r="E44" s="420"/>
      <c r="F44" s="420"/>
      <c r="G44" s="420"/>
      <c r="H44" s="420"/>
      <c r="I44" s="419"/>
    </row>
    <row r="45" spans="2:9">
      <c r="B45" s="418" t="s">
        <v>920</v>
      </c>
      <c r="C45" s="419"/>
      <c r="D45" s="418" t="s">
        <v>921</v>
      </c>
      <c r="E45" s="420"/>
      <c r="F45" s="420"/>
      <c r="G45" s="420"/>
      <c r="H45" s="420"/>
      <c r="I45" s="419"/>
    </row>
    <row r="46" spans="2:9">
      <c r="B46" s="418" t="s">
        <v>922</v>
      </c>
      <c r="C46" s="419"/>
      <c r="D46" s="235"/>
      <c r="E46" s="235"/>
      <c r="F46" s="235"/>
      <c r="G46" s="235"/>
      <c r="H46" s="235"/>
      <c r="I46" s="235"/>
    </row>
    <row r="47" spans="2:9">
      <c r="B47" s="402"/>
      <c r="C47" s="411"/>
      <c r="D47" s="402"/>
      <c r="E47" s="330"/>
      <c r="F47" s="330"/>
      <c r="G47" s="330"/>
      <c r="H47" s="330"/>
      <c r="I47" s="411"/>
    </row>
    <row r="48" spans="2:9">
      <c r="B48" s="413"/>
      <c r="C48" s="414"/>
      <c r="D48" s="413"/>
      <c r="E48" s="415"/>
      <c r="F48" s="415"/>
      <c r="G48" s="415"/>
      <c r="H48" s="415"/>
      <c r="I48" s="414"/>
    </row>
  </sheetData>
  <mergeCells count="43">
    <mergeCell ref="B48:C48"/>
    <mergeCell ref="D48:I48"/>
    <mergeCell ref="C26:D27"/>
    <mergeCell ref="B44:C44"/>
    <mergeCell ref="D44:I44"/>
    <mergeCell ref="B45:C45"/>
    <mergeCell ref="D45:I45"/>
    <mergeCell ref="B46:C46"/>
    <mergeCell ref="B47:C47"/>
    <mergeCell ref="D47:I47"/>
    <mergeCell ref="E41:G41"/>
    <mergeCell ref="H41:I41"/>
    <mergeCell ref="B42:C42"/>
    <mergeCell ref="D42:I42"/>
    <mergeCell ref="B43:C43"/>
    <mergeCell ref="D43:I43"/>
    <mergeCell ref="D36:D37"/>
    <mergeCell ref="E36:G36"/>
    <mergeCell ref="H36:I36"/>
    <mergeCell ref="E37:G38"/>
    <mergeCell ref="H37:I37"/>
    <mergeCell ref="D38:D39"/>
    <mergeCell ref="H38:I38"/>
    <mergeCell ref="E39:G40"/>
    <mergeCell ref="H39:I39"/>
    <mergeCell ref="H40:I40"/>
    <mergeCell ref="H33:I33"/>
    <mergeCell ref="B34:B35"/>
    <mergeCell ref="D34:D35"/>
    <mergeCell ref="E34:F34"/>
    <mergeCell ref="H34:I34"/>
    <mergeCell ref="E35:F35"/>
    <mergeCell ref="H35:I35"/>
    <mergeCell ref="D31:D33"/>
    <mergeCell ref="E31:G32"/>
    <mergeCell ref="H31:I31"/>
    <mergeCell ref="H32:I32"/>
    <mergeCell ref="E33:F33"/>
    <mergeCell ref="B29:B30"/>
    <mergeCell ref="C29:C30"/>
    <mergeCell ref="D29:D30"/>
    <mergeCell ref="E29:G30"/>
    <mergeCell ref="H29:I30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8243-7A27-4CF1-A63F-80603506DB4B}">
  <dimension ref="C5:K30"/>
  <sheetViews>
    <sheetView topLeftCell="A4" workbookViewId="0">
      <selection activeCell="F13" sqref="F13"/>
    </sheetView>
  </sheetViews>
  <sheetFormatPr defaultRowHeight="15"/>
  <cols>
    <col min="3" max="3" width="58.28515625" customWidth="1"/>
    <col min="4" max="4" width="30.140625" customWidth="1"/>
    <col min="5" max="5" width="19.42578125" customWidth="1"/>
    <col min="6" max="6" width="23.5703125" customWidth="1"/>
    <col min="10" max="10" width="29.28515625" customWidth="1"/>
    <col min="11" max="11" width="36.5703125" bestFit="1" customWidth="1"/>
  </cols>
  <sheetData>
    <row r="5" spans="3:11">
      <c r="C5" s="18"/>
      <c r="E5" s="19"/>
      <c r="F5" s="19"/>
    </row>
    <row r="6" spans="3:11">
      <c r="C6" s="426" t="s">
        <v>923</v>
      </c>
      <c r="D6" s="427"/>
      <c r="E6" s="427"/>
      <c r="F6" s="427"/>
    </row>
    <row r="7" spans="3:11">
      <c r="C7" s="426" t="s">
        <v>924</v>
      </c>
      <c r="D7" s="427"/>
      <c r="E7" s="427"/>
      <c r="F7" s="427"/>
    </row>
    <row r="8" spans="3:11">
      <c r="C8" s="428" t="s">
        <v>925</v>
      </c>
      <c r="D8" s="429"/>
      <c r="E8" s="429"/>
      <c r="F8" s="429"/>
    </row>
    <row r="9" spans="3:11">
      <c r="C9" s="430"/>
      <c r="D9" s="431"/>
      <c r="E9" s="431"/>
      <c r="F9" s="431"/>
    </row>
    <row r="10" spans="3:11">
      <c r="C10" s="309"/>
      <c r="D10" s="310"/>
      <c r="E10" s="158"/>
      <c r="F10" s="310"/>
    </row>
    <row r="11" spans="3:11" ht="15.75">
      <c r="C11" s="166" t="s">
        <v>926</v>
      </c>
      <c r="D11" s="166" t="s">
        <v>241</v>
      </c>
      <c r="E11" s="166" t="s">
        <v>927</v>
      </c>
      <c r="F11" s="166" t="s">
        <v>928</v>
      </c>
      <c r="J11" s="167" t="s">
        <v>929</v>
      </c>
      <c r="K11" s="168" t="s">
        <v>236</v>
      </c>
    </row>
    <row r="12" spans="3:11" ht="16.5">
      <c r="C12" s="150" t="s">
        <v>930</v>
      </c>
      <c r="D12" s="150">
        <v>600</v>
      </c>
      <c r="E12" s="151">
        <v>9</v>
      </c>
      <c r="F12" s="151">
        <v>5400</v>
      </c>
      <c r="J12" s="154" t="s">
        <v>269</v>
      </c>
      <c r="K12" s="237" t="s">
        <v>931</v>
      </c>
    </row>
    <row r="13" spans="3:11" ht="16.5">
      <c r="C13" s="150" t="s">
        <v>932</v>
      </c>
      <c r="D13" s="150">
        <v>12</v>
      </c>
      <c r="E13" s="151">
        <v>140</v>
      </c>
      <c r="F13" s="151">
        <v>1680</v>
      </c>
      <c r="J13" s="154" t="s">
        <v>271</v>
      </c>
      <c r="K13" s="237" t="s">
        <v>933</v>
      </c>
    </row>
    <row r="14" spans="3:11" ht="30.75">
      <c r="C14" s="150" t="s">
        <v>934</v>
      </c>
      <c r="D14" s="150">
        <v>2</v>
      </c>
      <c r="E14" s="151">
        <v>190</v>
      </c>
      <c r="F14" s="151">
        <v>380</v>
      </c>
      <c r="J14" s="154" t="s">
        <v>935</v>
      </c>
      <c r="K14" s="238" t="s">
        <v>936</v>
      </c>
    </row>
    <row r="15" spans="3:11" ht="30.75">
      <c r="C15" s="150" t="s">
        <v>937</v>
      </c>
      <c r="D15" s="150">
        <v>8</v>
      </c>
      <c r="E15" s="151">
        <v>110</v>
      </c>
      <c r="F15" s="151">
        <v>880</v>
      </c>
      <c r="J15" s="154" t="s">
        <v>938</v>
      </c>
      <c r="K15" s="238" t="s">
        <v>939</v>
      </c>
    </row>
    <row r="16" spans="3:11" ht="15.75">
      <c r="C16" s="150" t="s">
        <v>940</v>
      </c>
      <c r="D16" s="150">
        <v>2</v>
      </c>
      <c r="E16" s="151">
        <v>480</v>
      </c>
      <c r="F16" s="151">
        <v>960</v>
      </c>
      <c r="J16" s="154" t="s">
        <v>941</v>
      </c>
      <c r="K16" s="238" t="s">
        <v>942</v>
      </c>
    </row>
    <row r="17" spans="3:11" ht="15.75">
      <c r="C17" s="150" t="s">
        <v>943</v>
      </c>
      <c r="D17" s="150">
        <v>1</v>
      </c>
      <c r="E17" s="151">
        <v>1400</v>
      </c>
      <c r="F17" s="151">
        <v>1400</v>
      </c>
      <c r="K17" s="47"/>
    </row>
    <row r="18" spans="3:11" ht="15.75">
      <c r="C18" s="156" t="s">
        <v>944</v>
      </c>
      <c r="D18" s="152" t="s">
        <v>293</v>
      </c>
      <c r="E18" s="152" t="s">
        <v>293</v>
      </c>
      <c r="F18" s="153">
        <f>SUM(F12:G17)</f>
        <v>10700</v>
      </c>
    </row>
    <row r="19" spans="3:11" ht="15.75">
      <c r="C19" s="156" t="s">
        <v>945</v>
      </c>
      <c r="D19" s="152" t="s">
        <v>293</v>
      </c>
      <c r="E19" s="152" t="s">
        <v>293</v>
      </c>
      <c r="F19" s="153">
        <v>9400</v>
      </c>
    </row>
    <row r="20" spans="3:11" ht="15.75">
      <c r="C20" s="156"/>
      <c r="D20" s="152"/>
      <c r="E20" s="152"/>
      <c r="F20" s="153"/>
    </row>
    <row r="21" spans="3:11" ht="15.75">
      <c r="C21" s="156"/>
      <c r="D21" s="152"/>
      <c r="E21" s="152"/>
      <c r="F21" s="153"/>
    </row>
    <row r="22" spans="3:11" ht="15.75">
      <c r="C22" s="156"/>
      <c r="D22" s="152"/>
      <c r="E22" s="152"/>
      <c r="F22" s="153"/>
    </row>
    <row r="24" spans="3:11">
      <c r="C24" s="165" t="s">
        <v>946</v>
      </c>
      <c r="D24" s="159" t="s">
        <v>947</v>
      </c>
    </row>
    <row r="25" spans="3:11" ht="30.75">
      <c r="C25" s="160" t="s">
        <v>948</v>
      </c>
      <c r="D25" s="161">
        <v>6000</v>
      </c>
    </row>
    <row r="26" spans="3:11">
      <c r="C26" s="160" t="s">
        <v>949</v>
      </c>
      <c r="D26" s="161">
        <v>2400</v>
      </c>
    </row>
    <row r="27" spans="3:11" ht="30.75">
      <c r="C27" s="160" t="s">
        <v>950</v>
      </c>
      <c r="D27" s="161">
        <v>1000</v>
      </c>
    </row>
    <row r="28" spans="3:11">
      <c r="C28" s="162" t="s">
        <v>951</v>
      </c>
      <c r="D28" s="161">
        <v>9400</v>
      </c>
    </row>
    <row r="29" spans="3:11">
      <c r="C29" s="164" t="s">
        <v>952</v>
      </c>
      <c r="D29" s="154" t="s">
        <v>953</v>
      </c>
    </row>
    <row r="30" spans="3:11">
      <c r="C30" s="164" t="s">
        <v>954</v>
      </c>
      <c r="D30" s="163" t="s">
        <v>955</v>
      </c>
    </row>
  </sheetData>
  <mergeCells count="4">
    <mergeCell ref="C6:F6"/>
    <mergeCell ref="C7:F7"/>
    <mergeCell ref="C8:F8"/>
    <mergeCell ref="C9:F9"/>
  </mergeCells>
  <pageMargins left="0.7" right="0.7" top="0.75" bottom="0.75" header="0.3" footer="0.3"/>
  <legacy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Bénéwendé Arcus Marie ZOUNGRANA</cp:lastModifiedBy>
  <cp:revision/>
  <dcterms:created xsi:type="dcterms:W3CDTF">2025-09-13T16:22:16Z</dcterms:created>
  <dcterms:modified xsi:type="dcterms:W3CDTF">2025-10-23T00:46:08Z</dcterms:modified>
  <cp:category/>
  <cp:contentStatus/>
</cp:coreProperties>
</file>