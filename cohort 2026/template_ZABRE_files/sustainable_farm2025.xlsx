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184" windowHeight="9804" firstSheet="1" activeTab="1"/>
  </bookViews>
  <sheets>
    <sheet name="Overall Farm" sheetId="1" r:id="rId1"/>
    <sheet name="Plants(Zalka)" sheetId="2" r:id="rId2"/>
    <sheet name="Irrigation System(Arcus)" sheetId="3" r:id="rId3"/>
    <sheet name="Processing Machines(Ange Marie)" sheetId="4" r:id="rId4"/>
    <sheet name="Smart Dryer(Cedric)" sheetId="5" r:id="rId5"/>
    <sheet name="Solar PV power plant(Abdoul)" sheetId="6" r:id="rId6"/>
    <sheet name="Solar tracking(Narcisse)" sheetId="7" r:id="rId7"/>
    <sheet name="Narcisse" sheetId="10" r:id="rId8"/>
    <sheet name="No Reesa(Afiatou)" sheetId="8" r:id="rId9"/>
    <sheet name="Face Recognition(Yanick)"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tc={995BE70A-99E2-4B0C-A4C0-DC95AFC3E5FC}</author>
  </authors>
  <commentList>
    <comment ref="C15"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How did you choose this place? Did You make this choice based on which  research. Please add the documentation.
Reply:
    There is a table below responding to your question.</t>
        </r>
      </text>
    </comment>
  </commentList>
</comments>
</file>

<file path=xl/comments2.xml><?xml version="1.0" encoding="utf-8"?>
<comments xmlns="http://schemas.openxmlformats.org/spreadsheetml/2006/main">
  <authors>
    <author>tc={51663C2D-AB48-41CE-9CF7-49936A60FB86}</author>
  </authors>
  <commentList>
    <comment ref="A36"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What do you mean by operational cost</t>
        </r>
      </text>
    </comment>
  </commentList>
</comments>
</file>

<file path=xl/comments3.xml><?xml version="1.0" encoding="utf-8"?>
<comments xmlns="http://schemas.openxmlformats.org/spreadsheetml/2006/main">
  <authors>
    <author>tc={B5CA61C2-7C5C-4BD6-B04E-23162FE0E237}</author>
    <author>tc={34CE7EB9-8758-4483-BD1C-C0B75FF8F5B4}</author>
    <author>tc={B046A186-BFC2-418A-BAE0-618E8F556A24}</author>
    <author>tc={87341C9E-B9DB-46D3-A2AE-F69101F97733}</author>
    <author>tc={A2EC88CB-F0FA-4B5A-87BE-4EFA3FD8B23F}</author>
    <author>tc={E19C23D8-BDDB-4941-BC67-7D4382D1D427}</author>
    <author>tc={E63A8420-42E4-475E-9B92-4E143EEB8E76}</author>
    <author>tc={19629B0B-C54E-4B3C-8465-8E35837978E0}</author>
    <author>tc={2A25DE7A-0856-4475-AD35-68E9FCF33CAC}</author>
    <author>tc={892C97E1-21AA-4D14-AE88-EC5916786E41}</author>
    <author>tc={287FF172-FD47-454D-A575-9A9EF6B072D9}</author>
    <author>tc={4A14AA5F-08E0-4FCB-A3C9-8381563E4600}</author>
    <author>tc={CC67322F-66CC-4932-B3F8-6FFF15835BFE}</author>
    <author>tc={41F8602B-B192-415A-96DD-0A8EE8D03FCE}</author>
    <author>tc={73136E15-C0EE-4511-87AF-28D1D6E443C1}</author>
    <author>tc={15B1AD36-D8B6-4774-B0AD-76A7754F6B21}</author>
    <author>tc={76E52E48-D57E-45CC-8C24-B37A110B39FE}</author>
    <author>tc={5624E5AC-E820-4CA7-A66F-694F2E3C759D}</author>
    <author>tc={8391718E-3BCD-4A8F-94D6-E2519B5CAF6A}</author>
    <author>tc={1F6F246C-E630-4B82-BC73-079414E2AE0A}</author>
    <author>tc={D5590B21-3252-4B15-A613-BD2E41FDBFA8}</author>
    <author>tc={4D3C663A-8D68-4538-8B8E-49A679EDA1FF}</author>
    <author>tc={CB6F7D8E-A003-43C3-86F6-5C1E11FFE1C1}</author>
    <author>tc={30737756-ECBA-4179-BDAF-FE843EB63C53}</author>
    <author>tc={0509A75C-744A-4D34-A90C-256795441E77}</author>
    <author>tc={D9553B01-96AA-485D-8472-0FD1027EB1E5}</author>
  </authors>
  <commentList>
    <comment ref="A2"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To improve the irrigation system, we can use smart IoT control to monitor soil moisture and automate irrigation scheduling, include a remote monitoring dashboard in the system for performance tracking like PV output, water levels, etc, add water recycling and filtration units for better sustainability</t>
        </r>
      </text>
    </comment>
    <comment ref="T5" authorId="1">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150 is the cost of the kWh</t>
        </r>
      </text>
    </comment>
    <comment ref="D15" authorId="2">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please check fixed vs variable cost?
Reply:
    Yes I did. You can have a look on the cost calculations table. What is marked in slight green represents the variable costs. The blue one is the fixed</t>
        </r>
      </text>
    </comment>
    <comment ref="C22" authorId="3">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where does 100 comes from? report, study, guess? 
Reply:
    this depends on how big is the spacing between the trees as well. could you add this parameter to the input column
Reply:
    100 is the estimated number of trees in 1 hectare with a space of 10 m between the trees. You can see the details in the input parameters and definitions</t>
        </r>
      </text>
    </comment>
    <comment ref="D22" authorId="4">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please make the formula easy to explain e.g. what is 1000? what is 100? you could make a separate column for  the input parameters
Reply:
    You can find the explanation in the input parameters and definition table</t>
        </r>
      </text>
    </comment>
    <comment ref="E22" authorId="5">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does the tree age play a role? e.g. young trees vs mature trees
Reply:
    does this number applies to all year long and all climate conditions e.g. in rainy season the number could be low, ..etc.
Reply:
    this is for mature mango trees in dry season</t>
        </r>
      </text>
    </comment>
    <comment ref="F22" authorId="6">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what is 5? please explain as suggested with input column
Reply:
    it represents the daily irrigation duration</t>
        </r>
      </text>
    </comment>
    <comment ref="G22" authorId="7">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60 is the number of minutes in 1 hour</t>
        </r>
      </text>
    </comment>
    <comment ref="L22" authorId="8">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does this calculation include any buffer to compensate for losses e.g. efficiency, variations ...etc.?please consider that and adjust your calculations accordingly
Reply:
    yes, it does include any buffer for compensation in case of losses</t>
        </r>
      </text>
    </comment>
    <comment ref="A25" authorId="9">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Some of the cost are local cost. For the smart add-on, drip irrigation, filtration+MPPT costs, it has been estimated basing on the international market</t>
        </r>
      </text>
    </comment>
    <comment ref="T26" authorId="1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Add hyperlinks </t>
        </r>
      </text>
    </comment>
    <comment ref="A27" authorId="11">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what is the capacity of the tank?
Reply:
    Variable because larger farms need larger tanks</t>
        </r>
      </text>
    </comment>
    <comment ref="E27" authorId="12">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did you consider any cheaper alternatives?
Reply:
    Yes I considered now</t>
        </r>
      </text>
    </comment>
    <comment ref="A28" authorId="13">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may vary because it's linear with number of trees or area</t>
        </r>
      </text>
    </comment>
    <comment ref="J28" authorId="14">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CAPEX (Capital Expenditure)</t>
        </r>
      </text>
    </comment>
    <comment ref="A29" authorId="15">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It scale vary with pump size and water demand</t>
        </r>
      </text>
    </comment>
    <comment ref="D29" authorId="1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from which market? burkina faso, china, germany?
Reply:
    Locally
</t>
        </r>
      </text>
    </comment>
    <comment ref="A30" authorId="17">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Scales when higher flow is needed</t>
        </r>
      </text>
    </comment>
    <comment ref="A31" authorId="18">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Fixed because we need one controller for the pump</t>
        </r>
      </text>
    </comment>
    <comment ref="E33" authorId="19">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how much time do you think you can get this investment sum repaid back. payback period is short means a profitable project, if payback period is long it means less profitable project. make assumptions to calculate payback period
Reply:
    You can see it on the calculation table</t>
        </r>
      </text>
    </comment>
    <comment ref="H33" authorId="2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replaced every 10 years; 2 replacement in total during the project lifetime</t>
        </r>
      </text>
    </comment>
    <comment ref="M33" authorId="21">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where did you get these data. Add Reference</t>
        </r>
      </text>
    </comment>
    <comment ref="H34" authorId="22">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replaced every 10 years; 2 replacement in total</t>
        </r>
      </text>
    </comment>
    <comment ref="H35" authorId="23">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replaced every 10 years also; 2 replacement in total during the project lifetime</t>
        </r>
      </text>
    </comment>
    <comment ref="U35" authorId="24">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100 represents the daily needs in terms of water per tree</t>
        </r>
      </text>
    </comment>
    <comment ref="W43" authorId="25">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20 is the water need per day in cubic meter</t>
        </r>
      </text>
    </comment>
  </commentList>
</comments>
</file>

<file path=xl/comments4.xml><?xml version="1.0" encoding="utf-8"?>
<comments xmlns="http://schemas.openxmlformats.org/spreadsheetml/2006/main">
  <authors>
    <author>tc={3B5B4A5C-1540-4A5C-B265-7A9B69BF94B1}</author>
    <author>tc={55E8B360-440F-4231-87DA-16F19DBD6083}</author>
    <author>tc={DA61F77F-54E6-4B0E-9684-90D85F7012AC}</author>
    <author>tc={5E36174B-72D2-4061-AA6B-C464FF877BA9}</author>
    <author>tc={12B0CCDA-B040-4AF8-9752-0932C7726612}</author>
    <author>tc={13DC0BDD-8FD5-44D4-980D-3FAC0AA6374D}</author>
    <author>tc={F175AF6E-155D-4863-833D-D392C61721FB}</author>
    <author>tc={69CC5C8E-95A1-42B3-AE11-A3C77AA4BE21}</author>
    <author>tc={00B4676F-CBDB-4825-B59A-A35464238CCB}</author>
    <author>tc={C51D9A80-1FCF-4B6C-8C30-711F181EA2FE}</author>
    <author>tc={4802152D-B483-4806-81E4-853604479D39}</author>
    <author>tc={72B315D0-A92E-40BD-B682-DFF14FB08BA4}</author>
  </authors>
  <commentList>
    <comment ref="A2"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we might not need a ball mill for the mango but what we need are machines which can be used for cutting the mango</t>
        </r>
      </text>
    </comment>
    <comment ref="B3" authorId="1">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why are the numbers fluctuating?
Reply:
    The numbers rise and fall because in Burkina Faso there are periods when mango production is very high and when this period passes production also falls.</t>
        </r>
      </text>
    </comment>
    <comment ref="C3" authorId="2">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how is this calculated?
Reply:
    The number is based on study showing that the waste generated is around 50% of the quantity of processed mangoes.</t>
        </r>
      </text>
    </comment>
    <comment ref="D3" authorId="3">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how is biogas calculated? is it assumed or based on study?
Reply:
    The biogas is calculated by following this formula : 1 kg of mango waste gives 0.043 m³ of biogas. This formula is based on study from the net.</t>
        </r>
      </text>
    </comment>
    <comment ref="J3" authorId="4">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Quantification et caractérisation des
déchets de mangue au Burkina Faso – ESJ</t>
        </r>
      </text>
    </comment>
    <comment ref="K4" authorId="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This biogas volume was used to calculate biogas outputs for each month of the year.
</t>
        </r>
      </text>
    </comment>
    <comment ref="J10" authorId="6">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Suitable for a 2-hectare farm  
Daily average     3 kW × 5 h × 30 days     
 1 m³ ≈ 6 kWh  </t>
        </r>
      </text>
    </comment>
    <comment ref="B24" authorId="7">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This annual output is from the plant sheet in the common excel precisely from plants(Zalka) sheet</t>
        </r>
      </text>
    </comment>
    <comment ref="G27" authorId="8">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Each price has his own link which explain the fact we don't have any formulas there or calculation</t>
        </r>
      </text>
    </comment>
    <comment ref="B29" authorId="9">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It can be used for biogas and the compost</t>
        </r>
      </text>
    </comment>
    <comment ref="A31" authorId="1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200–300 kg/hour1–2 hours/week sufficientSlicing &amp; DryingElectric/Solar Dehydrator50 kg/batch → 5 batches/weekMatches 
229 kg/week dried mango 
outputMilling to PowderHammer/Ball Mill50 kg/hour → ~2.5 hours/weekEfficient for 114.5 kg powder/week</t>
        </r>
      </text>
    </comment>
    <comment ref="A44" authorId="11">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(machines, setup)</t>
        </r>
      </text>
    </comment>
  </commentList>
</comments>
</file>

<file path=xl/comments5.xml><?xml version="1.0" encoding="utf-8"?>
<comments xmlns="http://schemas.openxmlformats.org/spreadsheetml/2006/main">
  <authors>
    <author>tc={30694B0C-B7C0-423E-8071-0E901121F13D}</author>
    <author>tc={A8AB2132-491C-40FC-8167-A4492DE937F3}</author>
    <author>tc={AE53CCDD-16F4-4EF0-B5DC-1D7C98B929FB}</author>
    <author>tc={EBEDA288-CA0E-4F7C-9E06-6A8019C6D2DA}</author>
    <author>tc={BCC751D3-7955-4B44-B762-AF7FB32E0018}</author>
    <author>tc={753BF6E2-4B3E-4436-9CF2-5A0882711F66}</author>
    <author>tc={C7EF18BD-B85D-4954-87E5-07E6AE76388A}</author>
    <author>tc={D951C372-0506-4115-8AB7-F872A9CFC94B}</author>
    <author>tc={8C26E72D-0395-4FCD-B593-447B3BF16F18}</author>
    <author>tc={06AD86B0-7E8C-4A63-8CBD-D8D0C8A8EF7A}</author>
    <author>tc={8023BE6E-9434-439C-8570-AF29F0292DA8}</author>
    <author>tc={125BEC1E-245A-4C9A-A0A9-4D2B90AD1CA7}</author>
    <author>tc={9DCD46C4-20AA-4A19-9FC9-6EBAF2BD727D}</author>
    <author>tc={50444CC8-3A1A-4EB7-9A54-68F72F882D58}</author>
    <author>tc={419161D0-89D9-40A4-9BBB-BDBD80D36272}</author>
    <author>tc={0AB6FBF4-C8E3-4369-A0FF-C50D8DD56783}</author>
    <author>tc={E7B8C9EB-DDF3-4510-8AAA-AEA5B9437ECA}</author>
    <author>tc={B24F0E4A-1782-4739-8599-C50F0D4C0E24}</author>
    <author>tc={49BAD0B2-8887-4A5E-90C8-1F2C46A611EA}</author>
    <author>tc={F541040C-BEE0-41F7-A593-2E9D0DF678BE}</author>
    <author>tc={C87ABDE0-E7AD-4415-B3C2-3E9FBAD8B851}</author>
    <author>tc={494C4857-ABBC-4C45-8BD1-2C6D1D43D130}</author>
    <author>tc={99BD3D61-D27B-470D-8267-ADEFB41103FA}</author>
    <author>tc={A109598C-6E0D-44D4-9A31-C6BC98670944}</author>
    <author>tc={03629136-3E21-4272-91B8-C12A502B9740}</author>
    <author>tc={0D096C4A-BE4C-49A6-8F43-4BF236078598}</author>
    <author>tc={256B4ED8-FB1A-452F-B930-81FD89425AA8}</author>
  </authors>
  <commentList>
    <comment ref="B9"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r>
      </text>
    </comment>
    <comment ref="B10" authorId="1">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what does recovery rate means?
Reply:
    The proportion of usable, good-quality product that remains after harvesting, handling, and processing compared to the total originally harvested.</t>
        </r>
      </text>
    </comment>
    <comment ref="B11" authorId="2">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I understood the term transformation ration but I didn't get 4? e.g. if I put 1 kg of fresh mango how much dried mango I get?
Reply:
    I have added the link saying that It takes between 12 to 15 kg of fresh mangoes to produce 1 kg of dried fruit, although some estimates put the conversion rate closer to 10%. Then with 1 kg appying 10% outputs 0.1kg</t>
        </r>
      </text>
    </comment>
    <comment ref="B13" authorId="3">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please indicate the source of the price is there a portal which tracks these information and publish them?
Reply:
    Alright</t>
        </r>
      </text>
    </comment>
    <comment ref="B15" authorId="4">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what is meant by campaign here?
Reply:
    It refers to the mango active harvesting season in Burkina.</t>
        </r>
      </text>
    </comment>
    <comment ref="B21" authorId="5">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r>
      </text>
    </comment>
    <comment ref="B22" authorId="6">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what does recovery rate means?
Reply:
    The proportion of usable, good-quality product that remains after harvesting, handling, and processing compared to the total originally harvested.</t>
        </r>
      </text>
    </comment>
    <comment ref="B23" authorId="7">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I understood the term transformation ration but I didn't get 4? e.g. if I put 1 kg of fresh mango how much dried mango I get?
Reply:
    I have added the link saying that It takes between 12 to 15 kg of fresh mangoes to produce 1 kg of dried fruit, although some estimates put the conversion rate closer to 10%. Then with 1 kg appying 10% outputs 0.1kg</t>
        </r>
      </text>
    </comment>
    <comment ref="B25" authorId="8">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please indicate the source of the price is there a portal which tracks these information and publish them?
Reply:
    Alright</t>
        </r>
      </text>
    </comment>
    <comment ref="B27" authorId="9">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what is meant by campaign here?
Reply:
    It refers to the mango active harvesting season in Burkina.</t>
        </r>
      </text>
    </comment>
    <comment ref="B29" authorId="1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make a calculation column in Euro values 
Reply:
    Alright</t>
        </r>
      </text>
    </comment>
    <comment ref="B30" authorId="11">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I am wondering here how did you consider the 1 hectar area, or 3 hectar area, did you consider that 2.2. 2hectar farm could yield 10 ton mango every month and based on that the calculations are made
Reply:
    yes
Reply:
    But i considered the fact that  1 hectar farm could yield 10 ton mango every year</t>
        </r>
      </text>
    </comment>
    <comment ref="B43" authorId="12">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r>
      </text>
    </comment>
    <comment ref="B44" authorId="13">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what does recovery rate means?
Reply:
    The proportion of usable, good-quality product that remains after harvesting, handling, and processing compared to the total originally harvested.</t>
        </r>
      </text>
    </comment>
    <comment ref="B45" authorId="14">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I understood the term transformation ration but I didn't get 4? e.g. if I put 1 kg of fresh mango how much dried mango I get?
Reply:
    I have added the link saying that It takes between 12 to 15 kg of fresh mangoes to produce 1 kg of dried fruit, although some estimates put the conversion rate closer to 10%. Then with 1 kg appying 10% outputs 0.1kg</t>
        </r>
      </text>
    </comment>
    <comment ref="B47" authorId="15">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please indicate the source of the price is there a portal which tracks these information and publish them?
Reply:
    Alright</t>
        </r>
      </text>
    </comment>
    <comment ref="B49" authorId="16">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what is meant by campaign here?
Reply:
    It refers to the mango active harvesting season in Burkina.</t>
        </r>
      </text>
    </comment>
    <comment ref="A107" authorId="17">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is there a calculation for 2 hectar?
Reply:
    I will include it.</t>
        </r>
      </text>
    </comment>
    <comment ref="C108" authorId="18">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what is the source of this calculation?
Reply:
    Over 10000 kg per year 8000 kg is usable can pass through the drying process regarding the  recovery rate.</t>
        </r>
      </text>
    </comment>
    <comment ref="D108" authorId="19">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how is this calculation made?
Reply:
    I made a different file mentionning the formulas used accessible from the my homepage. I will ensure to include them into the excel sheet for easier understanding.</t>
        </r>
      </text>
    </comment>
    <comment ref="E108" authorId="2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why is this column increasing? is the price increasing per time?
Reply:
    I sincerely apologize,this was a mistake.</t>
        </r>
      </text>
    </comment>
    <comment ref="G108" authorId="21">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how is this value obtained? please use the formula mode in Excel e.g. =F46+E46*D47
Reply:
    I added it</t>
        </r>
      </text>
    </comment>
    <comment ref="B126" authorId="22">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r>
      </text>
    </comment>
    <comment ref="B127" authorId="23">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r>
      </text>
    </comment>
    <comment ref="B128" authorId="24">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r>
      </text>
    </comment>
    <comment ref="B129" authorId="25">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r>
      </text>
    </comment>
    <comment ref="B130" authorId="26">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where is the source of this value, report? study? historical data? or assumption
Reply:
    https://www.researchgate.net/publication/242642925_The_mango_tree_in_central_and_northern_Benin_Cultivar_inventory_yield_assessment_infested_stages_and_loss_due_to_fruit_flies_Diptera_Tephritidae</t>
        </r>
      </text>
    </comment>
  </commentList>
</comments>
</file>

<file path=xl/comments6.xml><?xml version="1.0" encoding="utf-8"?>
<comments xmlns="http://schemas.openxmlformats.org/spreadsheetml/2006/main">
  <authors>
    <author>tc={2057BC50-2FB4-4737-A9F7-799BCFC0BEE7}</author>
    <author>tc={C6353A66-E392-49DB-BFDF-8484511A7CC8}</author>
    <author>tc={FD2D9EAE-BDCF-46E7-B61F-ABFAA18D7E3A}</author>
    <author>tc={FA25FB5E-137C-4583-81C6-699DC5C8F135}</author>
    <author>tc={976A7DD3-3766-4FAD-8D8E-E1D7EB52E343}</author>
    <author>tc={8A2FF993-3F77-4D6C-831C-0BC82BCA3533}</author>
  </authors>
  <commentList>
    <comment ref="C4"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is this a small pump? would it be enough for the farm?
Reply:
    Just for the scenario</t>
        </r>
      </text>
    </comment>
    <comment ref="C5" authorId="1">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why did you assume that the pump is needed only for 4 hours?</t>
        </r>
      </text>
    </comment>
    <comment ref="B8" authorId="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what is meant by Misc??
Reply:
    used for Miscellaneous load </t>
        </r>
      </text>
    </comment>
    <comment ref="B12" authorId="3">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what does PSH stands for? could you explain?
Reply:
    Peak Sun Hours: equivalent full-power sunlight hours</t>
        </r>
      </text>
    </comment>
    <comment ref="B15" authorId="4">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what is meant by Derate?
Reply:
    Overall PV system losses (heat, dust, cables)</t>
        </r>
      </text>
    </comment>
    <comment ref="B33" authorId="5">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please add the costs calculations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<sst xmlns="http://schemas.openxmlformats.org/spreadsheetml/2006/main" count="1880" uniqueCount="1415">
  <si>
    <t>Burkina Faso Sustainable Farm (Cohort 2025-2026)</t>
  </si>
  <si>
    <t>equivalence between euro and xof: 1€ = ... xof</t>
  </si>
  <si>
    <t>1 million xof = ...€</t>
  </si>
  <si>
    <t>Simulation</t>
  </si>
  <si>
    <t>Farm</t>
  </si>
  <si>
    <t>Location</t>
  </si>
  <si>
    <t>software simulation</t>
  </si>
  <si>
    <t>Banfora</t>
  </si>
  <si>
    <t>Size (hectare)</t>
  </si>
  <si>
    <t>Investment needed (Xof)</t>
  </si>
  <si>
    <t>//</t>
  </si>
  <si>
    <t>Investment needed (Euro)</t>
  </si>
  <si>
    <t>Comments</t>
  </si>
  <si>
    <t>phase of simulating the whole farm workflow</t>
  </si>
  <si>
    <t>phase during which we have a sustainable farm in Koubri set to produce mangoes permanently that will be dried and sent to Germany</t>
  </si>
  <si>
    <t>Parts of the Farm</t>
  </si>
  <si>
    <t>Descriptions</t>
  </si>
  <si>
    <t>Energy Supply system (Solar PV power plant,Solar Tracking)</t>
  </si>
  <si>
    <t xml:space="preserve">The solar PV power plant sufficiently provide the farm in green energy									</t>
  </si>
  <si>
    <t>Improve energy production efficiency by tracking sun rotation</t>
  </si>
  <si>
    <t>Irrigation system</t>
  </si>
  <si>
    <t>Automatic irrigation to optimize water usage in the farm</t>
  </si>
  <si>
    <t>Crop Storage (Smart Dryer)</t>
  </si>
  <si>
    <t>The Smart Food Dryer efficiently dries fruits and vegetables, preserving nutrients</t>
  </si>
  <si>
    <t>Fencing and Security (Face Recognition)</t>
  </si>
  <si>
    <t>Secure the farm by managing access to critical areas, personnal management(attendance), classify plants as useful or unwanted</t>
  </si>
  <si>
    <t>Visitors Management (No Reesa)</t>
  </si>
  <si>
    <t>An application that provides a translation of the farm services from Moore to German</t>
  </si>
  <si>
    <t>Processing Machines</t>
  </si>
  <si>
    <t>Idendify the farm needs  in terms of machine</t>
  </si>
  <si>
    <t>Plants</t>
  </si>
  <si>
    <t xml:space="preserve">Know which variety and which amount of mangoes we should have in our farm </t>
  </si>
  <si>
    <t>Stage of the Project</t>
  </si>
  <si>
    <t>key figures from subpart</t>
  </si>
  <si>
    <t>simulation</t>
  </si>
  <si>
    <t>Investment needed  (xof)</t>
  </si>
  <si>
    <t>Input needed</t>
  </si>
  <si>
    <t>Sun</t>
  </si>
  <si>
    <t>Output</t>
  </si>
  <si>
    <t>Electricy</t>
  </si>
  <si>
    <t>Infineon chips</t>
  </si>
  <si>
    <t>PSoC™ Edge AI</t>
  </si>
  <si>
    <t>XENSIV™ TLE4971</t>
  </si>
  <si>
    <t xml:space="preserve">XENSIV™ PAS CO₂ sensor     </t>
  </si>
  <si>
    <t xml:space="preserve">XENSIV™ 60GHz radar sensor    </t>
  </si>
  <si>
    <t xml:space="preserve">XENSIV™ DPS310  </t>
  </si>
  <si>
    <t>water</t>
  </si>
  <si>
    <t>smart irrigation</t>
  </si>
  <si>
    <t>capteur XENSIV</t>
  </si>
  <si>
    <t>Bluetoofh Low Energy</t>
  </si>
  <si>
    <t xml:space="preserve">PSoC CAPSENSE </t>
  </si>
  <si>
    <t xml:space="preserve">Investment needed </t>
  </si>
  <si>
    <t>Mangoes</t>
  </si>
  <si>
    <t>Dried  mangoes</t>
  </si>
  <si>
    <t>plant image</t>
  </si>
  <si>
    <t>disease detection</t>
  </si>
  <si>
    <t>XENSIV™ radar</t>
  </si>
  <si>
    <t>speech in Moore or English</t>
  </si>
  <si>
    <t>translation into the other language</t>
  </si>
  <si>
    <t>KT100</t>
  </si>
  <si>
    <t>Infineon’s energy metering ICs</t>
  </si>
  <si>
    <t>XENSIV™ TLV493D</t>
  </si>
  <si>
    <t>XENSIV™ DPS368</t>
  </si>
  <si>
    <t>XENSIV™ TLE4997</t>
  </si>
  <si>
    <t>2 ha FARM</t>
  </si>
  <si>
    <t>Investment needed  (million xof)</t>
  </si>
  <si>
    <t>Investment needed  (Euro)</t>
  </si>
  <si>
    <t>Investment needed   (Euro)</t>
  </si>
  <si>
    <t>speech in Moore</t>
  </si>
  <si>
    <t>translation into German</t>
  </si>
  <si>
    <t>Processing machines</t>
  </si>
  <si>
    <t>Seed</t>
  </si>
  <si>
    <t>XENSIV™ DPS369</t>
  </si>
  <si>
    <t>XENSIV™ TLE4998</t>
  </si>
  <si>
    <t>Comparative analysis among potential farming areas in Burkina Faso</t>
  </si>
  <si>
    <t>Criteria</t>
  </si>
  <si>
    <t>Koubri (Plateau-Central)</t>
  </si>
  <si>
    <t>Bobo-Dioulasso (Hauts-Bassins)</t>
  </si>
  <si>
    <t>Banfora (Cascades)</t>
  </si>
  <si>
    <t>Comments / Security Implications</t>
  </si>
  <si>
    <t>Rainfall (mm/year)</t>
  </si>
  <si>
    <t>750-850</t>
  </si>
  <si>
    <t>950-1100</t>
  </si>
  <si>
    <t>1000-1200</t>
  </si>
  <si>
    <t>Banfora/Bobo slightly better naturally</t>
  </si>
  <si>
    <t>Soil fertility</t>
  </si>
  <si>
    <t>Medium</t>
  </si>
  <si>
    <t>High</t>
  </si>
  <si>
    <t>South/west soils richer</t>
  </si>
  <si>
    <t>Road &amp; infrastructure</t>
  </si>
  <si>
    <t>Good</t>
  </si>
  <si>
    <t>-</t>
  </si>
  <si>
    <t>Access to domestic market</t>
  </si>
  <si>
    <t>Excellent</t>
  </si>
  <si>
    <t>Moderate</t>
  </si>
  <si>
    <t>Koubri top advantage</t>
  </si>
  <si>
    <t>Electricity / energy for drying</t>
  </si>
  <si>
    <t>Labor availability</t>
  </si>
  <si>
    <t>Land availability / cost</t>
  </si>
  <si>
    <t>Medium-high</t>
  </si>
  <si>
    <t>Low</t>
  </si>
  <si>
    <t>Banfora cheapest, but far</t>
  </si>
  <si>
    <t>Transport &amp; logistics cost</t>
  </si>
  <si>
    <t>Koubri wins</t>
  </si>
  <si>
    <t>Terrorism risk</t>
  </si>
  <si>
    <t>Overall mango profitability (with drying)</t>
  </si>
  <si>
    <t>87.5 %</t>
  </si>
  <si>
    <t>Banfora is the best choice since the dried mangoes are supposed to be exported</t>
  </si>
  <si>
    <t>Table 1:  Farm sizing</t>
  </si>
  <si>
    <t>Present value of future cash flows</t>
  </si>
  <si>
    <t>Variety of mango</t>
  </si>
  <si>
    <t>Number of trees</t>
  </si>
  <si>
    <t xml:space="preserve">Tree-to-tree spacing </t>
  </si>
  <si>
    <t>Output(Kg)</t>
  </si>
  <si>
    <t>Years</t>
  </si>
  <si>
    <t>Cashflow</t>
  </si>
  <si>
    <t>Discount Factor</t>
  </si>
  <si>
    <t>Discounted Cashflow</t>
  </si>
  <si>
    <t>Kent</t>
  </si>
  <si>
    <t>8meters</t>
  </si>
  <si>
    <t>Keitt</t>
  </si>
  <si>
    <t>Amelie</t>
  </si>
  <si>
    <t xml:space="preserve">  </t>
  </si>
  <si>
    <t>Table 3: Monitoring the health of trees and fruit</t>
  </si>
  <si>
    <t>Health Level (%)</t>
  </si>
  <si>
    <t>Observation</t>
  </si>
  <si>
    <t>Table 2: water requirement per month in L</t>
  </si>
  <si>
    <t>0% - 20%</t>
  </si>
  <si>
    <t>Trees and fruit under stress, risk of high yield loss</t>
  </si>
  <si>
    <t xml:space="preserve">water requirement </t>
  </si>
  <si>
    <t>all varieties combined</t>
  </si>
  <si>
    <t xml:space="preserve">21 - 40% </t>
  </si>
  <si>
    <t>Weakened trees, affected fruit development</t>
  </si>
  <si>
    <t xml:space="preserve"> water requirement  per tree </t>
  </si>
  <si>
    <t xml:space="preserve">20 m³ per day </t>
  </si>
  <si>
    <t>41 - 60%</t>
  </si>
  <si>
    <t xml:space="preserve"> Trees in average health, fruit growing normally</t>
  </si>
  <si>
    <t xml:space="preserve">61 - 80% </t>
  </si>
  <si>
    <t>Healthy trees, high-quality fruit</t>
  </si>
  <si>
    <t>81 - 100%</t>
  </si>
  <si>
    <t xml:space="preserve"> Very healthy trees, excellent fruit</t>
  </si>
  <si>
    <t>Cashflow Parameters</t>
  </si>
  <si>
    <t>annual income</t>
  </si>
  <si>
    <t>cashflow</t>
  </si>
  <si>
    <t>Table 4: Equipment Pricing (Fixed cost)</t>
  </si>
  <si>
    <t>Table 5: Variable costs</t>
  </si>
  <si>
    <t xml:space="preserve">Financial Analysis </t>
  </si>
  <si>
    <t>Discount factor</t>
  </si>
  <si>
    <t>Equipment</t>
  </si>
  <si>
    <t xml:space="preserve">2 ha </t>
  </si>
  <si>
    <t>Description</t>
  </si>
  <si>
    <t>Table 6: Purchase price of plots</t>
  </si>
  <si>
    <t xml:space="preserve">Initial equipment cost on 5years </t>
  </si>
  <si>
    <t>Tractor / Power tiller</t>
  </si>
  <si>
    <t>Maintenance (routine)</t>
  </si>
  <si>
    <t>Small, regular repairs on equipment</t>
  </si>
  <si>
    <t>Surface area</t>
  </si>
  <si>
    <t xml:space="preserve">Operational Cost per year </t>
  </si>
  <si>
    <t>Motor pump / Irrigation</t>
  </si>
  <si>
    <t>Packaging materials</t>
  </si>
  <si>
    <t>Bags, crates, and other packaging</t>
  </si>
  <si>
    <t xml:space="preserve">Land </t>
  </si>
  <si>
    <t xml:space="preserve">Operational Cost per 5 years </t>
  </si>
  <si>
    <t>Planting and harvesting tools</t>
  </si>
  <si>
    <t>Irrigation cost</t>
  </si>
  <si>
    <t>Cost of pumped or purchased water</t>
  </si>
  <si>
    <t xml:space="preserve">Administrative Fees </t>
  </si>
  <si>
    <t xml:space="preserve">Investment Cost per 5 years </t>
  </si>
  <si>
    <t>Post-harvest equipment</t>
  </si>
  <si>
    <t>Fuel</t>
  </si>
  <si>
    <t>Fuel for tractor, motor pump, and irrigation</t>
  </si>
  <si>
    <t xml:space="preserve">Labor over 5 years </t>
  </si>
  <si>
    <t>Total income over 5 years</t>
  </si>
  <si>
    <t xml:space="preserve">Inputs (fertilizers, seeds)	 </t>
  </si>
  <si>
    <t>Transport costs</t>
  </si>
  <si>
    <t>Transport of produce to markets or collection centers</t>
  </si>
  <si>
    <t xml:space="preserve">Equipment </t>
  </si>
  <si>
    <t xml:space="preserve">plots Investissement total </t>
  </si>
  <si>
    <t xml:space="preserve">Total Price of equipment </t>
  </si>
  <si>
    <t>Seasonal labor</t>
  </si>
  <si>
    <t>Temporary labor for planting, weeding, and harvesting</t>
  </si>
  <si>
    <t xml:space="preserve">Total Investment </t>
  </si>
  <si>
    <t>ROI (%)</t>
  </si>
  <si>
    <t xml:space="preserve">	16.34%</t>
  </si>
  <si>
    <t>Payback period (years)</t>
  </si>
  <si>
    <t xml:space="preserve"> </t>
  </si>
  <si>
    <t>Depreciation of machinery</t>
  </si>
  <si>
    <t xml:space="preserve">Cost per kg of Mango </t>
  </si>
  <si>
    <t>Item</t>
  </si>
  <si>
    <t xml:space="preserve">Total Value </t>
  </si>
  <si>
    <t>Lifespan (years)</t>
  </si>
  <si>
    <t>Annual Cost</t>
  </si>
  <si>
    <t>Variety</t>
  </si>
  <si>
    <t>Yield 2 ha (kg/year)</t>
  </si>
  <si>
    <t>Cost per kg</t>
  </si>
  <si>
    <t>Machinery  and equipment</t>
  </si>
  <si>
    <t>Operational Costs</t>
  </si>
  <si>
    <t>Total Annual Cost</t>
  </si>
  <si>
    <t>...</t>
  </si>
  <si>
    <t>Cost per Mango</t>
  </si>
  <si>
    <t>`</t>
  </si>
  <si>
    <t>Average Weight (kg)</t>
  </si>
  <si>
    <t>Number of Mangoes/year</t>
  </si>
  <si>
    <t>Table 8: final estimate for a 2-hectare farm</t>
  </si>
  <si>
    <t>53.8</t>
  </si>
  <si>
    <t>64.6</t>
  </si>
  <si>
    <t>Step</t>
  </si>
  <si>
    <t>Values</t>
  </si>
  <si>
    <t>Number of Trees to Plant</t>
  </si>
  <si>
    <t>Total trees on 2 hectares</t>
  </si>
  <si>
    <t xml:space="preserve">200 trees </t>
  </si>
  <si>
    <t>Spacing</t>
  </si>
  <si>
    <t>8 meters between trees</t>
  </si>
  <si>
    <t>Planting Period</t>
  </si>
  <si>
    <t>Best planting time</t>
  </si>
  <si>
    <t>Beginning of the rainy season</t>
  </si>
  <si>
    <t>Growth phases</t>
  </si>
  <si>
    <t>Years 0 to 2: establishment         Years 3 to 5: gradual production                                Years 5 to 7: full production</t>
  </si>
  <si>
    <t>Investment Costs</t>
  </si>
  <si>
    <t>Land purchase and Administrative fees</t>
  </si>
  <si>
    <t>Labor and equipment</t>
  </si>
  <si>
    <t>32 700 000</t>
  </si>
  <si>
    <t>Revenue and Operating</t>
  </si>
  <si>
    <t>Total revenue (5 years)</t>
  </si>
  <si>
    <t>130 900 000</t>
  </si>
  <si>
    <t>Annual operating cost</t>
  </si>
  <si>
    <t>4 400 000</t>
  </si>
  <si>
    <t>Average annual net profit</t>
  </si>
  <si>
    <t>21 780 000</t>
  </si>
  <si>
    <t>ROI and payback period</t>
  </si>
  <si>
    <t xml:space="preserve">ROI </t>
  </si>
  <si>
    <t>16.3% over 5 years</t>
  </si>
  <si>
    <t>Payback period</t>
  </si>
  <si>
    <t>5.2 years</t>
  </si>
  <si>
    <t>Bibliography</t>
  </si>
  <si>
    <t>Planting &amp; Harvesting Tools</t>
  </si>
  <si>
    <t>Post-Harvest Equipment</t>
  </si>
  <si>
    <t>Table 1 : Surface area, Number of trees and Tree spacing</t>
  </si>
  <si>
    <t>Estimated Qty</t>
  </si>
  <si>
    <t xml:space="preserve">Unit Price </t>
  </si>
  <si>
    <t>Total</t>
  </si>
  <si>
    <t>Unit Price</t>
  </si>
  <si>
    <t>https://yearbook.mango.co.za/wp-content/uploads/2024/10/Pg-34-39-Tree-spacing-trends-and-options-for-yield-improvement-in-mango.pdf</t>
  </si>
  <si>
    <t>Steel hoe</t>
  </si>
  <si>
    <t>Stainless steel sorting table</t>
  </si>
  <si>
    <t>https://wikifarmer.com/library/en/article/mango-yield-harvest-and-post-harvest-handling</t>
  </si>
  <si>
    <t>branch cutter</t>
  </si>
  <si>
    <t>brushing unit</t>
  </si>
  <si>
    <t>Pruning shears</t>
  </si>
  <si>
    <t xml:space="preserve">Belt conveyor </t>
  </si>
  <si>
    <t>Table 3 : Monitoring of tree health and water requirements</t>
  </si>
  <si>
    <t>Nursery trays (50 pcs)</t>
  </si>
  <si>
    <t>Packing scale</t>
  </si>
  <si>
    <t>https://www.jains.com/Company/news/blog/HOWMUCHWATERDOESMYCROPNEEDPart2PerennialCrops1Mango.htm</t>
  </si>
  <si>
    <t>Manual row transplanter</t>
  </si>
  <si>
    <t>Dryer</t>
  </si>
  <si>
    <t>Table 2 : Water requirement per month (in litres)</t>
  </si>
  <si>
    <t>Wheelbarrow</t>
  </si>
  <si>
    <t>Impulse sealer</t>
  </si>
  <si>
    <t>Thermal motorized sprayer 25 L</t>
  </si>
  <si>
    <t>Manual pallet jack</t>
  </si>
  <si>
    <t>Others references</t>
  </si>
  <si>
    <t xml:space="preserve">mini tractor </t>
  </si>
  <si>
    <t>Plastic crates</t>
  </si>
  <si>
    <t>This repport  analyzes the dried mango value chain, including export opportunities, processing technologies, and quality standards.</t>
  </si>
  <si>
    <t>Motor pump + hose kit</t>
  </si>
  <si>
    <t>https://resources.colead.link/en/system/files/file_fields/2023/10/04/02-driedmangostudyweb.pdf</t>
  </si>
  <si>
    <t xml:space="preserve">Basic drip irrigation kit </t>
  </si>
  <si>
    <t>This market explores the european dried mango market, highlighting consumer trends, import data, and quality requirements for exporters</t>
  </si>
  <si>
    <t>https://www.cbi.eu/market-information/processed-fruit-vegetables-edible-nuts/dried-mango/market-potential</t>
  </si>
  <si>
    <t>This scientific guide presents the principles of food drying, heat transfer, and the impact of temperature on product quality</t>
  </si>
  <si>
    <t>https://iufost.org/iufostftp/Guide%20to%20Drying-Part1.pdf</t>
  </si>
  <si>
    <t>This link describes different tree spacing systems and their effects on yield, sunlight exposure, and mechanization efficiency</t>
  </si>
  <si>
    <t>https://www.industry.mangoes.net.au/cmsb/media/6-bpr-final_choosing-tree-spacing_upload.pdf</t>
  </si>
  <si>
    <t>This is a research study analyzing how irrigation levels and nutrient management affect mango tree growth and fruit yield</t>
  </si>
  <si>
    <t>https://openknowledge.fao.org/server/api/core/bitstreams/849d2872-9429-46dd-a919-a9f99c197031/content</t>
  </si>
  <si>
    <t>This is details the amount of water required per mango tree under different climatic and soil conditions, and outlines irrigation management methods</t>
  </si>
  <si>
    <t>https://agritrop.cirad.fr/573091/1/document_573091.pdf</t>
  </si>
  <si>
    <t>Summary Table – 2 Hectares Smart Irrigation System</t>
  </si>
  <si>
    <t xml:space="preserve">Parameters </t>
  </si>
  <si>
    <t>Symbol / Unit</t>
  </si>
  <si>
    <t>Value</t>
  </si>
  <si>
    <t>Comment / Description</t>
  </si>
  <si>
    <t>Definitions</t>
  </si>
  <si>
    <t>Input parameters and definitions</t>
  </si>
  <si>
    <t>Regional Irrigation Energy &amp; Cost Comparison (180 days)</t>
  </si>
  <si>
    <t>Area</t>
  </si>
  <si>
    <t>A [ha]</t>
  </si>
  <si>
    <t>Cultivated surface</t>
  </si>
  <si>
    <t>Term / Abbreviation</t>
  </si>
  <si>
    <t>Definition</t>
  </si>
  <si>
    <t>Parameter</t>
  </si>
  <si>
    <t>Symbol</t>
  </si>
  <si>
    <t>Unit</t>
  </si>
  <si>
    <t>Region</t>
  </si>
  <si>
    <t>Daily Water (m³/day)</t>
  </si>
  <si>
    <t>Energy (kWh/day)</t>
  </si>
  <si>
    <t>Annual Energy (kWh/year)</t>
  </si>
  <si>
    <t>Annual Cost (CFA/year)</t>
  </si>
  <si>
    <t>Dry days per year</t>
  </si>
  <si>
    <t>N [trees]</t>
  </si>
  <si>
    <t>8 m spacing</t>
  </si>
  <si>
    <t>Area [ha]</t>
  </si>
  <si>
    <t>Cultivated surface area in hectares</t>
  </si>
  <si>
    <t>Area (ha)</t>
  </si>
  <si>
    <t>A</t>
  </si>
  <si>
    <t>ha</t>
  </si>
  <si>
    <t>Total cultivated area</t>
  </si>
  <si>
    <t>Koubri</t>
  </si>
  <si>
    <t>Water demand per tree</t>
  </si>
  <si>
    <t>Wₜ [L/day]</t>
  </si>
  <si>
    <t>Mature mango tree</t>
  </si>
  <si>
    <t>Trees</t>
  </si>
  <si>
    <t>Number of mango trees</t>
  </si>
  <si>
    <t>S</t>
  </si>
  <si>
    <t xml:space="preserve">m </t>
  </si>
  <si>
    <t>Distance between mango trees</t>
  </si>
  <si>
    <t>Bobo</t>
  </si>
  <si>
    <t>Total water demand</t>
  </si>
  <si>
    <t>[m³/day]</t>
  </si>
  <si>
    <t>200 × 100 / 1000</t>
  </si>
  <si>
    <t>Water demand [m³/d]</t>
  </si>
  <si>
    <t>Required irrigation water per day in cubic meters</t>
  </si>
  <si>
    <t>N</t>
  </si>
  <si>
    <t>tree</t>
  </si>
  <si>
    <t>Based on 8 m spacing (2 ha → 200 trees)</t>
  </si>
  <si>
    <t>Irrigation hours/day</t>
  </si>
  <si>
    <t>t [h/day]</t>
  </si>
  <si>
    <t>Daily irrigation duration</t>
  </si>
  <si>
    <t>Q [m³/h]</t>
  </si>
  <si>
    <t>Flow rate in cubic meters per hour</t>
  </si>
  <si>
    <t>Wt</t>
  </si>
  <si>
    <t>L/day</t>
  </si>
  <si>
    <t>Estimated for mature mango trees in dry season</t>
  </si>
  <si>
    <t>Kaya</t>
  </si>
  <si>
    <t>Flow rate</t>
  </si>
  <si>
    <t>20 ÷ 5</t>
  </si>
  <si>
    <t>Q [L/min]</t>
  </si>
  <si>
    <t>Flow rate in liters per minute</t>
  </si>
  <si>
    <t>Conversion factor</t>
  </si>
  <si>
    <t>Liters to cubic meters</t>
  </si>
  <si>
    <t>Ouahigouya</t>
  </si>
  <si>
    <t>Hydraulic power</t>
  </si>
  <si>
    <t>Pₕ [kW]</t>
  </si>
  <si>
    <t>0.378</t>
  </si>
  <si>
    <t>(ρ × g × Q × H)/3.6×10⁶</t>
  </si>
  <si>
    <t>P_h [kW]</t>
  </si>
  <si>
    <t>Hydraulic pump power</t>
  </si>
  <si>
    <t>t</t>
  </si>
  <si>
    <t>h/day</t>
  </si>
  <si>
    <t>Electric power</t>
  </si>
  <si>
    <t>Pₑ [kW]</t>
  </si>
  <si>
    <t>0.44</t>
  </si>
  <si>
    <t>Considering 85% efficiency</t>
  </si>
  <si>
    <t>P_e [kW]</t>
  </si>
  <si>
    <t>Electric pump power required</t>
  </si>
  <si>
    <t>System efficiency</t>
  </si>
  <si>
    <t>η</t>
  </si>
  <si>
    <t>%</t>
  </si>
  <si>
    <t>Includes hydraulic &amp; electrical losses</t>
  </si>
  <si>
    <t>Solar Savings vs Grid Cost</t>
  </si>
  <si>
    <t>Data</t>
  </si>
  <si>
    <t>Source</t>
  </si>
  <si>
    <t>Link</t>
  </si>
  <si>
    <t>PV size</t>
  </si>
  <si>
    <t>[kWp]</t>
  </si>
  <si>
    <t>0.52</t>
  </si>
  <si>
    <t>For 1 kW pump use</t>
  </si>
  <si>
    <t>PV [kWp]</t>
  </si>
  <si>
    <t>Photovoltaic power peak required</t>
  </si>
  <si>
    <t>Pump head</t>
  </si>
  <si>
    <t>H</t>
  </si>
  <si>
    <t>m</t>
  </si>
  <si>
    <t>Static + dynamic head estimation</t>
  </si>
  <si>
    <t>Grid Cost (CFA/year)</t>
  </si>
  <si>
    <t>Solar OPEX (CFA/year)</t>
  </si>
  <si>
    <t>Annual Savings (CFA/year)</t>
  </si>
  <si>
    <t>Burkina rainfall &amp; seasonal calendar</t>
  </si>
  <si>
    <t>DG-Météo Burkina Faso</t>
  </si>
  <si>
    <t>https://www.meteo.bf/</t>
  </si>
  <si>
    <t>PV panels</t>
  </si>
  <si>
    <t>[units]</t>
  </si>
  <si>
    <t>400 Wp each</t>
  </si>
  <si>
    <t>MPPT</t>
  </si>
  <si>
    <t>Maximum Power Point Tracking (PV controller technology)</t>
  </si>
  <si>
    <t>Tank capacity</t>
  </si>
  <si>
    <t>m³</t>
  </si>
  <si>
    <t>Storage for 1.5-day buffer (30 m³ for 2-ha orchard)</t>
  </si>
  <si>
    <t>Sahel rainfall &amp; ET₀</t>
  </si>
  <si>
    <t>AGRHYMET Regional Centre</t>
  </si>
  <si>
    <t>https://www.agrhymet.ne/</t>
  </si>
  <si>
    <t>[m³]</t>
  </si>
  <si>
    <t>1.5-day storage buffer</t>
  </si>
  <si>
    <t>Smart add-ons</t>
  </si>
  <si>
    <t>IoT devices, sensors, controllers, and communication modules for smart irrigation management (e.g., soil moisture sensors, flow meters, GSM/Wi-Fi monitoring, automated scheduling)</t>
  </si>
  <si>
    <t>Water density</t>
  </si>
  <si>
    <t>ρ</t>
  </si>
  <si>
    <t>kg/m³</t>
  </si>
  <si>
    <t>Density of water</t>
  </si>
  <si>
    <t>ET₀ &amp; crop coefficients</t>
  </si>
  <si>
    <t>FAO ClimWat / AquaCrop</t>
  </si>
  <si>
    <t>https://www.fao.org/land-water/databases-and-software/climwat-for-cropwat/en/</t>
  </si>
  <si>
    <t>Total investment cost</t>
  </si>
  <si>
    <t>[€]</t>
  </si>
  <si>
    <t>CAPEX (equipment only)</t>
  </si>
  <si>
    <t>Gravity</t>
  </si>
  <si>
    <t>g</t>
  </si>
  <si>
    <t>m/s²</t>
  </si>
  <si>
    <t>Acceleration due to gravity</t>
  </si>
  <si>
    <t>Mango water use</t>
  </si>
  <si>
    <t>FAO Irrigation Paper 56</t>
  </si>
  <si>
    <t>https://www.fao.org/3/x0490e/x0490e0i.htm</t>
  </si>
  <si>
    <t>[years]</t>
  </si>
  <si>
    <t>Q</t>
  </si>
  <si>
    <t>m³/h</t>
  </si>
  <si>
    <t>Hourly discharge to meet water demand</t>
  </si>
  <si>
    <t>Sahel dry-season climate maps</t>
  </si>
  <si>
    <t>CILSS</t>
  </si>
  <si>
    <t>https://cilss.int/</t>
  </si>
  <si>
    <t>Annual savings</t>
  </si>
  <si>
    <t>Water &amp; fuel cost savings</t>
  </si>
  <si>
    <t>Solar pumping energy cost</t>
  </si>
  <si>
    <t>ECREEE / ECOWAS energy data</t>
  </si>
  <si>
    <t>https://www.ecowas.int/</t>
  </si>
  <si>
    <t>Project lifetime</t>
  </si>
  <si>
    <t>PV and system lifespan</t>
  </si>
  <si>
    <t>Calculation with 2 hectares scenarios</t>
  </si>
  <si>
    <t>Scenarios</t>
  </si>
  <si>
    <t>Water demand (m³ /day)</t>
  </si>
  <si>
    <t>Water demand (m³/ week)</t>
  </si>
  <si>
    <t>Flow Q (m³/h)</t>
  </si>
  <si>
    <t>Flow Q (L/min)</t>
  </si>
  <si>
    <t>Hydraulic power P_h (kW)</t>
  </si>
  <si>
    <t>Electric power P_e (kW)</t>
  </si>
  <si>
    <t>Pump required (kWh)</t>
  </si>
  <si>
    <t>PV size (kWp)</t>
  </si>
  <si>
    <t>PV Panels (400 Wp)</t>
  </si>
  <si>
    <t>Investment Cost</t>
  </si>
  <si>
    <t>2 hectares</t>
  </si>
  <si>
    <t>Cost calculations</t>
  </si>
  <si>
    <t>Financial analysis</t>
  </si>
  <si>
    <t>Seasonal  Irrigation Plan (Burkina Faso – Mango Zone)</t>
  </si>
  <si>
    <t>Seasonal Water Demand</t>
  </si>
  <si>
    <t>SWOT Analysis – 2-hectare Solar-Powered Smart Irrigation System</t>
  </si>
  <si>
    <t>Material</t>
  </si>
  <si>
    <t>Quantity</t>
  </si>
  <si>
    <t>Unit cost (CFA)</t>
  </si>
  <si>
    <t>Total cost (CFA)</t>
  </si>
  <si>
    <t xml:space="preserve">Unit </t>
  </si>
  <si>
    <t>Comment</t>
  </si>
  <si>
    <t>Season</t>
  </si>
  <si>
    <t>Period (months)</t>
  </si>
  <si>
    <t>Avg monthly rainfall (mm)</t>
  </si>
  <si>
    <t>Irrigation frequency (events/week)</t>
  </si>
  <si>
    <t>Daily water demand (m³/day)</t>
  </si>
  <si>
    <t>Weekly water demand (m³/week)</t>
  </si>
  <si>
    <t>Notes</t>
  </si>
  <si>
    <t>Source / Reference</t>
  </si>
  <si>
    <t>fₛ</t>
  </si>
  <si>
    <t>Water demand (m³/day)</t>
  </si>
  <si>
    <t>Weekly demand (m³/week)</t>
  </si>
  <si>
    <t>Tank (30 m³)</t>
  </si>
  <si>
    <t>unit</t>
  </si>
  <si>
    <t>Annual water cost saved</t>
  </si>
  <si>
    <t>€/year</t>
  </si>
  <si>
    <t>Estimated savings vs. manual irrigation labor and diesel pump use</t>
  </si>
  <si>
    <t>Rainy (Hivernage)</t>
  </si>
  <si>
    <t>May – October</t>
  </si>
  <si>
    <t>120–300</t>
  </si>
  <si>
    <t>6–8</t>
  </si>
  <si>
    <t>42–56</t>
  </si>
  <si>
    <t>Rain-fed; minimal irrigation needed</t>
  </si>
  <si>
    <t>DG-Météo Burkina Faso (2023), AGRHYMET</t>
  </si>
  <si>
    <t>Rainy (May–Oct)</t>
  </si>
  <si>
    <r>
      <rPr>
        <sz val="14"/>
        <color theme="1"/>
        <rFont val="Times New Roman"/>
        <charset val="134"/>
      </rPr>
      <t xml:space="preserve">=20×0.5 → </t>
    </r>
    <r>
      <rPr>
        <b/>
        <sz val="14"/>
        <color theme="1"/>
        <rFont val="Times New Roman"/>
        <charset val="134"/>
      </rPr>
      <t>10 m³/day</t>
    </r>
  </si>
  <si>
    <t>Strengths</t>
  </si>
  <si>
    <t>100% renewable and autonomous — powered by solar energy, no dependency on fuel or grid.</t>
  </si>
  <si>
    <t>Weaknesses</t>
  </si>
  <si>
    <t>High initial investment (~5,000–6,000 €).</t>
  </si>
  <si>
    <t>Drip irrigation</t>
  </si>
  <si>
    <t>Investment cost</t>
  </si>
  <si>
    <t>€</t>
  </si>
  <si>
    <t>Total CAPEX (equipment only)</t>
  </si>
  <si>
    <t>Post-Rainy (Transition)</t>
  </si>
  <si>
    <t>October – November</t>
  </si>
  <si>
    <t>50–100</t>
  </si>
  <si>
    <t>2–3</t>
  </si>
  <si>
    <t>10–12</t>
  </si>
  <si>
    <t>70–84</t>
  </si>
  <si>
    <t>Light irrigation to maintain soil moisture</t>
  </si>
  <si>
    <t>Transition (Oct–Nov)</t>
  </si>
  <si>
    <r>
      <rPr>
        <sz val="14"/>
        <color theme="1"/>
        <rFont val="Times New Roman"/>
        <charset val="134"/>
      </rPr>
      <t xml:space="preserve">=20×0.8 → </t>
    </r>
    <r>
      <rPr>
        <b/>
        <sz val="14"/>
        <color theme="1"/>
        <rFont val="Times New Roman"/>
        <charset val="134"/>
      </rPr>
      <t>16 m³/day</t>
    </r>
  </si>
  <si>
    <t>Reduces water consumption by up to 40% with smart drip and moisture sensors.</t>
  </si>
  <si>
    <t>Requires technical knowledge for installation and maintenance.</t>
  </si>
  <si>
    <t>PV panels (400 Wp, JinkoSolar / Trina)</t>
  </si>
  <si>
    <t xml:space="preserve">Annual maintenance </t>
  </si>
  <si>
    <t>Estimated cost for cleaning filters, IoT subscription, small replacements</t>
  </si>
  <si>
    <t>Cool Dry (Early Dry)</t>
  </si>
  <si>
    <t>November – February</t>
  </si>
  <si>
    <t>0–20</t>
  </si>
  <si>
    <t>3–4</t>
  </si>
  <si>
    <t>12–15</t>
  </si>
  <si>
    <t>84–105</t>
  </si>
  <si>
    <t>Moderate irrigation; tree recovery phase</t>
  </si>
  <si>
    <t>INERA Bobo-Dioulasso</t>
  </si>
  <si>
    <t>Cool Dry (Nov–Feb)</t>
  </si>
  <si>
    <r>
      <rPr>
        <sz val="14"/>
        <color theme="1"/>
        <rFont val="Times New Roman"/>
        <charset val="134"/>
      </rPr>
      <t xml:space="preserve">=20×0.9 → </t>
    </r>
    <r>
      <rPr>
        <b/>
        <sz val="14"/>
        <color theme="1"/>
        <rFont val="Times New Roman"/>
        <charset val="134"/>
      </rPr>
      <t>18 m³/day</t>
    </r>
  </si>
  <si>
    <t>Low operating cost after installation.</t>
  </si>
  <si>
    <t>Smart sensors and IoT systems may face connectivity issues in remote areas.</t>
  </si>
  <si>
    <t>Pump (1 kW DC solar pump)</t>
  </si>
  <si>
    <t>This is acceptable for rural solar investment. It means that the farmer will get the investment money back in 7.2 years</t>
  </si>
  <si>
    <t>Hot Dry (Peak Dry)</t>
  </si>
  <si>
    <t>March – April</t>
  </si>
  <si>
    <t>5–6</t>
  </si>
  <si>
    <t>18–20</t>
  </si>
  <si>
    <t>126–140</t>
  </si>
  <si>
    <t>Maximum irrigation demand period</t>
  </si>
  <si>
    <t>CILSS ClimData Burkina</t>
  </si>
  <si>
    <t>Hot Dry (Mar–Apr)</t>
  </si>
  <si>
    <r>
      <rPr>
        <sz val="14"/>
        <color theme="1"/>
        <rFont val="Times New Roman"/>
        <charset val="134"/>
      </rPr>
      <t xml:space="preserve">=20×1.0 → </t>
    </r>
    <r>
      <rPr>
        <b/>
        <sz val="14"/>
        <color theme="1"/>
        <rFont val="Times New Roman"/>
        <charset val="134"/>
      </rPr>
      <t>20 m³/day</t>
    </r>
  </si>
  <si>
    <t>Adapted to local mango farms and scalable for larger farms.</t>
  </si>
  <si>
    <t>Efficiency depends on sunlight availability (limited operation during cloudy days)</t>
  </si>
  <si>
    <t>Filtration + MPPT</t>
  </si>
  <si>
    <t>set</t>
  </si>
  <si>
    <t>Annuak net saving</t>
  </si>
  <si>
    <t>Long equipment lifespan (PV panels ≈ 25 years, pump ≈ 10 years)</t>
  </si>
  <si>
    <t>Threats</t>
  </si>
  <si>
    <t>Equipment theft or vandalism in rural areas.</t>
  </si>
  <si>
    <t>years</t>
  </si>
  <si>
    <t>Opportunities</t>
  </si>
  <si>
    <t>Increasing demand for sustainable agriculture solutions in West Africa.</t>
  </si>
  <si>
    <t>Fluctuations in market prices for imported equipment (PV panels, pumps).</t>
  </si>
  <si>
    <t>TOTAL</t>
  </si>
  <si>
    <t>_</t>
  </si>
  <si>
    <t>Pump replacement</t>
  </si>
  <si>
    <t>Water Needs by Growth Stage</t>
  </si>
  <si>
    <t>Irrigation strategy</t>
  </si>
  <si>
    <t>Can be extended to other crops or community irrigation schemes.</t>
  </si>
  <si>
    <t>Limited availability of spare parts and qualified technicians locally.</t>
  </si>
  <si>
    <t>MPPT/Controller replacement</t>
  </si>
  <si>
    <t>Tree Age</t>
  </si>
  <si>
    <t>Growth Stage</t>
  </si>
  <si>
    <t>Estimated Water Demand (L/day/tree)</t>
  </si>
  <si>
    <t>Irrigation Frequency</t>
  </si>
  <si>
    <t>Frequency</t>
  </si>
  <si>
    <t>Dose per tree per event (L)</t>
  </si>
  <si>
    <t>Total per event (m3)</t>
  </si>
  <si>
    <t>Pump runtime per event</t>
  </si>
  <si>
    <t>Pump runtime per day</t>
  </si>
  <si>
    <t>Tank sufficiency</t>
  </si>
  <si>
    <t>Possible subsidies or financing from green energy or agricultural development programs.</t>
  </si>
  <si>
    <t>Climate variability may affect long-term water availability.</t>
  </si>
  <si>
    <t>Smart add-on replacement</t>
  </si>
  <si>
    <t>0–2 years</t>
  </si>
  <si>
    <t>Establishment</t>
  </si>
  <si>
    <t>5–10 L</t>
  </si>
  <si>
    <t>Every 2–3 days</t>
  </si>
  <si>
    <t>Frequent, low-volume irrigation for root development</t>
  </si>
  <si>
    <t>daily</t>
  </si>
  <si>
    <t>Opportunity to integrate with water recycling and AI-based scheduling for future upgrades.</t>
  </si>
  <si>
    <t>FINANCIAL ANALYSIS – WITH FORMULAS</t>
  </si>
  <si>
    <t>Total replacement cost</t>
  </si>
  <si>
    <t>2–5 years</t>
  </si>
  <si>
    <t>Growth</t>
  </si>
  <si>
    <t>20–50 L</t>
  </si>
  <si>
    <t>Every 3–5 days</t>
  </si>
  <si>
    <t>Higher demand during canopy expansion</t>
  </si>
  <si>
    <t>every 2 days</t>
  </si>
  <si>
    <t>Formula (Excel)</t>
  </si>
  <si>
    <t>Total saving over 25 years of the project</t>
  </si>
  <si>
    <t>5–10 years</t>
  </si>
  <si>
    <t>Mature trees</t>
  </si>
  <si>
    <t>80–120 L</t>
  </si>
  <si>
    <t>Every 5–7 days</t>
  </si>
  <si>
    <t>Stable root system; main fruit-bearing stage</t>
  </si>
  <si>
    <t>every 5 days</t>
  </si>
  <si>
    <t>Daily energy consumption</t>
  </si>
  <si>
    <t>kWh/day</t>
  </si>
  <si>
    <t>=0.44*5</t>
  </si>
  <si>
    <t>Pₑ × irrigation time</t>
  </si>
  <si>
    <t>Total project cost</t>
  </si>
  <si>
    <t>&gt;10 years</t>
  </si>
  <si>
    <t>Full production</t>
  </si>
  <si>
    <t>100–150 L</t>
  </si>
  <si>
    <t>Peak during fruit formation and dry season</t>
  </si>
  <si>
    <t>Annual energy (old calculation)</t>
  </si>
  <si>
    <t>kWh/year</t>
  </si>
  <si>
    <t>=2.2*365</t>
  </si>
  <si>
    <t>Theoric</t>
  </si>
  <si>
    <t>Reference annual energy (realistic)</t>
  </si>
  <si>
    <t>(Fixed value)</t>
  </si>
  <si>
    <t>Based on real use</t>
  </si>
  <si>
    <t>Total Farm Water Demand (From planting to dried mango production)</t>
  </si>
  <si>
    <t>Water Demand per Region</t>
  </si>
  <si>
    <t>Seasonal coefficient average fₛ</t>
  </si>
  <si>
    <t>—</t>
  </si>
  <si>
    <t>=AVERAGE(0.5,0.8,0.9,1)</t>
  </si>
  <si>
    <t>Average of 4 seasons</t>
  </si>
  <si>
    <t>Updated Financial Analysis</t>
  </si>
  <si>
    <t>Stage</t>
  </si>
  <si>
    <t>Water Demand</t>
  </si>
  <si>
    <t>Formula</t>
  </si>
  <si>
    <t>Result</t>
  </si>
  <si>
    <t>ET₀ Level</t>
  </si>
  <si>
    <t>fₛ (coefficient)</t>
  </si>
  <si>
    <t>Daily Water Demand (m³/day)</t>
  </si>
  <si>
    <t>Weekly (m³/week)</t>
  </si>
  <si>
    <t>Sources</t>
  </si>
  <si>
    <t>Seasonal energy consumption</t>
  </si>
  <si>
    <t>=469 * 0.8</t>
  </si>
  <si>
    <t xml:space="preserve">Seasonal ajustement </t>
  </si>
  <si>
    <t>Orchard irrigation (annual)</t>
  </si>
  <si>
    <t>20 m³/day × 245 dry days</t>
  </si>
  <si>
    <t>= 4900 m³/year</t>
  </si>
  <si>
    <t>Koubri (Centre)</t>
  </si>
  <si>
    <t>700–900</t>
  </si>
  <si>
    <t>DG-Météo, FAO</t>
  </si>
  <si>
    <t>Économie vs. manual/diesel</t>
  </si>
  <si>
    <t>Equipment only</t>
  </si>
  <si>
    <t>Washing mangoes</t>
  </si>
  <si>
    <t>3 L/kg</t>
  </si>
  <si>
    <t>For 10 tons → 30 m³</t>
  </si>
  <si>
    <t>1000–1200</t>
  </si>
  <si>
    <t>ANAM, FAO ClimWat</t>
  </si>
  <si>
    <t>Annual energy saving</t>
  </si>
  <si>
    <t>=(469 - 281)*0.25</t>
  </si>
  <si>
    <t>0.25 €/kWh</t>
  </si>
  <si>
    <t>Maintenance</t>
  </si>
  <si>
    <t>Filters, IoT service</t>
  </si>
  <si>
    <t>Slicing &amp; processing</t>
  </si>
  <si>
    <t>1,5 L/kg</t>
  </si>
  <si>
    <t>= 15 m³</t>
  </si>
  <si>
    <t>1100–1300</t>
  </si>
  <si>
    <t>AGRHYMET</t>
  </si>
  <si>
    <t>Updated annual net saving</t>
  </si>
  <si>
    <t>=800 + 50</t>
  </si>
  <si>
    <t>sum of energy gain</t>
  </si>
  <si>
    <t>Annual water savings</t>
  </si>
  <si>
    <t>vs. diesel/manual irrigation</t>
  </si>
  <si>
    <t>Dryer cleaning/operation</t>
  </si>
  <si>
    <t>5 m³/batch</t>
  </si>
  <si>
    <t>10 batches → 50 m³</t>
  </si>
  <si>
    <t>Kaya (Centre-Nord)</t>
  </si>
  <si>
    <t>600–700</t>
  </si>
  <si>
    <t>(Sum of CAPEX)</t>
  </si>
  <si>
    <t>Total installation cost</t>
  </si>
  <si>
    <t>NEW : Annual energy savings (seasonal)</t>
  </si>
  <si>
    <t>= 469 kWh → 281 kWh/year</t>
  </si>
  <si>
    <t>Adjusted with seasonal plan</t>
  </si>
  <si>
    <t>Total per year</t>
  </si>
  <si>
    <t>sum of the water demand</t>
  </si>
  <si>
    <t>Ouahigouya (Nord)</t>
  </si>
  <si>
    <t>500–600</t>
  </si>
  <si>
    <t>Very high</t>
  </si>
  <si>
    <t>CILSS, FAO ET₀ map</t>
  </si>
  <si>
    <t>Updated payback period</t>
  </si>
  <si>
    <t>=5420 / 850</t>
  </si>
  <si>
    <t>New ROI</t>
  </si>
  <si>
    <t>7.2 years</t>
  </si>
  <si>
    <t>Earlier conservative estimate</t>
  </si>
  <si>
    <t>(Fixed)</t>
  </si>
  <si>
    <t>Lifetime of PV</t>
  </si>
  <si>
    <t>Updated payback with seasonal savings</t>
  </si>
  <si>
    <t>6.5–7 years</t>
  </si>
  <si>
    <t>Improved due to lower energy usage</t>
  </si>
  <si>
    <t>Net benefit after payback</t>
  </si>
  <si>
    <t>=(25 - 7.2)*800</t>
  </si>
  <si>
    <t>Old version</t>
  </si>
  <si>
    <t>25 years</t>
  </si>
  <si>
    <t>Updated net benefit (seasonal)</t>
  </si>
  <si>
    <t>=(25 - 6.37)*850</t>
  </si>
  <si>
    <t xml:space="preserve">realistic Version </t>
  </si>
  <si>
    <t>Net savings over lifetime</t>
  </si>
  <si>
    <t>After payback</t>
  </si>
  <si>
    <t>Updated Technical Calculations</t>
  </si>
  <si>
    <t>Dry-season design values</t>
  </si>
  <si>
    <t>Seasonal average values</t>
  </si>
  <si>
    <t>Seasonal average</t>
  </si>
  <si>
    <t>N × Wₜ / 1000</t>
  </si>
  <si>
    <t>20 m³/day</t>
  </si>
  <si>
    <t>Avg water demand</t>
  </si>
  <si>
    <t>16 m³/day</t>
  </si>
  <si>
    <t>4 m³/h</t>
  </si>
  <si>
    <t>Avg Q (m³/h)</t>
  </si>
  <si>
    <r>
      <rPr>
        <sz val="14"/>
        <color theme="1"/>
        <rFont val="Aptos Narrow"/>
        <charset val="134"/>
        <scheme val="minor"/>
      </rPr>
      <t xml:space="preserve">= 16 ÷ 5 → </t>
    </r>
    <r>
      <rPr>
        <b/>
        <sz val="14"/>
        <color theme="1"/>
        <rFont val="Aptos Narrow"/>
        <charset val="134"/>
        <scheme val="minor"/>
      </rPr>
      <t>3.2 m³/h</t>
    </r>
  </si>
  <si>
    <t>4×1000 ÷ 60</t>
  </si>
  <si>
    <t>66.7 L/min</t>
  </si>
  <si>
    <t>Avg hydraulic power</t>
  </si>
  <si>
    <t>0.302 kW</t>
  </si>
  <si>
    <t>Hydraulic power Pₕ</t>
  </si>
  <si>
    <t>(ρ×g×Q×H) / 3.6×10⁶</t>
  </si>
  <si>
    <t>0.378 kW</t>
  </si>
  <si>
    <t>Avg electric power</t>
  </si>
  <si>
    <t>0.355 kW</t>
  </si>
  <si>
    <t>Electric power Pₑ</t>
  </si>
  <si>
    <t>Pₕ / η</t>
  </si>
  <si>
    <t>0.44 kW</t>
  </si>
  <si>
    <t>Pₑ / 0.85</t>
  </si>
  <si>
    <t>0.52 kWp</t>
  </si>
  <si>
    <t>PV size ÷ 0.4</t>
  </si>
  <si>
    <t>4 panels</t>
  </si>
  <si>
    <t>Financial and technical plan  (12 months)</t>
  </si>
  <si>
    <t>Month</t>
  </si>
  <si>
    <t>Processed mangoes (kg) |</t>
  </si>
  <si>
    <t xml:space="preserve"> Waste generated (kg)</t>
  </si>
  <si>
    <t>Biogas produced (m³)</t>
  </si>
  <si>
    <t>Dried mango produced (Kg)</t>
  </si>
  <si>
    <t>Compost produced</t>
  </si>
  <si>
    <t>Dried mango income (Euro)</t>
  </si>
  <si>
    <t>Compost income (Euro)</t>
  </si>
  <si>
    <t xml:space="preserve">Biogas income (Euro) </t>
  </si>
  <si>
    <t>Assumptions used</t>
  </si>
  <si>
    <t>Benefits of the project</t>
  </si>
  <si>
    <t>1 kg of mango waste</t>
  </si>
  <si>
    <t xml:space="preserve"> 0.043 </t>
  </si>
  <si>
    <t xml:space="preserve"> m³ </t>
  </si>
  <si>
    <t>1. Energy independence thanks to biogas</t>
  </si>
  <si>
    <t>1 m³ of biogas</t>
  </si>
  <si>
    <t>kWh</t>
  </si>
  <si>
    <t>2. Waste conversion into compost and energy</t>
  </si>
  <si>
    <t xml:space="preserve">Fixed monthly cost </t>
  </si>
  <si>
    <t>274.41</t>
  </si>
  <si>
    <t>3. Reduction in fossil fuel costs</t>
  </si>
  <si>
    <t xml:space="preserve">Selling price of dried mangoes </t>
  </si>
  <si>
    <t>Euro/kg</t>
  </si>
  <si>
    <t>4. Potential for carbon credits or green subsidies</t>
  </si>
  <si>
    <t xml:space="preserve">Compost selling price </t>
  </si>
  <si>
    <t xml:space="preserve"> 0.5 </t>
  </si>
  <si>
    <t>5. Creation of local jobs and strengthening of the agricultural value chain</t>
  </si>
  <si>
    <t>No additional energy costs thanks to biogas.</t>
  </si>
  <si>
    <t>Biogas production</t>
  </si>
  <si>
    <t>Features of the ball mill</t>
  </si>
  <si>
    <t xml:space="preserve">  List of acronyms from the waste of biogas sheet </t>
  </si>
  <si>
    <t>Source of waste</t>
  </si>
  <si>
    <t>Quantity (kg/month)</t>
  </si>
  <si>
    <t>Biogas produced (m³/month)</t>
  </si>
  <si>
    <t>Compost produced (kg/month)</t>
  </si>
  <si>
    <t>Estimated value</t>
  </si>
  <si>
    <t>Unity</t>
  </si>
  <si>
    <t xml:space="preserve"> Acronyms</t>
  </si>
  <si>
    <t xml:space="preserve"> Meaning</t>
  </si>
  <si>
    <t>Mango waste</t>
  </si>
  <si>
    <t>Type of shredder</t>
  </si>
  <si>
    <t>With cannonballs (small model)</t>
  </si>
  <si>
    <t>Suitable for small-scale farming</t>
  </si>
  <si>
    <t xml:space="preserve"> m³</t>
  </si>
  <si>
    <t xml:space="preserve"> Cubic meter</t>
  </si>
  <si>
    <t>Motor power</t>
  </si>
  <si>
    <t>kW</t>
  </si>
  <si>
    <t>Electric motor and biogas</t>
  </si>
  <si>
    <t xml:space="preserve"> kW</t>
  </si>
  <si>
    <t xml:space="preserve"> Kilowatt</t>
  </si>
  <si>
    <r>
      <rPr>
        <sz val="14"/>
        <color rgb="FF186C24"/>
        <rFont val="Times New Roman"/>
        <charset val="134"/>
      </rPr>
      <t xml:space="preserve"> </t>
    </r>
    <r>
      <rPr>
        <b/>
        <sz val="14"/>
        <color rgb="FF186C24"/>
        <rFont val="Times New Roman"/>
        <charset val="134"/>
      </rPr>
      <t>2-Hectare Mango Farm Weekly Financial Projection (EUR)</t>
    </r>
  </si>
  <si>
    <t>Grinding capacity</t>
  </si>
  <si>
    <t>kg/h</t>
  </si>
  <si>
    <t>Fresh or pre-treated mangoes</t>
  </si>
  <si>
    <t xml:space="preserve"> Kilogram per hour</t>
  </si>
  <si>
    <t>Operating time</t>
  </si>
  <si>
    <t>Daily average</t>
  </si>
  <si>
    <t xml:space="preserve"> h/day </t>
  </si>
  <si>
    <t xml:space="preserve"> Hour per day</t>
  </si>
  <si>
    <t>Weekly Mango Input</t>
  </si>
  <si>
    <t>Energy consumption</t>
  </si>
  <si>
    <t>kWh/month</t>
  </si>
  <si>
    <t>Depending on use</t>
  </si>
  <si>
    <t xml:space="preserve"> kWh</t>
  </si>
  <si>
    <t xml:space="preserve"> Kilowatt hour</t>
  </si>
  <si>
    <t>Annual output</t>
  </si>
  <si>
    <t>Kg</t>
  </si>
  <si>
    <t>Biogas requirement</t>
  </si>
  <si>
    <t>m³/month</t>
  </si>
  <si>
    <t>1 m³ ≈ 6 kWh</t>
  </si>
  <si>
    <t xml:space="preserve"> kg/month</t>
  </si>
  <si>
    <t xml:space="preserve"> Kilogram per month</t>
  </si>
  <si>
    <t>Monthly output</t>
  </si>
  <si>
    <t xml:space="preserve"> m³/month</t>
  </si>
  <si>
    <t xml:space="preserve"> Cubic meter per month </t>
  </si>
  <si>
    <t>Weekly output</t>
  </si>
  <si>
    <t>Main Machines and Equipment Needed for a Dried Mango Processing Unit</t>
  </si>
  <si>
    <t xml:space="preserve"> Kilowatt hour per month</t>
  </si>
  <si>
    <t>Dried mango</t>
  </si>
  <si>
    <t>Type of machine</t>
  </si>
  <si>
    <t>Useful</t>
  </si>
  <si>
    <t>Cost per unit in euro</t>
  </si>
  <si>
    <t>Links</t>
  </si>
  <si>
    <t>kg</t>
  </si>
  <si>
    <t>Kilogram</t>
  </si>
  <si>
    <t>Mango powder</t>
  </si>
  <si>
    <t xml:space="preserve">Dryer </t>
  </si>
  <si>
    <t>Used to dry the mango slices after preparation.</t>
  </si>
  <si>
    <t>4,162.25</t>
  </si>
  <si>
    <t xml:space="preserve">https://www.alibaba.com/product-detail/NP-Brand-Food-Dehydrators-for-Sale_1601274819369.html?spm=a2706.7843667.0.0.7f6a549481sKM5 </t>
  </si>
  <si>
    <t>Waste (peels + seeds)</t>
  </si>
  <si>
    <t xml:space="preserve">Mango Slicer </t>
  </si>
  <si>
    <t>Cuts mangoes into uniform slices before drying.</t>
  </si>
  <si>
    <t>17,302.53</t>
  </si>
  <si>
    <t xml:space="preserve">https://m.made-in-china.com/product/Lonkia-Turbo-Commercial-Mango-Peeler-High-Speed-Deskinning-2103944972.html?utm_source=chatgpt.com </t>
  </si>
  <si>
    <t>Weekly Revenue (EUR)</t>
  </si>
  <si>
    <t>Unit Price (€)</t>
  </si>
  <si>
    <t>Total Price</t>
  </si>
  <si>
    <t>Washing and Peeling Station</t>
  </si>
  <si>
    <t>For cleaning mangoes and optionally peeling them.</t>
  </si>
  <si>
    <t>Electronic Scale</t>
  </si>
  <si>
    <t>To weigh fresh mangoes, sliced mangoes, and the final dried product to control yield.</t>
  </si>
  <si>
    <t>1,090.06</t>
  </si>
  <si>
    <t>Electronic Scales Full Electric Pallet Truck 3ton 3t Factory Price - Pallet Jack and Electric Pallet Truck</t>
  </si>
  <si>
    <t>Stainless-Steel Preparation Tables</t>
  </si>
  <si>
    <t>Used during sorting, cutting, and arranging slices on trays.</t>
  </si>
  <si>
    <t>181.67</t>
  </si>
  <si>
    <t>30" x 72" Stainless Steel Commercial Work Table</t>
  </si>
  <si>
    <t xml:space="preserve">Drying Trays </t>
  </si>
  <si>
    <t>Where the mango slices are placed during drying.</t>
  </si>
  <si>
    <t>5.85</t>
  </si>
  <si>
    <t>Plateau de rangement en acier inoxydable, plateau de stockage, plaque de fuite, trou, passoire à mailles, lavage des légumes, séchage du bassin, filtre à eau, couvercle du bassin, 304 - AliExpress 15</t>
  </si>
  <si>
    <t xml:space="preserve"> Total weekly revenue</t>
  </si>
  <si>
    <t>Thermometer and Hygrometer</t>
  </si>
  <si>
    <t>To monitor temperature and humidity during the drying process.</t>
  </si>
  <si>
    <t>9.7</t>
  </si>
  <si>
    <t>TFA Thermo-Hygrometer Comfort – Thomann France</t>
  </si>
  <si>
    <t>Weekly Costs (EUR)</t>
  </si>
  <si>
    <t xml:space="preserve">Plastic Bins </t>
  </si>
  <si>
    <t>For storing mangoes before and after drying.</t>
  </si>
  <si>
    <t>2.77</t>
  </si>
  <si>
    <t>Warehouse Industrial Plastic Stackable Storage Bins for Spare Parts Manufacturers &amp; Suppliers – Made-in-China.com</t>
  </si>
  <si>
    <t>Raw mango</t>
  </si>
  <si>
    <t>Heat Sealing / Packaging Machine</t>
  </si>
  <si>
    <t>To seal dried mangoes in airtight packaging.</t>
  </si>
  <si>
    <t>4,481.36</t>
  </si>
  <si>
    <t>Machine À Emballer Automatique De Grains Robuste De 25kg Avec Système De Thermoscellage À Coudre Pour L'emballage De Boîtes De Sacs En Carton - Buy Paper Wrapping Machine glass Packaging Machine easy To Operate Packaging Machine chemical Packing Machine gearbox Sealing System automatic Grain Packaging carton Bag Packaging film Packaging Machine fully Automatic Packaging pet Packing Material pp Packaging Material Product on Alibaba.com</t>
  </si>
  <si>
    <t>Workers</t>
  </si>
  <si>
    <t>Refractometer</t>
  </si>
  <si>
    <t>To check sugar content and support quality control.</t>
  </si>
  <si>
    <t>Réfractomètre de vigneron AT 32 | Brix Meter 0–32% | Réfractomètre de bière | avec ATC pour le brassage de la bière pour mesurer la teneur en sucre pour la production de vins de qualité : Amazon.fr: Cuisine et Maison</t>
  </si>
  <si>
    <t>Energy and maintenance</t>
  </si>
  <si>
    <t>Packaging</t>
  </si>
  <si>
    <r>
      <rPr>
        <sz val="14"/>
        <color rgb="FF000000"/>
        <rFont val="Times New Roman"/>
        <charset val="134"/>
      </rPr>
      <t xml:space="preserve"> </t>
    </r>
    <r>
      <rPr>
        <b/>
        <sz val="14"/>
        <color rgb="FFC00000"/>
        <rFont val="Times New Roman"/>
        <charset val="134"/>
      </rPr>
      <t>Total weekly cost</t>
    </r>
  </si>
  <si>
    <t xml:space="preserve"> Weekly Profit &amp; Margin</t>
  </si>
  <si>
    <t>Profit per week</t>
  </si>
  <si>
    <t>ROI Estimation</t>
  </si>
  <si>
    <t>Initial investment</t>
  </si>
  <si>
    <t>Weekly profit</t>
  </si>
  <si>
    <t xml:space="preserve">Weeks to ROI </t>
  </si>
  <si>
    <t> </t>
  </si>
  <si>
    <t>Notes / Adjustments:</t>
  </si>
  <si>
    <t>1. Solar drying may take longer; multiple batches may be needed.</t>
  </si>
  <si>
    <t>2. Biogas and compost add extra revenue (~€512/week).</t>
  </si>
  <si>
    <t>3. Scaling production (more mangoes) linearly increases revenue &amp; profit.</t>
  </si>
  <si>
    <t>4. Export prices may be higher → increases total revenue.</t>
  </si>
  <si>
    <t>Smart dryer financial planning (10 Years)</t>
  </si>
  <si>
    <t>2ha Summary table</t>
  </si>
  <si>
    <t xml:space="preserve"> CAPEX or Total One-Time Cost (EUR)</t>
  </si>
  <si>
    <t>OPEX or Total Recurring Cost per year (EUR)</t>
  </si>
  <si>
    <t>Revenue &amp; Profitability</t>
  </si>
  <si>
    <t>Processing machines (full chain)</t>
  </si>
  <si>
    <t>Production cost (2 ha × €3/kg dried × 1600 kg)</t>
  </si>
  <si>
    <t>Annual dried output</t>
  </si>
  <si>
    <t>1 600 kg</t>
  </si>
  <si>
    <t>Dryers (2 units)</t>
  </si>
  <si>
    <t>Energy</t>
  </si>
  <si>
    <t>Export price</t>
  </si>
  <si>
    <t>30 €/kg</t>
  </si>
  <si>
    <t>IoT sensors (per dryer ×2)</t>
  </si>
  <si>
    <t>Yearly Revenue</t>
  </si>
  <si>
    <t>IoT Installation</t>
  </si>
  <si>
    <t>Connectivity</t>
  </si>
  <si>
    <t>Net Profit (yearly)</t>
  </si>
  <si>
    <t>IoT Gateway</t>
  </si>
  <si>
    <t>Cloud subscription</t>
  </si>
  <si>
    <t>ROI Calculation (first year)</t>
  </si>
  <si>
    <t>Total CAPEX</t>
  </si>
  <si>
    <t>Total OPEX</t>
  </si>
  <si>
    <t>Long-term ROI (annual)</t>
  </si>
  <si>
    <t>Parameters (final output)</t>
  </si>
  <si>
    <t>Unit / Note</t>
  </si>
  <si>
    <t>Yield per ha</t>
  </si>
  <si>
    <t>kg/ha/an</t>
  </si>
  <si>
    <t>Recovery rate</t>
  </si>
  <si>
    <t>Rate (80%)</t>
  </si>
  <si>
    <t>Transformation ratio (fresh to dry)</t>
  </si>
  <si>
    <t>kg fresh -&gt; 0,4 kg dried</t>
  </si>
  <si>
    <t>Cost of a fresh mango</t>
  </si>
  <si>
    <t>€/kg</t>
  </si>
  <si>
    <t xml:space="preserve">Export price (dried) </t>
  </si>
  <si>
    <t>€/kg dried</t>
  </si>
  <si>
    <t>Capacity per cycle (dryer)</t>
  </si>
  <si>
    <t>kg fresh/cycle</t>
  </si>
  <si>
    <t>Campaign duration</t>
  </si>
  <si>
    <t>days (4 months)</t>
  </si>
  <si>
    <t>Max cycles per dryer (4 months)</t>
  </si>
  <si>
    <t>cycles</t>
  </si>
  <si>
    <t>Unit cost per dryer</t>
  </si>
  <si>
    <t>Unit cost (2ha)</t>
  </si>
  <si>
    <t>IOT</t>
  </si>
  <si>
    <t>add_fan_power_kW</t>
  </si>
  <si>
    <t>sensor_cost_per_dryer_€</t>
  </si>
  <si>
    <t>gateway_cost_per_site_€</t>
  </si>
  <si>
    <t>connectivity_monthly_per_dryer_€</t>
  </si>
  <si>
    <t>cloud_subscription_annual_€</t>
  </si>
  <si>
    <t>installation_cost_per_dryer_€</t>
  </si>
  <si>
    <t>iot_capex_lifetime_years</t>
  </si>
  <si>
    <t>Machine</t>
  </si>
  <si>
    <t>Price (€)</t>
  </si>
  <si>
    <t>Elevators</t>
  </si>
  <si>
    <t>Bubble washer</t>
  </si>
  <si>
    <t>Sorter</t>
  </si>
  <si>
    <t>Cleaner</t>
  </si>
  <si>
    <t>Peeler</t>
  </si>
  <si>
    <t>EMPLOYMENT</t>
  </si>
  <si>
    <t>Variables</t>
  </si>
  <si>
    <t>Modalities</t>
  </si>
  <si>
    <t>Frequencies (%)</t>
  </si>
  <si>
    <t>Drying units</t>
  </si>
  <si>
    <t>Producers</t>
  </si>
  <si>
    <t>Sex</t>
  </si>
  <si>
    <t>Man</t>
  </si>
  <si>
    <t>Women</t>
  </si>
  <si>
    <t>Age</t>
  </si>
  <si>
    <t>] 20 ; 29[</t>
  </si>
  <si>
    <t>] 30 ; 39[</t>
  </si>
  <si>
    <t>8, 33</t>
  </si>
  <si>
    <t>] 40 ; 49[</t>
  </si>
  <si>
    <t>] 50 ; 59[</t>
  </si>
  <si>
    <t>&gt; 60</t>
  </si>
  <si>
    <t>Education level</t>
  </si>
  <si>
    <t>Illiterate</t>
  </si>
  <si>
    <t>41.18</t>
  </si>
  <si>
    <t>Literate</t>
  </si>
  <si>
    <t>11.76</t>
  </si>
  <si>
    <t>Primary</t>
  </si>
  <si>
    <t>35.29</t>
  </si>
  <si>
    <t>Secondary</t>
  </si>
  <si>
    <t>83.33</t>
  </si>
  <si>
    <t>Superior</t>
  </si>
  <si>
    <t>12.5</t>
  </si>
  <si>
    <t>Experience in activity</t>
  </si>
  <si>
    <t>] 5 ; 10[</t>
  </si>
  <si>
    <t>87.78</t>
  </si>
  <si>
    <t>17.65</t>
  </si>
  <si>
    <t>] 10 ; 15[</t>
  </si>
  <si>
    <t>3.33</t>
  </si>
  <si>
    <t>29.41</t>
  </si>
  <si>
    <t>] 15 ; 20[</t>
  </si>
  <si>
    <t>5.56</t>
  </si>
  <si>
    <t>&gt; 20</t>
  </si>
  <si>
    <t>2 HA  WEEKLY COSTS</t>
  </si>
  <si>
    <t>Scenario_ha</t>
  </si>
  <si>
    <t>Weekly_dried_avg_kg</t>
  </si>
  <si>
    <t>Weekly_revenue_avg_€</t>
  </si>
  <si>
    <t>Weekly_prod_cost_avg_€</t>
  </si>
  <si>
    <t>Weekly_energy_avg_€</t>
  </si>
  <si>
    <t>Weekly_maintenance_avg_€</t>
  </si>
  <si>
    <t>Weekly_profit_avg_€</t>
  </si>
  <si>
    <t>2 HA  MONTHLY COSTS</t>
  </si>
  <si>
    <t>Monthly_dried_avg_kg</t>
  </si>
  <si>
    <t>Monthly_revenue_avg_€</t>
  </si>
  <si>
    <t>Monthly_prod_cost_avg_€</t>
  </si>
  <si>
    <t>Monthly_energy_avg_€</t>
  </si>
  <si>
    <t>Monthly_maintenance_avg_€</t>
  </si>
  <si>
    <t>Monthly_profit_avg_€</t>
  </si>
  <si>
    <t xml:space="preserve">2 HA  YEARLY COSTS  </t>
  </si>
  <si>
    <t>Year</t>
  </si>
  <si>
    <t>Usable_fresh_kg</t>
  </si>
  <si>
    <t>Dried_kg</t>
  </si>
  <si>
    <t>Export_price_€</t>
  </si>
  <si>
    <t>Unit_cost_€_per_kg</t>
  </si>
  <si>
    <t>Yearly_dried_mango_cost_€</t>
  </si>
  <si>
    <t>Cycles</t>
  </si>
  <si>
    <t>Energy_cost_€</t>
  </si>
  <si>
    <t>Maintenance_€</t>
  </si>
  <si>
    <t>Total_costs_all_€</t>
  </si>
  <si>
    <t>Net_profit_€</t>
  </si>
  <si>
    <t>Inventory_turnover_per_year</t>
  </si>
  <si>
    <t>Dryers_used</t>
  </si>
  <si>
    <t>Relationship</t>
  </si>
  <si>
    <t>https://www.researchgate.net/publication/242642925_The_mango_tree_in_central_and_northern_Benin_Cultivar_inventory_yield_assessment_infested_stages_and_loss_due_to_fruit_flies_Diptera_Tephritidae#read</t>
  </si>
  <si>
    <t>Parameters table; Cell: Yield per ha</t>
  </si>
  <si>
    <t>The paper The mango tree in central and northern Benin: cultivar inventory, yield assessment, infested stages and loss due to fruit flies (Diptera Tephritidae) reports yield data per hectare (t·ha⁻¹) for different mango cultivars.</t>
  </si>
  <si>
    <t>Parameters table; Cell: Transformation ratio</t>
  </si>
  <si>
    <t>The “4 kg fresh → 0.4 kg dried” you have corresponds to a 10% yield, which is supported by one of CBI’s cited conversion rates</t>
  </si>
  <si>
    <t>https://www.gebana.com/eu-en/dried-fruits-mangos-amelie-bio-burkina-faso-quantity</t>
  </si>
  <si>
    <t>Parameters table; Cell: Export price</t>
  </si>
  <si>
    <t>The “30 €/kg dried” export-price you mention corresponds to the base listing price on gebana’s dried-fruits catalogue for certain mango varieties.</t>
  </si>
  <si>
    <t>https://thaiscience.info/Journals/Article/SNRU/10997761.pdf</t>
  </si>
  <si>
    <t>The study says they “used 500 kg of mangos for each dryer; cleaned, peeled and sliced” for the drying experiments.</t>
  </si>
  <si>
    <t>https://www.researchgate.net/publication/376603746_POTENTIAL_AVAILABILITY_OF_MANGO_BY-PRODUCTS_IN_THE_BOBO-DIOULASSO_AND_ORODARA_AREAS_OF_BURKINA_FASO_ASSESSMENT_OF_THE_QUANTITIES_OF_MANGO_BY-PRODUCTS_AND_MANGO_FEED_PRODUCIBLE_FOR_RUMINANTS</t>
  </si>
  <si>
    <t>Employment table</t>
  </si>
  <si>
    <t>The table shows socio-demographic characteristics of the mango drying promoters and mango growers.</t>
  </si>
  <si>
    <t>TECHNICAL DEFINITIONS</t>
  </si>
  <si>
    <t>Irrigation &amp; Miscellaneous Loads</t>
  </si>
  <si>
    <t>ENERGY CONSUMPTION (kWh/day)</t>
  </si>
  <si>
    <t>Scenario</t>
  </si>
  <si>
    <t>Pump</t>
  </si>
  <si>
    <t>Misc. loads</t>
  </si>
  <si>
    <t>TOTAL (kWh/day)</t>
  </si>
  <si>
    <t>Hectare (10,000 m²)</t>
  </si>
  <si>
    <t>Pump power</t>
  </si>
  <si>
    <t>1.5 kW</t>
  </si>
  <si>
    <t>1.5 HP Pump</t>
  </si>
  <si>
    <t>Base</t>
  </si>
  <si>
    <t>PSH</t>
  </si>
  <si>
    <t>Peak Sun Hours: equivalent full-power sunlight hours</t>
  </si>
  <si>
    <t>Pump operating time</t>
  </si>
  <si>
    <t>4 h</t>
  </si>
  <si>
    <t>Agricultural estimate</t>
  </si>
  <si>
    <t>50 kg/day</t>
  </si>
  <si>
    <t>Derate Factor</t>
  </si>
  <si>
    <t>Overall PV system losses (heat, dust, cables)</t>
  </si>
  <si>
    <t>Miscellaneous loads</t>
  </si>
  <si>
    <t>3 kW</t>
  </si>
  <si>
    <t>Various equipment</t>
  </si>
  <si>
    <t>200 kg/day</t>
  </si>
  <si>
    <t>Hydraulic power required by the pump</t>
  </si>
  <si>
    <t>Miscellaneous load duration</t>
  </si>
  <si>
    <t>5 h</t>
  </si>
  <si>
    <t>Standard farm</t>
  </si>
  <si>
    <t>1,000 kg/day</t>
  </si>
  <si>
    <t>Electrical power required by the pump</t>
  </si>
  <si>
    <t>Peak power of the photovoltaic system</t>
  </si>
  <si>
    <t>Mango Drying</t>
  </si>
  <si>
    <t>Maximum Power Point Tracking – PV efficiency optimization</t>
  </si>
  <si>
    <t>Sensors, IoT, PLCs, GSM/Wi-Fi monitoring</t>
  </si>
  <si>
    <t>Energy efficiency of drying</t>
  </si>
  <si>
    <t>3 kWh/kg of fresh mango</t>
  </si>
  <si>
    <t>DoD</t>
  </si>
  <si>
    <t>Depth of Discharge – battery discharge depth</t>
  </si>
  <si>
    <t>Production Scenario 1</t>
  </si>
  <si>
    <t>BOS</t>
  </si>
  <si>
    <t>Balance of System – structure, cables, protections</t>
  </si>
  <si>
    <t>Production Scenario 2</t>
  </si>
  <si>
    <t>LCOE</t>
  </si>
  <si>
    <t>Levelized Cost of Energy – real energy cost</t>
  </si>
  <si>
    <t>Production Scenario 3</t>
  </si>
  <si>
    <t>Solar Parameters</t>
  </si>
  <si>
    <t>Battery Parameters</t>
  </si>
  <si>
    <t>PSH Burkina Faso</t>
  </si>
  <si>
    <t>5.5 h</t>
  </si>
  <si>
    <t>Battery type</t>
  </si>
  <si>
    <t>Lithium-ion</t>
  </si>
  <si>
    <t>Tracker gain</t>
  </si>
  <si>
    <t>Effective PSH</t>
  </si>
  <si>
    <t>6.6 h</t>
  </si>
  <si>
    <t>Inverter efficiency</t>
  </si>
  <si>
    <t>Loss factor</t>
  </si>
  <si>
    <t>Desired autonomy</t>
  </si>
  <si>
    <t>8 h</t>
  </si>
  <si>
    <t>Derate factor</t>
  </si>
  <si>
    <t>Average area per kWp</t>
  </si>
  <si>
    <t>8.5 m²</t>
  </si>
  <si>
    <t>Trackers</t>
  </si>
  <si>
    <t>Complete PV System</t>
  </si>
  <si>
    <t>PV required (kWp)</t>
  </si>
  <si>
    <t>No. of 400W panels</t>
  </si>
  <si>
    <t>Area m²</t>
  </si>
  <si>
    <t>Area ha</t>
  </si>
  <si>
    <t>Required PV = Energy / (PSH × Derate)</t>
  </si>
  <si>
    <t>PV = kWh / 4.95</t>
  </si>
  <si>
    <t>BATTERY SIZING</t>
  </si>
  <si>
    <t>Energy / 8h (kWh)</t>
  </si>
  <si>
    <t>With losses (kWh)</t>
  </si>
  <si>
    <t>Nominal capacity (kWh)</t>
  </si>
  <si>
    <t>Energy 8h = (kWh/day ÷ 24) × 8</t>
  </si>
  <si>
    <t>Usable energy</t>
  </si>
  <si>
    <t>Energy with losses = usable ÷ 0.9</t>
  </si>
  <si>
    <t>Actual required energy</t>
  </si>
  <si>
    <t>Total capacity = actual ÷ DoD</t>
  </si>
  <si>
    <t>Final battery capacity (kWh)</t>
  </si>
  <si>
    <t>COSTS (CAPEX)</t>
  </si>
  <si>
    <t>Component</t>
  </si>
  <si>
    <t>Price</t>
  </si>
  <si>
    <t>PV cost ($)</t>
  </si>
  <si>
    <t>Battery ($)</t>
  </si>
  <si>
    <t>Inverter ($)</t>
  </si>
  <si>
    <t>Total CAPEX ($)</t>
  </si>
  <si>
    <t>PV + BOS</t>
  </si>
  <si>
    <t>$1.20/W</t>
  </si>
  <si>
    <t>Li-Ion Battery</t>
  </si>
  <si>
    <t>$400/kWh</t>
  </si>
  <si>
    <t>Inverter</t>
  </si>
  <si>
    <t>$1,000/kW</t>
  </si>
  <si>
    <t>ROI (Return on Investment)</t>
  </si>
  <si>
    <t>Savings/day ($)</t>
  </si>
  <si>
    <t>Savings/year ($)</t>
  </si>
  <si>
    <t>Maintenance ($)</t>
  </si>
  <si>
    <t>Net savings/year ($)</t>
  </si>
  <si>
    <t>Payback (yrs)</t>
  </si>
  <si>
    <t>Diesel LCOE</t>
  </si>
  <si>
    <t>$0.40/kWh</t>
  </si>
  <si>
    <t>Days/year</t>
  </si>
  <si>
    <t>2% of CAPEX</t>
  </si>
  <si>
    <t>Daily Energy (kWh/day)</t>
  </si>
  <si>
    <t>Required PV Array (kWp)</t>
  </si>
  <si>
    <t>Number of 400 W Panels</t>
  </si>
  <si>
    <t>Required Battery (usable kWh)</t>
  </si>
  <si>
    <t>Inverter Size (kW, nominal)</t>
  </si>
  <si>
    <t>Small farm (≈2 ha)</t>
  </si>
  <si>
    <t>TABLEAU 1: Farm Scenario</t>
  </si>
  <si>
    <t>Metric</t>
  </si>
  <si>
    <t>Fixed base</t>
  </si>
  <si>
    <t>Daily Energy</t>
  </si>
  <si>
    <t>Total daily consumption</t>
  </si>
  <si>
    <t>Required PV Array</t>
  </si>
  <si>
    <t>kWp</t>
  </si>
  <si>
    <t>Fixed-tilt system</t>
  </si>
  <si>
    <t>With tracking</t>
  </si>
  <si>
    <t>400 W Panels</t>
  </si>
  <si>
    <t>Units</t>
  </si>
  <si>
    <t>Fixed-tilt</t>
  </si>
  <si>
    <t>Tracking</t>
  </si>
  <si>
    <t>Battery</t>
  </si>
  <si>
    <t>Usable kWh</t>
  </si>
  <si>
    <t>Storage requirement</t>
  </si>
  <si>
    <t>Inverter Size</t>
  </si>
  <si>
    <t>Nominal rating</t>
  </si>
  <si>
    <t>TABLEAU 2 : Calculation Summary</t>
  </si>
  <si>
    <t>Same for both systems</t>
  </si>
  <si>
    <t>PV Power (Fixed-Tilt)</t>
  </si>
  <si>
    <t>Baseline</t>
  </si>
  <si>
    <t>PV Power (Tracking)</t>
  </si>
  <si>
    <t>20% reduction</t>
  </si>
  <si>
    <t>Panels (Fixed-Tilt)</t>
  </si>
  <si>
    <t>0.4 kW each</t>
  </si>
  <si>
    <t>Panels (Tracking)</t>
  </si>
  <si>
    <t>0.4 KW each</t>
  </si>
  <si>
    <t>System Cost (Fixed-Tilt)</t>
  </si>
  <si>
    <t>Total system cost</t>
  </si>
  <si>
    <t>System Cost (Tracking)</t>
  </si>
  <si>
    <t>Lower due to fewer panels</t>
  </si>
  <si>
    <t>Payback Period (Fixed-Tilt)</t>
  </si>
  <si>
    <t>=Cost/Savings</t>
  </si>
  <si>
    <t>Payback Period (Tracking)</t>
  </si>
  <si>
    <t>Annual Savings</t>
  </si>
  <si>
    <t>=Annual production×rate</t>
  </si>
  <si>
    <t>TABLEAU 3: Energy Breakdown (37 kWh/day)</t>
  </si>
  <si>
    <t>Irrigation</t>
  </si>
  <si>
    <t>Efficient pumps</t>
  </si>
  <si>
    <t>Ventilation/Greenhouses</t>
  </si>
  <si>
    <t>Climate control</t>
  </si>
  <si>
    <t>Storage/Cooling</t>
  </si>
  <si>
    <t>Refrigeration</t>
  </si>
  <si>
    <t>Tools/Machinery</t>
  </si>
  <si>
    <t>Farm tools</t>
  </si>
  <si>
    <t>Electric Fences</t>
  </si>
  <si>
    <t>Protection system</t>
  </si>
  <si>
    <t>Office/Management</t>
  </si>
  <si>
    <t>Monitoring</t>
  </si>
  <si>
    <t>Optimized consumption</t>
  </si>
  <si>
    <t>TABLEAU 4 :System Size and Explanation</t>
  </si>
  <si>
    <t>PV Size (Fixed-Tilt)</t>
  </si>
  <si>
    <t>19 panels × 0.4 kW</t>
  </si>
  <si>
    <t>PV Size (Tracking)</t>
  </si>
  <si>
    <t>15 panels × 0.4 kW</t>
  </si>
  <si>
    <t>Tracking Gain</t>
  </si>
  <si>
    <t>Higher solar yield</t>
  </si>
  <si>
    <t>Panel Reduction</t>
  </si>
  <si>
    <t>Fewer panels needed</t>
  </si>
  <si>
    <t>TABLEAU 5 : Cost Breakdown</t>
  </si>
  <si>
    <t>PV Panels (Fixed-Tilt)</t>
  </si>
  <si>
    <t>Unit price: 1200 €/kWp</t>
  </si>
  <si>
    <t>PV Panels (Tracking)</t>
  </si>
  <si>
    <t>Tracking Hardware</t>
  </si>
  <si>
    <t>Only for tracking</t>
  </si>
  <si>
    <t>Mounting/Installation (Fixed-Tilt)</t>
  </si>
  <si>
    <t>Estimated total</t>
  </si>
  <si>
    <t>Mounting/Installation (Tracking)</t>
  </si>
  <si>
    <t xml:space="preserve">52 kWh usable with 400€/KWh </t>
  </si>
  <si>
    <t>6.3 kW nominal with 500€/KW</t>
  </si>
  <si>
    <t>Total Cost (Fixed-Tilt)</t>
  </si>
  <si>
    <t>System total</t>
  </si>
  <si>
    <t>Total Cost (Tracking)</t>
  </si>
  <si>
    <t>Cost Difference</t>
  </si>
  <si>
    <t>Tracking cheaper overall</t>
  </si>
  <si>
    <t>TABLEAU 6 : ROI Calculation</t>
  </si>
  <si>
    <t>Annual Production</t>
  </si>
  <si>
    <t>Formula: 37 × 365</t>
  </si>
  <si>
    <t>Electricity Price</t>
  </si>
  <si>
    <t>€/kWh</t>
  </si>
  <si>
    <t>Agricultural tariff</t>
  </si>
  <si>
    <t>Production × rate</t>
  </si>
  <si>
    <t>Reference cost table</t>
  </si>
  <si>
    <t>Payback (Fixed-Tilt)</t>
  </si>
  <si>
    <t>Cost ÷ savings</t>
  </si>
  <si>
    <t>Payback (Tracking)</t>
  </si>
  <si>
    <t>TABLEAU 7 : Optimization Tip</t>
  </si>
  <si>
    <t>value</t>
  </si>
  <si>
    <t>Irrigation Shift</t>
  </si>
  <si>
    <t>%Daytime</t>
  </si>
  <si>
    <t>Reduces battery need</t>
  </si>
  <si>
    <t>New Battery Size</t>
  </si>
  <si>
    <t>Updated storage requirement</t>
  </si>
  <si>
    <t>New Payback</t>
  </si>
  <si>
    <t>Lower CAPEX</t>
  </si>
  <si>
    <r>
      <rPr>
        <b/>
        <sz val="14"/>
        <color rgb="FF000000"/>
        <rFont val="Times New Roman"/>
        <charset val="134"/>
      </rPr>
      <t>TABLE 8</t>
    </r>
    <r>
      <rPr>
        <sz val="14"/>
        <color rgb="FF000000"/>
        <rFont val="Times New Roman"/>
        <charset val="134"/>
      </rPr>
      <t>: Recommendations and Data Alignment</t>
    </r>
  </si>
  <si>
    <t>Data Alignment</t>
  </si>
  <si>
    <t>Consistent</t>
  </si>
  <si>
    <t>Same 37 kWh/day used in all tables</t>
  </si>
  <si>
    <t>Energy Need Definition</t>
  </si>
  <si>
    <t>Basis for sizing PV and battery</t>
  </si>
  <si>
    <t xml:space="preserve">Panel Selection:monocrystalline or polycrystalline </t>
  </si>
  <si>
    <t>W</t>
  </si>
  <si>
    <r>
      <rPr>
        <b/>
        <sz val="14"/>
        <color rgb="FF000000"/>
        <rFont val="Times New Roman"/>
        <charset val="134"/>
      </rPr>
      <t>Monocrystalline:</t>
    </r>
    <r>
      <rPr>
        <sz val="14"/>
        <color rgb="FF000000"/>
        <rFont val="Times New Roman"/>
        <charset val="134"/>
      </rPr>
      <t xml:space="preserve"> best efficiency ideal in moderate temperatures or well-ventilated areas. </t>
    </r>
    <r>
      <rPr>
        <b/>
        <sz val="14"/>
        <color rgb="FF000000"/>
        <rFont val="Times New Roman"/>
        <charset val="134"/>
      </rPr>
      <t>Polycrystalline:</t>
    </r>
    <r>
      <rPr>
        <sz val="14"/>
        <color rgb="FF000000"/>
        <rFont val="Times New Roman"/>
        <charset val="134"/>
      </rPr>
      <t xml:space="preserve"> better thermal tolerance, recommended for  hot climates like in the Sahel.</t>
    </r>
  </si>
  <si>
    <t>PV Configuration(Tracking)</t>
  </si>
  <si>
    <t>20% fewer panels, same output</t>
  </si>
  <si>
    <t>Battery Optimization</t>
  </si>
  <si>
    <t>Shift 50% irrigation to daytime to reduce capacity</t>
  </si>
  <si>
    <t>Estimated carbon factor</t>
  </si>
  <si>
    <t>kg CO₂/kWh</t>
  </si>
  <si>
    <t>Average life-cycle emissions of PV panels</t>
  </si>
  <si>
    <t>Carbon Footprint</t>
  </si>
  <si>
    <t>kg CO₂/year</t>
  </si>
  <si>
    <t>Life-cycle emissions from PV generation</t>
  </si>
  <si>
    <t>Grid Emission Comparison</t>
  </si>
  <si>
    <t>Conventional power equivalent (0.5 kg CO₂/kWh)</t>
  </si>
  <si>
    <t>Emission Reduction</t>
  </si>
  <si>
    <t>Compared to grid-based electricity</t>
  </si>
  <si>
    <t>Monitoring System</t>
  </si>
  <si>
    <t>IoT-based</t>
  </si>
  <si>
    <t>Recommended</t>
  </si>
  <si>
    <t>Enables tracking of energy use and CO₂ savings</t>
  </si>
  <si>
    <t>Overall Recommendation</t>
  </si>
  <si>
    <t>no metric</t>
  </si>
  <si>
    <t>Adopt tracking PV with reduced battery</t>
  </si>
  <si>
    <t>Improves efficiency, lowers CAPEX and emissions</t>
  </si>
  <si>
    <t>Design of an Energy-Efficient Warehouse for Preserving Dried Mangoes Until Distribution</t>
  </si>
  <si>
    <t>Zone</t>
  </si>
  <si>
    <t>Purpose</t>
  </si>
  <si>
    <t>Length (m)</t>
  </si>
  <si>
    <t>Width (m)</t>
  </si>
  <si>
    <t>Area (m²)</t>
  </si>
  <si>
    <t>Target Temp (°C)</t>
  </si>
  <si>
    <t>Target RH (%)</t>
  </si>
  <si>
    <t>Energy-efficient tech</t>
  </si>
  <si>
    <t>Estimated CAPEX (€)</t>
  </si>
  <si>
    <t>Estimated OPEX/year (€)</t>
  </si>
  <si>
    <t>Approx. Cooling Load (kW)</t>
  </si>
  <si>
    <t>Receiving &amp; Inspection</t>
  </si>
  <si>
    <t>Unloading trucks, quality check, initial sorting</t>
  </si>
  <si>
    <t>20 to 25</t>
  </si>
  <si>
    <t>40-60</t>
  </si>
  <si>
    <t>Unloading table, scales, pallets</t>
  </si>
  <si>
    <t>LED lighting, motion sensors, natural daylighting</t>
  </si>
  <si>
    <t>Conditioning / Re-drying</t>
  </si>
  <si>
    <t>Optional re-drying or moisture equilibration</t>
  </si>
  <si>
    <t>40 to 60 (process)</t>
  </si>
  <si>
    <t>10-20 (process)</t>
  </si>
  <si>
    <t>Hot air oven, hygrometer</t>
  </si>
  <si>
    <t>Heat-recovery ventilator, insulated chamber, PID control</t>
  </si>
  <si>
    <t>6 (process heating)</t>
  </si>
  <si>
    <t>Bulk Dry Storage (racked)</t>
  </si>
  <si>
    <t>Main storage for dried mango in bulk or boxes</t>
  </si>
  <si>
    <t>15 to 20</t>
  </si>
  <si>
    <t>50-55</t>
  </si>
  <si>
    <t>Racks, fans, dehumidifier</t>
  </si>
  <si>
    <t>Insulated envelope, dehumidifier with hygrostats, HVAC with heat recovery, LED</t>
  </si>
  <si>
    <t>Packaging &amp; Sealing</t>
  </si>
  <si>
    <t>Weighing, packaging, vacuum/MAP sealing, labeling</t>
  </si>
  <si>
    <t>18 to 22</t>
  </si>
  <si>
    <t>50-60</t>
  </si>
  <si>
    <t>Tables, scales, MAP sealer, labeler</t>
  </si>
  <si>
    <t>Efficient packers, LED, schedule-based ventilation</t>
  </si>
  <si>
    <t>Cold Holding (optional)</t>
  </si>
  <si>
    <t>Short-term holding for packaged product before shipment</t>
  </si>
  <si>
    <t>10 to 15</t>
  </si>
  <si>
    <t>30-50</t>
  </si>
  <si>
    <t>Cold room, mobile racks</t>
  </si>
  <si>
    <t>High-efficiency compressor, door curtains, variable-speed drives</t>
  </si>
  <si>
    <t>Loading &amp; Dispatch</t>
  </si>
  <si>
    <t>Staging for outbound shipments</t>
  </si>
  <si>
    <t>Pallets, pallet jacks</t>
  </si>
  <si>
    <t>LED lighting, insulated loading doors</t>
  </si>
  <si>
    <t>Utilities &amp; Mechanical</t>
  </si>
  <si>
    <t>House HVAC, dehumidifiers, solar inverter, backup generator</t>
  </si>
  <si>
    <t>N/A</t>
  </si>
  <si>
    <t>Central HVAC, dehumidifier, inverter, generator</t>
  </si>
  <si>
    <t>Solar PV + battery, energy monitoring, VFD on fans</t>
  </si>
  <si>
    <t>Office &amp; QC Lab</t>
  </si>
  <si>
    <t>Admin, quality control testing, record keeping</t>
  </si>
  <si>
    <t>20 to 24</t>
  </si>
  <si>
    <t>Desks, PCs, microscopes, scales</t>
  </si>
  <si>
    <t>Efficient appliances, daylighting, timers</t>
  </si>
  <si>
    <t>Glossary / Abbreviations:</t>
  </si>
  <si>
    <r>
      <rPr>
        <b/>
        <sz val="16"/>
        <color theme="1"/>
        <rFont val="Times New Roman"/>
        <charset val="134"/>
      </rPr>
      <t>CAPEX</t>
    </r>
    <r>
      <rPr>
        <sz val="16"/>
        <color theme="1"/>
        <rFont val="Times New Roman"/>
        <charset val="134"/>
      </rPr>
      <t xml:space="preserve"> = Capital Expenditure (investment in equipment &amp; infrastructure)</t>
    </r>
  </si>
  <si>
    <t>Estimated Totals:</t>
  </si>
  <si>
    <r>
      <rPr>
        <b/>
        <sz val="16"/>
        <color theme="1"/>
        <rFont val="Times New Roman"/>
        <charset val="134"/>
      </rPr>
      <t>OPEX</t>
    </r>
    <r>
      <rPr>
        <sz val="16"/>
        <color theme="1"/>
        <rFont val="Times New Roman"/>
        <charset val="134"/>
      </rPr>
      <t xml:space="preserve"> = Operational Expenditure (annual operating costs)</t>
    </r>
  </si>
  <si>
    <r>
      <rPr>
        <b/>
        <sz val="16"/>
        <color theme="1"/>
        <rFont val="Times New Roman"/>
        <charset val="134"/>
      </rPr>
      <t>Total CAPEX</t>
    </r>
    <r>
      <rPr>
        <sz val="16"/>
        <color theme="1"/>
        <rFont val="Times New Roman"/>
        <charset val="134"/>
      </rPr>
      <t xml:space="preserve"> ≈ €51,000</t>
    </r>
  </si>
  <si>
    <r>
      <rPr>
        <b/>
        <sz val="16"/>
        <color theme="1"/>
        <rFont val="Times New Roman"/>
        <charset val="134"/>
      </rPr>
      <t>MAP</t>
    </r>
    <r>
      <rPr>
        <sz val="16"/>
        <color theme="1"/>
        <rFont val="Times New Roman"/>
        <charset val="134"/>
      </rPr>
      <t xml:space="preserve"> = Modified Atmosphere Packaging (technique to preserve food)</t>
    </r>
  </si>
  <si>
    <r>
      <rPr>
        <b/>
        <sz val="16"/>
        <color theme="1"/>
        <rFont val="Times New Roman"/>
        <charset val="134"/>
      </rPr>
      <t>Total annual OPEX</t>
    </r>
    <r>
      <rPr>
        <sz val="16"/>
        <color theme="1"/>
        <rFont val="Times New Roman"/>
        <charset val="134"/>
      </rPr>
      <t xml:space="preserve"> ≈ €8,400</t>
    </r>
  </si>
  <si>
    <r>
      <rPr>
        <b/>
        <sz val="16"/>
        <color theme="1"/>
        <rFont val="Times New Roman"/>
        <charset val="134"/>
      </rPr>
      <t>kW</t>
    </r>
    <r>
      <rPr>
        <sz val="16"/>
        <color theme="1"/>
        <rFont val="Times New Roman"/>
        <charset val="134"/>
      </rPr>
      <t xml:space="preserve"> = Kilowatt (unit of power / cooling load)</t>
    </r>
  </si>
  <si>
    <r>
      <rPr>
        <b/>
        <sz val="16"/>
        <color theme="1"/>
        <rFont val="Times New Roman"/>
        <charset val="134"/>
      </rPr>
      <t>N/A</t>
    </r>
    <r>
      <rPr>
        <sz val="16"/>
        <color theme="1"/>
        <rFont val="Times New Roman"/>
        <charset val="134"/>
      </rPr>
      <t xml:space="preserve"> = Not Applicable</t>
    </r>
  </si>
  <si>
    <r>
      <rPr>
        <b/>
        <sz val="16"/>
        <color rgb="FF000000"/>
        <rFont val="Times New Roman"/>
        <charset val="134"/>
      </rPr>
      <t xml:space="preserve">QC Lab = </t>
    </r>
    <r>
      <rPr>
        <sz val="16"/>
        <color rgb="FF000000"/>
        <rFont val="Times New Roman"/>
        <charset val="134"/>
      </rPr>
      <t xml:space="preserve">Quality Control Laboratory </t>
    </r>
  </si>
  <si>
    <r>
      <rPr>
        <b/>
        <sz val="16"/>
        <color rgb="FF000000"/>
        <rFont val="Times New Roman"/>
        <charset val="134"/>
      </rPr>
      <t>HVAC</t>
    </r>
    <r>
      <rPr>
        <sz val="16"/>
        <color rgb="FF000000"/>
        <rFont val="Times New Roman"/>
        <charset val="134"/>
      </rPr>
      <t xml:space="preserve"> = Heating, Ventilation, and Air Conditioning</t>
    </r>
  </si>
  <si>
    <r>
      <rPr>
        <b/>
        <sz val="16"/>
        <color theme="1"/>
        <rFont val="Times New Roman"/>
        <charset val="134"/>
      </rPr>
      <t>RH</t>
    </r>
    <r>
      <rPr>
        <sz val="16"/>
        <color theme="1"/>
        <rFont val="Times New Roman"/>
        <charset val="134"/>
      </rPr>
      <t xml:space="preserve"> = Relative Humidity (humidity % to maintain product quality)</t>
    </r>
  </si>
  <si>
    <r>
      <rPr>
        <b/>
        <sz val="16"/>
        <color rgb="FF000000"/>
        <rFont val="Times New Roman"/>
        <charset val="134"/>
      </rPr>
      <t xml:space="preserve">Analysis and Justification of Technical Choices:
</t>
    </r>
    <r>
      <rPr>
        <sz val="11"/>
        <color rgb="FF000000"/>
        <rFont val="Aptos Narrow"/>
        <charset val="134"/>
        <scheme val="minor"/>
      </rPr>
      <t xml:space="preserve">
</t>
    </r>
    <r>
      <rPr>
        <sz val="14"/>
        <color rgb="FF000000"/>
        <rFont val="Times New Roman"/>
        <charset val="134"/>
      </rPr>
      <t>The facility layout and design parameters were defined according to the specific thermal and operational needs of each zone. Temperature and humidity targets are carefully adjusted to maintain mango quality during receiving, conditioning, drying, storage, and packaging operations.
Energy-efficient technologies such as LED lighting, motion sensors, heat-recovery ventilation, insulated envelopes, and variable-speed drives have been selected to minimize energy losses and optimize indoor environmental conditions. The integration of dehumidifiers with hygrostats and automated HVAC control ensures stable storage conditions, while MAP sealers and cold rooms preserve product integrity before dispatch.
In the utilities section, the inclusion of a solar photovoltaic system with battery storage and energy monitoring reduces grid dependency and lowers operational costs (OPEX). Overall, these technical decisions reflect a sustainable and cost-effective approach, combining energy efficiency, process reliability, and environmental responsibility.</t>
    </r>
  </si>
  <si>
    <t>No-Reesa (voice translation app)</t>
  </si>
  <si>
    <t>Importance of Moore → German Voice Translation in the Dried Mango Trade</t>
  </si>
  <si>
    <t>Indicator</t>
  </si>
  <si>
    <t>Without Voice Translation App (per year)</t>
  </si>
  <si>
    <t>With Voice Translation App (per year)</t>
  </si>
  <si>
    <t>Gain due to No-Reesa App</t>
  </si>
  <si>
    <t>Impact (%)</t>
  </si>
  <si>
    <t>Number of international buyers reached</t>
  </si>
  <si>
    <t>Total sales (million XOF)</t>
  </si>
  <si>
    <t>8.5</t>
  </si>
  <si>
    <t xml:space="preserve">                                               15.2</t>
  </si>
  <si>
    <t xml:space="preserve">               +6.7</t>
  </si>
  <si>
    <t xml:space="preserve">           78.8%</t>
  </si>
  <si>
    <t>Amount spent on interpreters (million XOF)</t>
  </si>
  <si>
    <t>2.1</t>
  </si>
  <si>
    <t xml:space="preserve">               +2.1</t>
  </si>
  <si>
    <t>Export success rate</t>
  </si>
  <si>
    <t xml:space="preserve">            54.5%</t>
  </si>
  <si>
    <t>Customer satisfaction rate</t>
  </si>
  <si>
    <t xml:space="preserve">            53.3%</t>
  </si>
  <si>
    <t>Average delivery agreements per month</t>
  </si>
  <si>
    <t xml:space="preserve">Investment Needed </t>
  </si>
  <si>
    <t>Category</t>
  </si>
  <si>
    <t>Estimated Cost (EUR)</t>
  </si>
  <si>
    <t>App Development</t>
  </si>
  <si>
    <t>Simplified extension with limited language pairs &amp; interface reuse</t>
  </si>
  <si>
    <t>Data Collection &amp; Translation</t>
  </si>
  <si>
    <t>Small dataset (≈5,000 sentences) using local contributors</t>
  </si>
  <si>
    <t>AI Model Training</t>
  </si>
  <si>
    <t>Training using pre-trained multilingual models (less compute cost)</t>
  </si>
  <si>
    <t>Testing &amp; Quality Assurance</t>
  </si>
  <si>
    <t>Basic linguistic and user testing</t>
  </si>
  <si>
    <t>Marketing &amp; Promotion</t>
  </si>
  <si>
    <t>Digital marketing and awareness in target communities</t>
  </si>
  <si>
    <t>Upwork (2024)</t>
  </si>
  <si>
    <t>Developer cost estimates for mobile app projects in Africa</t>
  </si>
  <si>
    <t>https://www.upwork.com</t>
  </si>
  <si>
    <t>Infrastructure &amp; Hosting</t>
  </si>
  <si>
    <t>Basic cloud instance and database</t>
  </si>
  <si>
    <t>AI4D Africa (2023)</t>
  </si>
  <si>
    <t>Language data collection cost reference</t>
  </si>
  <si>
    <t>https://ai4d.ai</t>
  </si>
  <si>
    <t>Team Salaries (3 months)</t>
  </si>
  <si>
    <t>Small core team (1 dev, 1 linguist, 1 PM)</t>
  </si>
  <si>
    <t>Hugging Face (2024)</t>
  </si>
  <si>
    <t>AI model training and hosting benchmarks</t>
  </si>
  <si>
    <t>https://huggingface.co</t>
  </si>
  <si>
    <t>Legal &amp; Administrative Fees</t>
  </si>
  <si>
    <t>Simplified registration &amp; documentation</t>
  </si>
  <si>
    <t>Google Cloud (2024)</t>
  </si>
  <si>
    <t>Cloud storage and hosting pricing</t>
  </si>
  <si>
    <t>https://cloud.google.com</t>
  </si>
  <si>
    <t>Contingency (10%)</t>
  </si>
  <si>
    <t>Buffer for adjustments</t>
  </si>
  <si>
    <t>API-BF (2024)</t>
  </si>
  <si>
    <t>Administrative and registration costs in Burkina Faso</t>
  </si>
  <si>
    <t>https://www.apibf.bf</t>
  </si>
  <si>
    <t>Total Estimated Investment</t>
  </si>
  <si>
    <t>PROJECT FINANCIAL SUMMARY</t>
  </si>
  <si>
    <t xml:space="preserve">Metric	</t>
  </si>
  <si>
    <t xml:space="preserve">Result	</t>
  </si>
  <si>
    <t>Explanation</t>
  </si>
  <si>
    <t>Total Investment</t>
  </si>
  <si>
    <t>The total cost of the security system including installation.</t>
  </si>
  <si>
    <t>The total amount saved per year from theft reduction, personnel cost reduction, and efficiency gains.</t>
  </si>
  <si>
    <t>Payback Period</t>
  </si>
  <si>
    <t>The time it takes for the annual savings to cover the initial investment.</t>
  </si>
  <si>
    <t>Annual ROI</t>
  </si>
  <si>
    <t>The annual return on investment, indicating high profitability.</t>
  </si>
  <si>
    <t>GENERAL INFORMATION</t>
  </si>
  <si>
    <t>Details</t>
  </si>
  <si>
    <t>Project Name</t>
  </si>
  <si>
    <t>Mango Drying Farm Security System</t>
  </si>
  <si>
    <t>Farm Location</t>
  </si>
  <si>
    <t>Location Of The Farm</t>
  </si>
  <si>
    <t>Farm Area</t>
  </si>
  <si>
    <t>2 Hectares</t>
  </si>
  <si>
    <t>Objectives</t>
  </si>
  <si>
    <t>Theft reduction, improved monitoring</t>
  </si>
  <si>
    <t>Crop</t>
  </si>
  <si>
    <t>Mango</t>
  </si>
  <si>
    <t>Currency</t>
  </si>
  <si>
    <t>Euro (€)</t>
  </si>
  <si>
    <t>COMPONENTS AND COSTS</t>
  </si>
  <si>
    <t>Unit Cost (€)</t>
  </si>
  <si>
    <t>Subtotal (€)</t>
  </si>
  <si>
    <t>Specifications</t>
  </si>
  <si>
    <t>Perimeter fence</t>
  </si>
  <si>
    <t>meter</t>
  </si>
  <si>
    <t>Security fence</t>
  </si>
  <si>
    <t>Perimeter cameras</t>
  </si>
  <si>
    <t>4MP, weatherproof</t>
  </si>
  <si>
    <t>Face recognition cameras</t>
  </si>
  <si>
    <t>AI technology</t>
  </si>
  <si>
    <t>Internal cameras</t>
  </si>
  <si>
    <t>Indoor monitoring</t>
  </si>
  <si>
    <t>Monitoring system</t>
  </si>
  <si>
    <t>Server + software</t>
  </si>
  <si>
    <t>Access control</t>
  </si>
  <si>
    <t>Entry control</t>
  </si>
  <si>
    <t>SUB-TOTAL</t>
  </si>
  <si>
    <t>Installation</t>
  </si>
  <si>
    <t>10% of equipment</t>
  </si>
  <si>
    <t>TOTAL INVESTMENT</t>
  </si>
  <si>
    <t>ASSUMPTIONS &amp; BASE VALUES</t>
  </si>
  <si>
    <t xml:space="preserve">Description	</t>
  </si>
  <si>
    <t>Previous annual losses</t>
  </si>
  <si>
    <t>Security guard annual salary</t>
  </si>
  <si>
    <t>Annual maintenance costs</t>
  </si>
  <si>
    <t>Theft reduction rate</t>
  </si>
  <si>
    <t>Maintenance improvement rate</t>
  </si>
  <si>
    <t>ANNUAL BENEFITS</t>
  </si>
  <si>
    <t>Benefit Type</t>
  </si>
  <si>
    <t>Amount (€)</t>
  </si>
  <si>
    <t>Theft reduction</t>
  </si>
  <si>
    <t>Loss prevention</t>
  </si>
  <si>
    <t>Personnel cost reduction</t>
  </si>
  <si>
    <t>Automated monitoring</t>
  </si>
  <si>
    <t>Maintenance improvement</t>
  </si>
  <si>
    <t>Efficiency gains</t>
  </si>
  <si>
    <t>TOTAL SAVINGS</t>
  </si>
  <si>
    <t>FINANCIAL ANALYSIS</t>
  </si>
  <si>
    <t xml:space="preserve">5 months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</si>
</sst>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6" formatCode="&quot;$&quot;#,##0_);[Red]\(&quot;$&quot;#,##0\)"/>
    <numFmt numFmtId="42" formatCode="_(&quot;$&quot;* #,##0_);_(&quot;$&quot;* \(#,##0\);_(&quot;$&quot;* &quot;-&quot;_);_(@_)"/>
    <numFmt numFmtId="43" formatCode="_(* #,##0.00_);_(* \(#,##0.00\);_(* &quot;-&quot;??_);_(@_)"/>
    <numFmt numFmtId="44" formatCode="_(&quot;$&quot;* #,##0.00_);_(&quot;$&quot;* \(#,##0.00\);_(&quot;$&quot;* &quot;-&quot;??_);_(@_)"/>
    <numFmt numFmtId="176" formatCode="_ * #,##0.00_ ;_ * \-#,##0.00_ ;_ * &quot;-&quot;??_ ;_ @_ "/>
    <numFmt numFmtId="177" formatCode="_ * #,##0_ ;_ * \-#,##0_ ;_ * &quot;-&quot;_ ;_ @_ "/>
    <numFmt numFmtId="178" formatCode="#,##0\ &quot;€&quot;;[Red]\-#,##0\ &quot;€&quot;"/>
    <numFmt numFmtId="179" formatCode="#,##0.00\ &quot;€&quot;;[Red]\-#,##0.00\ &quot;€&quot;"/>
    <numFmt numFmtId="180" formatCode="0.0"/>
    <numFmt numFmtId="181" formatCode="0.000"/>
    <numFmt numFmtId="182" formatCode="_-* #,##0.00\ [$€-40C]_-;\-* #,##0.00\ [$€-40C]_-;_-* &quot;-&quot;??\ [$€-40C]_-;_-@_-"/>
    <numFmt numFmtId="183" formatCode="#,##0.0\ &quot;€&quot;;[Red]\-#,##0.0\ &quot;€&quot;"/>
    <numFmt numFmtId="184" formatCode="_(* #,##0_);_(* \(#,##0\);_(* &quot;-&quot;??_);_(@_)"/>
    <numFmt numFmtId="185" formatCode="_([$€-2]\ * #,##0.00_);_([$€-2]\ * \(#,##0.00\);_([$€-2]\ * &quot;-&quot;??_);_(@_)"/>
    <numFmt numFmtId="186" formatCode="_-* #,##0\ [$CFA-340C]_-;\-* #,##0\ [$CFA-340C]_-;_-* &quot;-&quot;\ [$CFA-340C]_-;_-@_-"/>
    <numFmt numFmtId="187" formatCode="#,##0\ [$CFA-340C]"/>
  </numFmts>
  <fonts count="166">
    <font>
      <sz val="11"/>
      <color theme="1"/>
      <name val="Aptos Narrow"/>
      <charset val="134"/>
      <scheme val="minor"/>
    </font>
    <font>
      <sz val="14"/>
      <color theme="1"/>
      <name val="Times New Roman"/>
      <charset val="134"/>
    </font>
    <font>
      <b/>
      <sz val="14"/>
      <color rgb="FF0F1115"/>
      <name val="Times New Roman"/>
      <charset val="134"/>
    </font>
    <font>
      <sz val="14"/>
      <color rgb="FF0F1115"/>
      <name val="Times New Roman"/>
      <charset val="134"/>
    </font>
    <font>
      <sz val="14"/>
      <color rgb="FF000000"/>
      <name val="Times New Roman"/>
      <charset val="134"/>
    </font>
    <font>
      <b/>
      <sz val="14"/>
      <color rgb="FF000000"/>
      <name val="Times New Roman"/>
      <charset val="134"/>
    </font>
    <font>
      <b/>
      <sz val="16"/>
      <color rgb="FF000000"/>
      <name val="Times New Roman"/>
      <charset val="134"/>
    </font>
    <font>
      <b/>
      <sz val="20"/>
      <color theme="1"/>
      <name val="Times New Roman"/>
      <charset val="134"/>
    </font>
    <font>
      <sz val="14"/>
      <color rgb="FFFFFFFF"/>
      <name val="Aptos Narrow"/>
      <charset val="134"/>
      <scheme val="minor"/>
    </font>
    <font>
      <b/>
      <sz val="11"/>
      <color theme="0"/>
      <name val="Aptos Narrow"/>
      <charset val="134"/>
      <scheme val="minor"/>
    </font>
    <font>
      <b/>
      <sz val="11"/>
      <color theme="1"/>
      <name val="Aptos Narrow"/>
      <charset val="134"/>
      <scheme val="minor"/>
    </font>
    <font>
      <sz val="9"/>
      <color theme="0"/>
      <name val="Aptos Narrow"/>
      <charset val="134"/>
      <scheme val="minor"/>
    </font>
    <font>
      <b/>
      <sz val="9"/>
      <color theme="1"/>
      <name val="Aptos Narrow"/>
      <charset val="134"/>
      <scheme val="minor"/>
    </font>
    <font>
      <sz val="9"/>
      <color theme="1"/>
      <name val="Aptos Narrow"/>
      <charset val="134"/>
      <scheme val="minor"/>
    </font>
    <font>
      <u/>
      <sz val="11"/>
      <color theme="3" tint="0.249977111117893"/>
      <name val="Aptos Narrow"/>
      <charset val="134"/>
      <scheme val="minor"/>
    </font>
    <font>
      <b/>
      <sz val="11"/>
      <color rgb="FFFFFFFF"/>
      <name val="Calibri"/>
      <charset val="134"/>
    </font>
    <font>
      <b/>
      <sz val="11"/>
      <color rgb="FF000000"/>
      <name val="Calibri"/>
      <charset val="134"/>
    </font>
    <font>
      <sz val="14"/>
      <color rgb="FF002060"/>
      <name val="Aptos Narrow"/>
      <charset val="134"/>
      <scheme val="minor"/>
    </font>
    <font>
      <sz val="18"/>
      <color theme="0"/>
      <name val="Aptos Narrow"/>
      <charset val="134"/>
      <scheme val="minor"/>
    </font>
    <font>
      <b/>
      <sz val="20"/>
      <color theme="3"/>
      <name val="Times New Roman"/>
      <charset val="134"/>
    </font>
    <font>
      <b/>
      <sz val="14"/>
      <color theme="1"/>
      <name val="Times New Roman"/>
      <charset val="134"/>
    </font>
    <font>
      <sz val="11"/>
      <color theme="1"/>
      <name val="Times New Roman"/>
      <charset val="134"/>
    </font>
    <font>
      <sz val="11"/>
      <color rgb="FF1D1D1D"/>
      <name val="Times New Roman"/>
      <charset val="134"/>
    </font>
    <font>
      <u/>
      <sz val="11"/>
      <color theme="10"/>
      <name val="Aptos Narrow"/>
      <charset val="134"/>
      <scheme val="minor"/>
    </font>
    <font>
      <b/>
      <sz val="18"/>
      <color theme="1"/>
      <name val="Aptos Narrow"/>
      <charset val="134"/>
      <scheme val="minor"/>
    </font>
    <font>
      <b/>
      <sz val="16"/>
      <color theme="1"/>
      <name val="Times New Roman"/>
      <charset val="134"/>
    </font>
    <font>
      <b/>
      <sz val="16"/>
      <color rgb="FF000000"/>
      <name val="Times New Roman"/>
      <charset val="134"/>
    </font>
    <font>
      <sz val="16"/>
      <color theme="1"/>
      <name val="Times New Roman"/>
      <charset val="134"/>
    </font>
    <font>
      <sz val="16"/>
      <color rgb="FF000000"/>
      <name val="Times New Roman"/>
      <charset val="134"/>
    </font>
    <font>
      <sz val="16"/>
      <color rgb="FF000000"/>
      <name val="Times New Roman"/>
      <charset val="134"/>
    </font>
    <font>
      <sz val="12"/>
      <color rgb="FF000000"/>
      <name val="Times New Roman"/>
      <charset val="134"/>
    </font>
    <font>
      <sz val="11"/>
      <color rgb="FF000000"/>
      <name val="Aptos Narrow"/>
      <charset val="134"/>
      <scheme val="minor"/>
    </font>
    <font>
      <sz val="16"/>
      <color theme="1"/>
      <name val="Aptos Narrow"/>
      <charset val="134"/>
      <scheme val="minor"/>
    </font>
    <font>
      <b/>
      <sz val="16"/>
      <color theme="1"/>
      <name val="Aptos Narrow"/>
      <charset val="134"/>
      <scheme val="minor"/>
    </font>
    <font>
      <b/>
      <sz val="13.5"/>
      <color theme="1"/>
      <name val="Aptos Narrow"/>
      <charset val="134"/>
      <scheme val="minor"/>
    </font>
    <font>
      <sz val="14"/>
      <color rgb="FF000000"/>
      <name val="Times New Roman"/>
      <charset val="1"/>
    </font>
    <font>
      <sz val="12"/>
      <color theme="1"/>
      <name val="Times New Roman"/>
      <charset val="134"/>
    </font>
    <font>
      <b/>
      <sz val="12"/>
      <color rgb="FFFF0000"/>
      <name val="Times New Roman"/>
      <charset val="134"/>
    </font>
    <font>
      <b/>
      <sz val="12"/>
      <color theme="1"/>
      <name val="Times New Roman"/>
      <charset val="134"/>
    </font>
    <font>
      <b/>
      <sz val="12"/>
      <color rgb="FF369971"/>
      <name val="Times New Roman"/>
      <charset val="134"/>
    </font>
    <font>
      <b/>
      <sz val="12"/>
      <color theme="5" tint="0.399975585192419"/>
      <name val="Times New Roman"/>
      <charset val="134"/>
    </font>
    <font>
      <b/>
      <sz val="12"/>
      <color rgb="FF0070C0"/>
      <name val="Times New Roman"/>
      <charset val="134"/>
    </font>
    <font>
      <b/>
      <sz val="12"/>
      <color rgb="FF00B0F0"/>
      <name val="Times New Roman"/>
      <charset val="134"/>
    </font>
    <font>
      <sz val="12"/>
      <color rgb="FFFF0000"/>
      <name val="Times New Roman"/>
      <charset val="134"/>
    </font>
    <font>
      <b/>
      <sz val="12"/>
      <color theme="5"/>
      <name val="Times New Roman"/>
      <charset val="134"/>
    </font>
    <font>
      <b/>
      <sz val="12"/>
      <color rgb="FFFFC000"/>
      <name val="Times New Roman"/>
      <charset val="134"/>
    </font>
    <font>
      <sz val="12"/>
      <color rgb="FFFFC000"/>
      <name val="Times New Roman"/>
      <charset val="134"/>
    </font>
    <font>
      <b/>
      <sz val="12"/>
      <color theme="6" tint="0.399975585192419"/>
      <name val="Times New Roman"/>
      <charset val="134"/>
    </font>
    <font>
      <b/>
      <sz val="12"/>
      <color theme="4"/>
      <name val="Times New Roman"/>
      <charset val="134"/>
    </font>
    <font>
      <sz val="12"/>
      <color theme="4"/>
      <name val="Times New Roman"/>
      <charset val="134"/>
    </font>
    <font>
      <i/>
      <sz val="12"/>
      <color theme="4"/>
      <name val="Times New Roman"/>
      <charset val="134"/>
    </font>
    <font>
      <b/>
      <sz val="12"/>
      <color rgb="FF07524C"/>
      <name val="Times New Roman"/>
      <charset val="134"/>
    </font>
    <font>
      <sz val="12"/>
      <color rgb="FF07524C"/>
      <name val="Times New Roman"/>
      <charset val="134"/>
    </font>
    <font>
      <i/>
      <sz val="12"/>
      <color rgb="FF07524C"/>
      <name val="Times New Roman"/>
      <charset val="134"/>
    </font>
    <font>
      <b/>
      <sz val="12"/>
      <color rgb="FF7030A0"/>
      <name val="Times New Roman"/>
      <charset val="134"/>
    </font>
    <font>
      <i/>
      <sz val="12"/>
      <color theme="1"/>
      <name val="Times New Roman"/>
      <charset val="134"/>
    </font>
    <font>
      <b/>
      <sz val="48"/>
      <color theme="0"/>
      <name val="Times New Roman"/>
      <charset val="134"/>
    </font>
    <font>
      <sz val="11"/>
      <color rgb="FF0070C0"/>
      <name val="Times New Roman"/>
      <charset val="134"/>
    </font>
    <font>
      <b/>
      <sz val="14"/>
      <color rgb="FF215C98"/>
      <name val="Times New Roman"/>
      <charset val="134"/>
    </font>
    <font>
      <sz val="13.5"/>
      <color rgb="FF000000"/>
      <name val="Times New Roman"/>
      <charset val="134"/>
    </font>
    <font>
      <b/>
      <sz val="24"/>
      <color theme="0"/>
      <name val="Times New Roman"/>
      <charset val="134"/>
    </font>
    <font>
      <b/>
      <sz val="11"/>
      <color rgb="FF000000"/>
      <name val="Times New Roman"/>
      <charset val="134"/>
    </font>
    <font>
      <sz val="11"/>
      <color rgb="FF000000"/>
      <name val="Times New Roman"/>
      <charset val="134"/>
    </font>
    <font>
      <b/>
      <sz val="14"/>
      <color theme="0"/>
      <name val="Times New Roman"/>
      <charset val="134"/>
    </font>
    <font>
      <sz val="14"/>
      <color theme="0"/>
      <name val="Times New Roman"/>
      <charset val="134"/>
    </font>
    <font>
      <sz val="11"/>
      <color theme="0"/>
      <name val="Times New Roman"/>
      <charset val="134"/>
    </font>
    <font>
      <u/>
      <sz val="11"/>
      <color theme="10"/>
      <name val="Times New Roman"/>
      <charset val="134"/>
    </font>
    <font>
      <b/>
      <sz val="14"/>
      <color theme="1" tint="0.0499893185216834"/>
      <name val="Times New Roman"/>
      <charset val="134"/>
    </font>
    <font>
      <b/>
      <sz val="11"/>
      <color theme="1"/>
      <name val="Times New Roman"/>
      <charset val="134"/>
    </font>
    <font>
      <b/>
      <sz val="13.5"/>
      <color rgb="FF000000"/>
      <name val="Times New Roman"/>
      <charset val="134"/>
    </font>
    <font>
      <b/>
      <sz val="24"/>
      <color rgb="FF215C98"/>
      <name val="Times New Roman"/>
      <charset val="134"/>
    </font>
    <font>
      <b/>
      <sz val="11"/>
      <color theme="0"/>
      <name val="Times New Roman"/>
      <charset val="134"/>
    </font>
    <font>
      <b/>
      <sz val="11"/>
      <color rgb="FF000000"/>
      <name val="Calibri"/>
      <charset val="134"/>
    </font>
    <font>
      <sz val="11"/>
      <color rgb="FF000000"/>
      <name val="Calibri"/>
      <charset val="134"/>
    </font>
    <font>
      <u/>
      <sz val="14"/>
      <color theme="10"/>
      <name val="Aptos Narrow"/>
      <charset val="134"/>
      <scheme val="minor"/>
    </font>
    <font>
      <sz val="14"/>
      <color theme="1"/>
      <name val="Aptos Narrow"/>
      <charset val="134"/>
      <scheme val="minor"/>
    </font>
    <font>
      <sz val="14"/>
      <color rgb="FF000000"/>
      <name val="Ff2"/>
      <charset val="134"/>
    </font>
    <font>
      <b/>
      <sz val="18"/>
      <color rgb="FF4EA72E"/>
      <name val="Aptos Narrow"/>
      <charset val="134"/>
      <scheme val="minor"/>
    </font>
    <font>
      <b/>
      <sz val="14"/>
      <color theme="1"/>
      <name val="Times New Roman"/>
      <charset val="1"/>
    </font>
    <font>
      <b/>
      <sz val="14"/>
      <color rgb="FF000000"/>
      <name val="Times New Roman"/>
      <charset val="1"/>
    </font>
    <font>
      <sz val="14"/>
      <color rgb="FF000000"/>
      <name val="Times New Roman"/>
      <charset val="1"/>
    </font>
    <font>
      <b/>
      <sz val="14"/>
      <color rgb="FF4EA72E"/>
      <name val="Times New Roman"/>
      <charset val="134"/>
    </font>
    <font>
      <b/>
      <sz val="14"/>
      <color rgb="FF000000"/>
      <name val="Times New Roman"/>
      <charset val="134"/>
    </font>
    <font>
      <sz val="14"/>
      <color rgb="FF000000"/>
      <name val="Times New Roman"/>
      <charset val="134"/>
    </font>
    <font>
      <sz val="14"/>
      <color rgb="FF186C24"/>
      <name val="Times New Roman"/>
      <charset val="134"/>
    </font>
    <font>
      <b/>
      <sz val="14"/>
      <color rgb="FF365F91"/>
      <name val="Times New Roman"/>
      <charset val="134"/>
    </font>
    <font>
      <b/>
      <sz val="14"/>
      <color theme="4"/>
      <name val="Times New Roman"/>
      <charset val="134"/>
    </font>
    <font>
      <b/>
      <sz val="14"/>
      <color rgb="FF145F82"/>
      <name val="Times New Roman"/>
      <charset val="134"/>
    </font>
    <font>
      <b/>
      <sz val="14"/>
      <color rgb="FFC00000"/>
      <name val="Times New Roman"/>
      <charset val="134"/>
    </font>
    <font>
      <sz val="14"/>
      <color rgb="FF000000"/>
      <name val="Times"/>
      <charset val="134"/>
    </font>
    <font>
      <b/>
      <sz val="16"/>
      <color rgb="FF4EA72E"/>
      <name val="Times New Roman"/>
      <charset val="134"/>
    </font>
    <font>
      <b/>
      <sz val="12"/>
      <color rgb="FF000000"/>
      <name val="Times New Roman"/>
      <charset val="134"/>
    </font>
    <font>
      <sz val="14"/>
      <color rgb="FFFF0000"/>
      <name val="Times New Roman"/>
      <charset val="134"/>
    </font>
    <font>
      <sz val="16"/>
      <color rgb="FF000000"/>
      <name val="Calibri"/>
      <charset val="134"/>
    </font>
    <font>
      <u/>
      <sz val="14"/>
      <color theme="10"/>
      <name val="Times New Roman"/>
      <charset val="134"/>
    </font>
    <font>
      <b/>
      <sz val="16"/>
      <color rgb="FF00B0F0"/>
      <name val="Aptos Narrow"/>
      <charset val="134"/>
      <scheme val="minor"/>
    </font>
    <font>
      <b/>
      <sz val="14"/>
      <color rgb="FF00B0F0"/>
      <name val="Aptos Narrow"/>
      <charset val="134"/>
      <scheme val="minor"/>
    </font>
    <font>
      <b/>
      <sz val="14"/>
      <color theme="7"/>
      <name val="Times New Roman"/>
      <charset val="134"/>
    </font>
    <font>
      <sz val="12"/>
      <color rgb="FF000000"/>
      <name val="Aptos Narrow"/>
      <charset val="134"/>
      <scheme val="minor"/>
    </font>
    <font>
      <sz val="12"/>
      <color theme="1"/>
      <name val="Aptos Narrow"/>
      <charset val="134"/>
      <scheme val="minor"/>
    </font>
    <font>
      <b/>
      <sz val="14"/>
      <color rgb="FF00B0F0"/>
      <name val="Times New Roman"/>
      <charset val="134"/>
    </font>
    <font>
      <b/>
      <sz val="14"/>
      <color rgb="FFFF0000"/>
      <name val="Times New Roman"/>
      <charset val="134"/>
    </font>
    <font>
      <b/>
      <sz val="16"/>
      <color rgb="FF00B0F0"/>
      <name val="Times New Roman"/>
      <charset val="134"/>
    </font>
    <font>
      <i/>
      <sz val="14"/>
      <color theme="1"/>
      <name val="Times New Roman"/>
      <charset val="134"/>
    </font>
    <font>
      <b/>
      <sz val="16"/>
      <color rgb="FFFF0000"/>
      <name val="Aptos Narrow"/>
      <charset val="134"/>
      <scheme val="minor"/>
    </font>
    <font>
      <b/>
      <sz val="14"/>
      <color theme="1"/>
      <name val="Aptos Narrow"/>
      <charset val="134"/>
      <scheme val="minor"/>
    </font>
    <font>
      <b/>
      <sz val="14"/>
      <color theme="7"/>
      <name val="Aptos Narrow"/>
      <charset val="134"/>
      <scheme val="minor"/>
    </font>
    <font>
      <b/>
      <sz val="14"/>
      <color rgb="FFFF0000"/>
      <name val="Aptos Narrow"/>
      <charset val="134"/>
      <scheme val="minor"/>
    </font>
    <font>
      <b/>
      <sz val="14"/>
      <color theme="6" tint="0.399975585192419"/>
      <name val="Aptos Narrow"/>
      <charset val="134"/>
      <scheme val="minor"/>
    </font>
    <font>
      <b/>
      <sz val="14"/>
      <color rgb="FFFF0000"/>
      <name val="Aptos Narrow"/>
      <charset val="1"/>
    </font>
    <font>
      <b/>
      <sz val="14"/>
      <color rgb="FF000000"/>
      <name val="Aptos Narrow"/>
      <charset val="1"/>
    </font>
    <font>
      <b/>
      <sz val="14"/>
      <color rgb="FFFFC000"/>
      <name val="Aptos Narrow"/>
      <charset val="1"/>
    </font>
    <font>
      <b/>
      <sz val="14"/>
      <color rgb="FFFFC000"/>
      <name val="Aptos Narrow"/>
      <charset val="134"/>
      <scheme val="minor"/>
    </font>
    <font>
      <b/>
      <sz val="14"/>
      <color rgb="FFFFFFFF"/>
      <name val="Times New Roman"/>
      <charset val="134"/>
    </font>
    <font>
      <b/>
      <sz val="14"/>
      <color theme="7" tint="0.399975585192419"/>
      <name val="Times New Roman"/>
      <charset val="134"/>
    </font>
    <font>
      <sz val="14"/>
      <color rgb="FF1D1D1D"/>
      <name val="Times New Roman"/>
      <charset val="134"/>
    </font>
    <font>
      <b/>
      <sz val="14"/>
      <color rgb="FF1D1D1D"/>
      <name val="Times New Roman"/>
      <charset val="134"/>
    </font>
    <font>
      <b/>
      <sz val="14"/>
      <color rgb="FF45D65A"/>
      <name val="Times New Roman"/>
      <charset val="134"/>
    </font>
    <font>
      <b/>
      <sz val="14"/>
      <color theme="6"/>
      <name val="Times New Roman"/>
      <charset val="134"/>
    </font>
    <font>
      <sz val="14"/>
      <color rgb="FFC00000"/>
      <name val="Times New Roman"/>
      <charset val="134"/>
    </font>
    <font>
      <b/>
      <sz val="14"/>
      <color theme="9" tint="-0.249977111117893"/>
      <name val="Times New Roman"/>
      <charset val="134"/>
    </font>
    <font>
      <b/>
      <sz val="14"/>
      <color theme="9"/>
      <name val="Times New Roman"/>
      <charset val="134"/>
    </font>
    <font>
      <b/>
      <sz val="14"/>
      <color theme="2"/>
      <name val="Times New Roman"/>
      <charset val="134"/>
    </font>
    <font>
      <sz val="14"/>
      <color theme="2"/>
      <name val="Times New Roman"/>
      <charset val="134"/>
    </font>
    <font>
      <b/>
      <sz val="14"/>
      <color theme="4" tint="-0.249977111117893"/>
      <name val="Times New Roman"/>
      <charset val="134"/>
    </font>
    <font>
      <b/>
      <u/>
      <sz val="14"/>
      <color rgb="FFFF0000"/>
      <name val="Times New Roman"/>
      <charset val="134"/>
    </font>
    <font>
      <b/>
      <sz val="36"/>
      <color theme="0"/>
      <name val="Times New Roman"/>
      <charset val="134"/>
    </font>
    <font>
      <sz val="11"/>
      <color theme="1"/>
      <name val="Arial"/>
      <charset val="134"/>
    </font>
    <font>
      <sz val="11"/>
      <color rgb="FF1D1D1D"/>
      <name val="Arial"/>
      <charset val="134"/>
    </font>
    <font>
      <sz val="14"/>
      <color theme="0"/>
      <name val="Arial"/>
      <charset val="134"/>
    </font>
    <font>
      <sz val="11"/>
      <color theme="1"/>
      <name val="Arial"/>
      <charset val="134"/>
    </font>
    <font>
      <sz val="14"/>
      <color rgb="FFFFFFFF"/>
      <name val="Times New Roman"/>
      <charset val="134"/>
    </font>
    <font>
      <b/>
      <u/>
      <sz val="14"/>
      <color rgb="FF0E2841"/>
      <name val="Times New Roman"/>
      <charset val="134"/>
    </font>
    <font>
      <sz val="14"/>
      <color theme="3"/>
      <name val="Times New Roman"/>
      <charset val="134"/>
    </font>
    <font>
      <b/>
      <sz val="18"/>
      <color theme="0"/>
      <name val="Times New Roman"/>
      <charset val="134"/>
    </font>
    <font>
      <b/>
      <sz val="18"/>
      <color theme="0"/>
      <name val="Arial"/>
      <charset val="134"/>
    </font>
    <font>
      <sz val="12"/>
      <color theme="1"/>
      <name val="Arial"/>
      <charset val="134"/>
    </font>
    <font>
      <sz val="12"/>
      <color theme="1"/>
      <name val="Arial"/>
      <charset val="134"/>
    </font>
    <font>
      <sz val="11"/>
      <color rgb="FF242424"/>
      <name val="Arial"/>
      <charset val="134"/>
    </font>
    <font>
      <sz val="12"/>
      <color rgb="FF000000"/>
      <name val="Arial"/>
      <charset val="134"/>
    </font>
    <font>
      <b/>
      <sz val="14"/>
      <color theme="0"/>
      <name val="Arial"/>
      <charset val="134"/>
    </font>
    <font>
      <b/>
      <sz val="11"/>
      <color theme="3"/>
      <name val="Arial"/>
      <charset val="134"/>
    </font>
    <font>
      <sz val="11"/>
      <color theme="0"/>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4"/>
      <color rgb="FF186C24"/>
      <name val="Times New Roman"/>
      <charset val="134"/>
    </font>
    <font>
      <sz val="11"/>
      <color rgb="FF000000"/>
      <name val="Aptos Narrow"/>
      <charset val="134"/>
      <scheme val="minor"/>
    </font>
    <font>
      <sz val="10"/>
      <name val="SimSun"/>
      <charset val="134"/>
    </font>
  </fonts>
  <fills count="48">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3"/>
        <bgColor indexed="64"/>
      </patternFill>
    </fill>
    <fill>
      <patternFill patternType="solid">
        <fgColor theme="4"/>
        <bgColor indexed="64"/>
      </patternFill>
    </fill>
    <fill>
      <patternFill patternType="solid">
        <fgColor rgb="FF078276"/>
        <bgColor indexed="64"/>
      </patternFill>
    </fill>
    <fill>
      <patternFill patternType="solid">
        <fgColor theme="0" tint="-0.149998474074526"/>
        <bgColor indexed="64"/>
      </patternFill>
    </fill>
    <fill>
      <patternFill patternType="solid">
        <fgColor rgb="FFFF0000"/>
        <bgColor indexed="64"/>
      </patternFill>
    </fill>
    <fill>
      <patternFill patternType="solid">
        <fgColor rgb="FFF2F2F2"/>
        <bgColor indexed="64"/>
      </patternFill>
    </fill>
    <fill>
      <patternFill patternType="solid">
        <fgColor rgb="FFF2F2F2"/>
        <bgColor rgb="FF000000"/>
      </patternFill>
    </fill>
    <fill>
      <patternFill patternType="solid">
        <fgColor theme="6" tint="0.799981688894314"/>
        <bgColor indexed="64"/>
      </patternFill>
    </fill>
    <fill>
      <patternFill patternType="solid">
        <fgColor theme="0" tint="-0.049989318521683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rgb="FF0A8276"/>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8">
    <border>
      <left/>
      <right/>
      <top/>
      <bottom/>
      <diagonal/>
    </border>
    <border>
      <left style="thin">
        <color rgb="FFFFFFFF"/>
      </left>
      <right/>
      <top/>
      <bottom/>
      <diagonal/>
    </border>
    <border>
      <left style="thin">
        <color rgb="FF000000"/>
      </left>
      <right style="thin">
        <color rgb="FF000000"/>
      </right>
      <top style="thin">
        <color rgb="FF000000"/>
      </top>
      <bottom style="thin">
        <color rgb="FF000000"/>
      </bottom>
      <diagonal/>
    </border>
    <border>
      <left style="thin">
        <color theme="3"/>
      </left>
      <right/>
      <top style="thin">
        <color theme="3"/>
      </top>
      <bottom/>
      <diagonal/>
    </border>
    <border>
      <left style="thin">
        <color theme="3"/>
      </left>
      <right style="thin">
        <color theme="3"/>
      </right>
      <top style="thin">
        <color theme="3"/>
      </top>
      <bottom/>
      <diagonal/>
    </border>
    <border>
      <left style="thin">
        <color theme="3"/>
      </left>
      <right/>
      <top style="thin">
        <color theme="3"/>
      </top>
      <bottom style="thin">
        <color theme="3"/>
      </bottom>
      <diagonal/>
    </border>
    <border>
      <left style="thin">
        <color theme="3"/>
      </left>
      <right style="thin">
        <color theme="3"/>
      </right>
      <top style="thin">
        <color theme="3"/>
      </top>
      <bottom style="thin">
        <color theme="3"/>
      </bottom>
      <diagonal/>
    </border>
    <border>
      <left style="thin">
        <color theme="3"/>
      </left>
      <right/>
      <top/>
      <bottom style="thin">
        <color theme="3"/>
      </bottom>
      <diagonal/>
    </border>
    <border>
      <left style="thin">
        <color theme="3"/>
      </left>
      <right style="thin">
        <color theme="3"/>
      </right>
      <top/>
      <bottom style="thin">
        <color theme="3"/>
      </bottom>
      <diagonal/>
    </border>
    <border>
      <left style="thin">
        <color theme="3"/>
      </left>
      <right/>
      <top/>
      <bottom/>
      <diagonal/>
    </border>
    <border>
      <left style="thin">
        <color theme="3"/>
      </left>
      <right style="thin">
        <color theme="3"/>
      </right>
      <top/>
      <bottom/>
      <diagonal/>
    </border>
    <border>
      <left/>
      <right style="thin">
        <color theme="3"/>
      </right>
      <top style="thin">
        <color theme="3"/>
      </top>
      <bottom/>
      <diagonal/>
    </border>
    <border>
      <left/>
      <right style="thin">
        <color theme="3"/>
      </right>
      <top style="thin">
        <color theme="3"/>
      </top>
      <bottom style="thin">
        <color theme="3"/>
      </bottom>
      <diagonal/>
    </border>
    <border>
      <left/>
      <right style="thin">
        <color theme="3"/>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medium">
        <color rgb="FFBFBFBF"/>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style="medium">
        <color rgb="FF000000"/>
      </left>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top/>
      <bottom/>
      <diagonal/>
    </border>
    <border>
      <left style="thick">
        <color rgb="FF000000"/>
      </left>
      <right style="thick">
        <color rgb="FF000000"/>
      </right>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style="thick">
        <color rgb="FF000000"/>
      </right>
      <top style="thick">
        <color rgb="FF000000"/>
      </top>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theme="0"/>
      </left>
      <right/>
      <top/>
      <bottom/>
      <diagonal/>
    </border>
    <border>
      <left style="thin">
        <color theme="0"/>
      </left>
      <right/>
      <top style="thin">
        <color theme="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143" fillId="0" borderId="0" applyFont="0" applyFill="0" applyBorder="0" applyAlignment="0" applyProtection="0">
      <alignment vertical="center"/>
    </xf>
    <xf numFmtId="44" fontId="143" fillId="0" borderId="0" applyFont="0" applyFill="0" applyBorder="0" applyAlignment="0" applyProtection="0">
      <alignment vertical="center"/>
    </xf>
    <xf numFmtId="9" fontId="143" fillId="0" borderId="0" applyFont="0" applyFill="0" applyBorder="0" applyAlignment="0" applyProtection="0">
      <alignment vertical="center"/>
    </xf>
    <xf numFmtId="177" fontId="143" fillId="0" borderId="0" applyFont="0" applyFill="0" applyBorder="0" applyAlignment="0" applyProtection="0">
      <alignment vertical="center"/>
    </xf>
    <xf numFmtId="42" fontId="143" fillId="0" borderId="0" applyFont="0" applyFill="0" applyBorder="0" applyAlignment="0" applyProtection="0">
      <alignment vertical="center"/>
    </xf>
    <xf numFmtId="0" fontId="144"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3" fillId="17" borderId="80" applyNumberFormat="0" applyFont="0" applyAlignment="0" applyProtection="0">
      <alignment vertical="center"/>
    </xf>
    <xf numFmtId="0" fontId="146"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9" fillId="0" borderId="81" applyNumberFormat="0" applyFill="0" applyAlignment="0" applyProtection="0">
      <alignment vertical="center"/>
    </xf>
    <xf numFmtId="0" fontId="150" fillId="0" borderId="81" applyNumberFormat="0" applyFill="0" applyAlignment="0" applyProtection="0">
      <alignment vertical="center"/>
    </xf>
    <xf numFmtId="0" fontId="151" fillId="0" borderId="82" applyNumberFormat="0" applyFill="0" applyAlignment="0" applyProtection="0">
      <alignment vertical="center"/>
    </xf>
    <xf numFmtId="0" fontId="151" fillId="0" borderId="0" applyNumberFormat="0" applyFill="0" applyBorder="0" applyAlignment="0" applyProtection="0">
      <alignment vertical="center"/>
    </xf>
    <xf numFmtId="0" fontId="152" fillId="18" borderId="83" applyNumberFormat="0" applyAlignment="0" applyProtection="0">
      <alignment vertical="center"/>
    </xf>
    <xf numFmtId="0" fontId="153" fillId="19" borderId="84" applyNumberFormat="0" applyAlignment="0" applyProtection="0">
      <alignment vertical="center"/>
    </xf>
    <xf numFmtId="0" fontId="154" fillId="19" borderId="83" applyNumberFormat="0" applyAlignment="0" applyProtection="0">
      <alignment vertical="center"/>
    </xf>
    <xf numFmtId="0" fontId="155" fillId="20" borderId="85" applyNumberFormat="0" applyAlignment="0" applyProtection="0">
      <alignment vertical="center"/>
    </xf>
    <xf numFmtId="0" fontId="156" fillId="0" borderId="86" applyNumberFormat="0" applyFill="0" applyAlignment="0" applyProtection="0">
      <alignment vertical="center"/>
    </xf>
    <xf numFmtId="0" fontId="157" fillId="0" borderId="87" applyNumberFormat="0" applyFill="0" applyAlignment="0" applyProtection="0">
      <alignment vertical="center"/>
    </xf>
    <xf numFmtId="0" fontId="158" fillId="21" borderId="0" applyNumberFormat="0" applyBorder="0" applyAlignment="0" applyProtection="0">
      <alignment vertical="center"/>
    </xf>
    <xf numFmtId="0" fontId="159" fillId="22" borderId="0" applyNumberFormat="0" applyBorder="0" applyAlignment="0" applyProtection="0">
      <alignment vertical="center"/>
    </xf>
    <xf numFmtId="0" fontId="160" fillId="23" borderId="0" applyNumberFormat="0" applyBorder="0" applyAlignment="0" applyProtection="0">
      <alignment vertical="center"/>
    </xf>
    <xf numFmtId="0" fontId="161" fillId="24" borderId="0" applyNumberFormat="0" applyBorder="0" applyAlignment="0" applyProtection="0">
      <alignment vertical="center"/>
    </xf>
    <xf numFmtId="0" fontId="162" fillId="25" borderId="0" applyNumberFormat="0" applyBorder="0" applyAlignment="0" applyProtection="0">
      <alignment vertical="center"/>
    </xf>
    <xf numFmtId="0" fontId="162" fillId="26" borderId="0" applyNumberFormat="0" applyBorder="0" applyAlignment="0" applyProtection="0">
      <alignment vertical="center"/>
    </xf>
    <xf numFmtId="0" fontId="161" fillId="27" borderId="0" applyNumberFormat="0" applyBorder="0" applyAlignment="0" applyProtection="0">
      <alignment vertical="center"/>
    </xf>
    <xf numFmtId="0" fontId="161" fillId="28" borderId="0" applyNumberFormat="0" applyBorder="0" applyAlignment="0" applyProtection="0">
      <alignment vertical="center"/>
    </xf>
    <xf numFmtId="0" fontId="162" fillId="29" borderId="0" applyNumberFormat="0" applyBorder="0" applyAlignment="0" applyProtection="0">
      <alignment vertical="center"/>
    </xf>
    <xf numFmtId="0" fontId="162" fillId="30" borderId="0" applyNumberFormat="0" applyBorder="0" applyAlignment="0" applyProtection="0">
      <alignment vertical="center"/>
    </xf>
    <xf numFmtId="0" fontId="161" fillId="31" borderId="0" applyNumberFormat="0" applyBorder="0" applyAlignment="0" applyProtection="0">
      <alignment vertical="center"/>
    </xf>
    <xf numFmtId="0" fontId="161" fillId="32" borderId="0" applyNumberFormat="0" applyBorder="0" applyAlignment="0" applyProtection="0">
      <alignment vertical="center"/>
    </xf>
    <xf numFmtId="0" fontId="162" fillId="33" borderId="0" applyNumberFormat="0" applyBorder="0" applyAlignment="0" applyProtection="0">
      <alignment vertical="center"/>
    </xf>
    <xf numFmtId="0" fontId="162" fillId="34" borderId="0" applyNumberFormat="0" applyBorder="0" applyAlignment="0" applyProtection="0">
      <alignment vertical="center"/>
    </xf>
    <xf numFmtId="0" fontId="161" fillId="35" borderId="0" applyNumberFormat="0" applyBorder="0" applyAlignment="0" applyProtection="0">
      <alignment vertical="center"/>
    </xf>
    <xf numFmtId="0" fontId="161" fillId="36" borderId="0" applyNumberFormat="0" applyBorder="0" applyAlignment="0" applyProtection="0">
      <alignment vertical="center"/>
    </xf>
    <xf numFmtId="0" fontId="162" fillId="37" borderId="0" applyNumberFormat="0" applyBorder="0" applyAlignment="0" applyProtection="0">
      <alignment vertical="center"/>
    </xf>
    <xf numFmtId="0" fontId="162" fillId="38" borderId="0" applyNumberFormat="0" applyBorder="0" applyAlignment="0" applyProtection="0">
      <alignment vertical="center"/>
    </xf>
    <xf numFmtId="0" fontId="161" fillId="39" borderId="0" applyNumberFormat="0" applyBorder="0" applyAlignment="0" applyProtection="0">
      <alignment vertical="center"/>
    </xf>
    <xf numFmtId="0" fontId="161" fillId="40" borderId="0" applyNumberFormat="0" applyBorder="0" applyAlignment="0" applyProtection="0">
      <alignment vertical="center"/>
    </xf>
    <xf numFmtId="0" fontId="162" fillId="41" borderId="0" applyNumberFormat="0" applyBorder="0" applyAlignment="0" applyProtection="0">
      <alignment vertical="center"/>
    </xf>
    <xf numFmtId="0" fontId="162" fillId="42" borderId="0" applyNumberFormat="0" applyBorder="0" applyAlignment="0" applyProtection="0">
      <alignment vertical="center"/>
    </xf>
    <xf numFmtId="0" fontId="161" fillId="43" borderId="0" applyNumberFormat="0" applyBorder="0" applyAlignment="0" applyProtection="0">
      <alignment vertical="center"/>
    </xf>
    <xf numFmtId="0" fontId="161" fillId="44" borderId="0" applyNumberFormat="0" applyBorder="0" applyAlignment="0" applyProtection="0">
      <alignment vertical="center"/>
    </xf>
    <xf numFmtId="0" fontId="162" fillId="45" borderId="0" applyNumberFormat="0" applyBorder="0" applyAlignment="0" applyProtection="0">
      <alignment vertical="center"/>
    </xf>
    <xf numFmtId="0" fontId="162" fillId="46" borderId="0" applyNumberFormat="0" applyBorder="0" applyAlignment="0" applyProtection="0">
      <alignment vertical="center"/>
    </xf>
    <xf numFmtId="0" fontId="161" fillId="47" borderId="0" applyNumberFormat="0" applyBorder="0" applyAlignment="0" applyProtection="0">
      <alignment vertical="center"/>
    </xf>
    <xf numFmtId="0" fontId="23" fillId="0" borderId="0" applyNumberFormat="0" applyFill="0" applyBorder="0" applyAlignment="0" applyProtection="0"/>
  </cellStyleXfs>
  <cellXfs count="809">
    <xf numFmtId="0" fontId="0" fillId="0" borderId="0" xfId="0"/>
    <xf numFmtId="0" fontId="1" fillId="0" borderId="0" xfId="0" applyFont="1"/>
    <xf numFmtId="0" fontId="2" fillId="2" borderId="0" xfId="0" applyFont="1" applyFill="1" applyAlignment="1">
      <alignment wrapText="1"/>
    </xf>
    <xf numFmtId="0" fontId="1" fillId="0" borderId="0" xfId="0" applyFont="1" applyBorder="1"/>
    <xf numFmtId="0" fontId="1" fillId="0" borderId="0" xfId="0" applyFont="1" applyBorder="1" applyAlignment="1">
      <alignment wrapText="1"/>
    </xf>
    <xf numFmtId="0" fontId="3" fillId="2" borderId="0" xfId="0" applyFont="1" applyFill="1" applyAlignment="1">
      <alignment wrapText="1"/>
    </xf>
    <xf numFmtId="178" fontId="3" fillId="2" borderId="0" xfId="0" applyNumberFormat="1" applyFont="1" applyFill="1" applyAlignment="1">
      <alignment wrapText="1"/>
    </xf>
    <xf numFmtId="9" fontId="2" fillId="2" borderId="0" xfId="0" applyNumberFormat="1" applyFont="1" applyFill="1" applyAlignment="1">
      <alignment wrapText="1"/>
    </xf>
    <xf numFmtId="0" fontId="4" fillId="0" borderId="0" xfId="0" applyFont="1"/>
    <xf numFmtId="0" fontId="1" fillId="0" borderId="0" xfId="0" applyFont="1" applyAlignment="1">
      <alignment horizontal="center"/>
    </xf>
    <xf numFmtId="0" fontId="3" fillId="0" borderId="0" xfId="0" applyFont="1"/>
    <xf numFmtId="179" fontId="3" fillId="2" borderId="0" xfId="0" applyNumberFormat="1" applyFont="1" applyFill="1" applyAlignment="1">
      <alignment wrapText="1"/>
    </xf>
    <xf numFmtId="9" fontId="3" fillId="2" borderId="0" xfId="0" applyNumberFormat="1" applyFont="1" applyFill="1" applyAlignment="1">
      <alignment wrapText="1"/>
    </xf>
    <xf numFmtId="9" fontId="1" fillId="0" borderId="0" xfId="0" applyNumberFormat="1" applyFont="1"/>
    <xf numFmtId="0" fontId="5" fillId="2" borderId="0" xfId="0" applyFont="1" applyFill="1" applyAlignment="1">
      <alignment wrapText="1"/>
    </xf>
    <xf numFmtId="0" fontId="3" fillId="2" borderId="0" xfId="0" applyFont="1" applyFill="1" applyBorder="1" applyAlignment="1">
      <alignment wrapText="1"/>
    </xf>
    <xf numFmtId="9" fontId="3" fillId="0" borderId="0" xfId="0" applyNumberFormat="1" applyFont="1"/>
    <xf numFmtId="0" fontId="6" fillId="3" borderId="0" xfId="0" applyFont="1" applyFill="1" applyAlignment="1">
      <alignment horizontal="left" vertical="center" wrapText="1"/>
    </xf>
    <xf numFmtId="0" fontId="7" fillId="3" borderId="0" xfId="0" applyFont="1" applyFill="1" applyAlignment="1">
      <alignment horizontal="left" vertical="center" wrapText="1"/>
    </xf>
    <xf numFmtId="0" fontId="7" fillId="3" borderId="0" xfId="0" applyFont="1" applyFill="1" applyAlignment="1">
      <alignment horizontal="center" vertical="center" wrapText="1"/>
    </xf>
    <xf numFmtId="0" fontId="8" fillId="4" borderId="0" xfId="0" applyFont="1" applyFill="1"/>
    <xf numFmtId="0" fontId="9" fillId="4" borderId="0" xfId="0" applyFont="1" applyFill="1" applyAlignment="1">
      <alignment wrapText="1"/>
    </xf>
    <xf numFmtId="0" fontId="10" fillId="3" borderId="0" xfId="0" applyFont="1" applyFill="1" applyAlignment="1">
      <alignment wrapText="1"/>
    </xf>
    <xf numFmtId="0" fontId="0" fillId="0" borderId="0" xfId="0" applyAlignment="1">
      <alignment wrapText="1"/>
    </xf>
    <xf numFmtId="9" fontId="0" fillId="0" borderId="0" xfId="0" applyNumberFormat="1" applyAlignment="1">
      <alignment wrapText="1"/>
    </xf>
    <xf numFmtId="0" fontId="11" fillId="4" borderId="0" xfId="0" applyFont="1" applyFill="1"/>
    <xf numFmtId="0" fontId="12" fillId="0" borderId="0" xfId="0" applyFont="1"/>
    <xf numFmtId="0" fontId="13" fillId="0" borderId="0" xfId="0" applyFont="1" applyAlignment="1">
      <alignment horizontal="right"/>
    </xf>
    <xf numFmtId="9" fontId="12" fillId="0" borderId="0" xfId="0" applyNumberFormat="1" applyFont="1" applyAlignment="1">
      <alignment horizontal="right"/>
    </xf>
    <xf numFmtId="0" fontId="12" fillId="0" borderId="0" xfId="0" applyFont="1" applyAlignment="1">
      <alignment horizontal="right"/>
    </xf>
    <xf numFmtId="9" fontId="13" fillId="0" borderId="0" xfId="0" applyNumberFormat="1" applyFont="1" applyAlignment="1">
      <alignment horizontal="right"/>
    </xf>
    <xf numFmtId="0" fontId="14" fillId="3" borderId="0" xfId="0" applyFont="1" applyFill="1"/>
    <xf numFmtId="0" fontId="9" fillId="4" borderId="0" xfId="0" applyFont="1" applyFill="1" applyAlignment="1">
      <alignment horizontal="center"/>
    </xf>
    <xf numFmtId="0" fontId="13" fillId="0" borderId="0" xfId="0" applyFont="1"/>
    <xf numFmtId="0" fontId="10" fillId="0" borderId="0" xfId="0" applyFont="1"/>
    <xf numFmtId="0" fontId="15" fillId="5" borderId="1" xfId="0" applyFont="1" applyFill="1" applyBorder="1" applyAlignment="1">
      <alignment wrapText="1"/>
    </xf>
    <xf numFmtId="0" fontId="0" fillId="3" borderId="2" xfId="0" applyFill="1" applyBorder="1"/>
    <xf numFmtId="0" fontId="16" fillId="3" borderId="2" xfId="0" applyFont="1" applyFill="1" applyBorder="1" applyAlignment="1">
      <alignment wrapText="1"/>
    </xf>
    <xf numFmtId="0" fontId="17" fillId="0" borderId="0" xfId="0" applyFont="1"/>
    <xf numFmtId="0" fontId="0" fillId="0" borderId="2" xfId="0" applyBorder="1"/>
    <xf numFmtId="0" fontId="18" fillId="4" borderId="0" xfId="0" applyFont="1" applyFill="1" applyAlignment="1">
      <alignment horizontal="center"/>
    </xf>
    <xf numFmtId="0" fontId="10" fillId="0" borderId="3" xfId="0" applyFont="1" applyBorder="1"/>
    <xf numFmtId="0" fontId="10" fillId="0" borderId="4" xfId="0" applyFont="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3" borderId="4" xfId="0" applyFill="1" applyBorder="1"/>
    <xf numFmtId="0" fontId="10" fillId="0" borderId="2" xfId="0" applyFont="1" applyBorder="1"/>
    <xf numFmtId="0" fontId="19" fillId="0" borderId="0" xfId="0" applyFont="1" applyAlignment="1">
      <alignment horizontal="center"/>
    </xf>
    <xf numFmtId="0" fontId="20" fillId="0" borderId="0" xfId="0" applyFont="1" applyAlignment="1">
      <alignment horizontal="center" vertical="center"/>
    </xf>
    <xf numFmtId="0" fontId="20" fillId="0" borderId="0" xfId="0" applyFont="1" applyBorder="1" applyAlignment="1">
      <alignment horizontal="center" vertical="center" wrapText="1"/>
    </xf>
    <xf numFmtId="0" fontId="21" fillId="0" borderId="0" xfId="0" applyFont="1"/>
    <xf numFmtId="0" fontId="22" fillId="0" borderId="0" xfId="0" applyFont="1" applyAlignment="1">
      <alignment horizontal="left" wrapText="1"/>
    </xf>
    <xf numFmtId="0" fontId="21" fillId="0" borderId="0" xfId="0" applyFont="1" applyBorder="1" applyAlignment="1">
      <alignment horizontal="center" wrapText="1"/>
    </xf>
    <xf numFmtId="0" fontId="22" fillId="0" borderId="0" xfId="0" applyFont="1" applyBorder="1" applyAlignment="1">
      <alignment horizontal="center"/>
    </xf>
    <xf numFmtId="0" fontId="21" fillId="0" borderId="0" xfId="0" applyFont="1" applyBorder="1" applyAlignment="1">
      <alignment horizontal="center"/>
    </xf>
    <xf numFmtId="0" fontId="0" fillId="0" borderId="0" xfId="0" applyBorder="1" applyAlignment="1">
      <alignment horizontal="center"/>
    </xf>
    <xf numFmtId="0" fontId="21" fillId="0" borderId="0" xfId="0" applyFont="1" applyAlignment="1">
      <alignment horizontal="center" wrapText="1"/>
    </xf>
    <xf numFmtId="0" fontId="21" fillId="0" borderId="0" xfId="0" applyFont="1" applyBorder="1"/>
    <xf numFmtId="0" fontId="21" fillId="0" borderId="0" xfId="0" applyFont="1" applyBorder="1" applyAlignment="1">
      <alignment horizontal="left" wrapText="1"/>
    </xf>
    <xf numFmtId="0" fontId="20" fillId="0" borderId="0" xfId="0" applyFont="1" applyBorder="1"/>
    <xf numFmtId="0" fontId="20" fillId="0" borderId="0" xfId="0" applyFont="1" applyBorder="1" applyAlignment="1">
      <alignment horizontal="center"/>
    </xf>
    <xf numFmtId="0" fontId="0" fillId="0" borderId="0" xfId="0" applyBorder="1" applyAlignment="1">
      <alignment horizontal="center" wrapText="1"/>
    </xf>
    <xf numFmtId="0" fontId="0" fillId="0" borderId="0" xfId="0" applyBorder="1"/>
    <xf numFmtId="0" fontId="20" fillId="0" borderId="0" xfId="0" applyFont="1" applyAlignment="1">
      <alignment horizontal="center"/>
    </xf>
    <xf numFmtId="0" fontId="21" fillId="0" borderId="0" xfId="0" applyFont="1" applyAlignment="1">
      <alignment horizontal="left"/>
    </xf>
    <xf numFmtId="0" fontId="21" fillId="0" borderId="0" xfId="0" applyFont="1" applyBorder="1" applyAlignment="1">
      <alignment horizontal="left"/>
    </xf>
    <xf numFmtId="0" fontId="0" fillId="0" borderId="0" xfId="0" applyAlignment="1">
      <alignment horizontal="center"/>
    </xf>
    <xf numFmtId="0" fontId="10" fillId="0" borderId="11" xfId="0" applyFont="1" applyBorder="1"/>
    <xf numFmtId="0" fontId="23" fillId="3" borderId="11" xfId="49" applyFill="1" applyBorder="1"/>
    <xf numFmtId="0" fontId="23" fillId="3" borderId="12" xfId="49" applyFill="1" applyBorder="1"/>
    <xf numFmtId="0" fontId="23" fillId="3" borderId="13" xfId="49" applyFill="1" applyBorder="1"/>
    <xf numFmtId="0" fontId="24" fillId="0" borderId="0" xfId="0" applyFont="1" applyAlignment="1">
      <alignment horizontal="center"/>
    </xf>
    <xf numFmtId="0" fontId="25" fillId="0" borderId="0" xfId="0" applyFont="1" applyAlignment="1">
      <alignment horizontal="center"/>
    </xf>
    <xf numFmtId="0" fontId="6" fillId="0" borderId="14" xfId="0" applyFont="1" applyFill="1" applyBorder="1" applyAlignment="1">
      <alignment horizontal="center"/>
    </xf>
    <xf numFmtId="0" fontId="26" fillId="0" borderId="14" xfId="0" applyFont="1" applyFill="1" applyBorder="1" applyAlignment="1">
      <alignment horizontal="center"/>
    </xf>
    <xf numFmtId="0" fontId="27" fillId="0" borderId="0" xfId="0" applyFont="1" applyAlignment="1">
      <alignment horizontal="center"/>
    </xf>
    <xf numFmtId="0" fontId="28" fillId="0" borderId="0" xfId="0" applyFont="1" applyFill="1" applyBorder="1" applyAlignment="1">
      <alignment horizontal="center"/>
    </xf>
    <xf numFmtId="0" fontId="29" fillId="0" borderId="0" xfId="0" applyFont="1" applyFill="1" applyBorder="1" applyAlignment="1">
      <alignment horizontal="center"/>
    </xf>
    <xf numFmtId="16" fontId="28" fillId="0" borderId="0" xfId="0" applyNumberFormat="1" applyFont="1" applyFill="1" applyBorder="1" applyAlignment="1">
      <alignment horizontal="center"/>
    </xf>
    <xf numFmtId="0" fontId="6" fillId="0" borderId="0" xfId="0" applyFont="1" applyAlignment="1">
      <alignment horizontal="center"/>
    </xf>
    <xf numFmtId="0" fontId="25" fillId="0" borderId="0" xfId="0" applyFont="1" applyAlignment="1">
      <alignment horizontal="left"/>
    </xf>
    <xf numFmtId="0" fontId="25" fillId="0" borderId="0" xfId="0" applyFont="1"/>
    <xf numFmtId="0" fontId="6" fillId="0" borderId="0" xfId="0" applyFont="1"/>
    <xf numFmtId="0" fontId="27" fillId="0" borderId="0" xfId="0" applyFont="1"/>
    <xf numFmtId="0" fontId="28" fillId="0" borderId="0" xfId="0" applyFont="1"/>
    <xf numFmtId="0" fontId="30" fillId="0" borderId="0" xfId="0" applyFont="1" applyAlignment="1">
      <alignment wrapText="1"/>
    </xf>
    <xf numFmtId="0" fontId="31" fillId="0" borderId="0" xfId="0" applyFont="1" applyAlignment="1">
      <alignment horizontal="left" wrapText="1"/>
    </xf>
    <xf numFmtId="0" fontId="32" fillId="0" borderId="0" xfId="0" applyFont="1" applyAlignment="1">
      <alignment horizontal="center"/>
    </xf>
    <xf numFmtId="3" fontId="27" fillId="0" borderId="0" xfId="0" applyNumberFormat="1" applyFont="1" applyAlignment="1">
      <alignment horizontal="center"/>
    </xf>
    <xf numFmtId="0" fontId="4" fillId="0" borderId="14" xfId="0" applyFont="1" applyFill="1" applyBorder="1" applyAlignment="1">
      <alignment horizontal="center" wrapText="1"/>
    </xf>
    <xf numFmtId="0" fontId="4" fillId="0" borderId="15" xfId="0" applyFont="1" applyFill="1" applyBorder="1" applyAlignment="1">
      <alignment horizontal="center" wrapText="1"/>
    </xf>
    <xf numFmtId="0" fontId="4" fillId="0" borderId="16" xfId="0" applyFont="1" applyFill="1" applyBorder="1" applyAlignment="1">
      <alignment horizontal="center" wrapText="1"/>
    </xf>
    <xf numFmtId="0" fontId="4" fillId="0" borderId="17" xfId="0" applyFont="1" applyFill="1" applyBorder="1" applyAlignment="1">
      <alignment horizontal="center" wrapText="1"/>
    </xf>
    <xf numFmtId="0" fontId="5" fillId="0" borderId="0" xfId="0" applyFont="1" applyAlignment="1">
      <alignment horizontal="center"/>
    </xf>
    <xf numFmtId="0" fontId="33" fillId="0" borderId="0" xfId="0" applyFont="1" applyAlignment="1">
      <alignment horizontal="center"/>
    </xf>
    <xf numFmtId="0" fontId="5" fillId="0" borderId="0" xfId="0" applyFont="1" applyAlignment="1">
      <alignment horizontal="left" wrapText="1"/>
    </xf>
    <xf numFmtId="0" fontId="20" fillId="0" borderId="0" xfId="0" applyFont="1" applyAlignment="1">
      <alignment horizontal="center" wrapText="1"/>
    </xf>
    <xf numFmtId="0" fontId="20" fillId="0" borderId="0" xfId="0" applyFont="1" applyAlignment="1">
      <alignment horizontal="left" wrapText="1"/>
    </xf>
    <xf numFmtId="0" fontId="32" fillId="0" borderId="0" xfId="0" applyFont="1" applyBorder="1" applyAlignment="1">
      <alignment horizontal="center"/>
    </xf>
    <xf numFmtId="0" fontId="1" fillId="0" borderId="18" xfId="0" applyFont="1" applyBorder="1" applyAlignment="1">
      <alignment horizontal="center"/>
    </xf>
    <xf numFmtId="0" fontId="5" fillId="0" borderId="18" xfId="0" applyFont="1" applyBorder="1" applyAlignment="1">
      <alignment horizontal="center"/>
    </xf>
    <xf numFmtId="3" fontId="32" fillId="0" borderId="0" xfId="0" applyNumberFormat="1" applyFont="1" applyAlignment="1">
      <alignment horizontal="center"/>
    </xf>
    <xf numFmtId="0" fontId="4" fillId="0" borderId="15" xfId="0" applyFont="1" applyFill="1" applyBorder="1" applyAlignment="1">
      <alignment horizontal="center"/>
    </xf>
    <xf numFmtId="0" fontId="33" fillId="0" borderId="0" xfId="0" applyFont="1" applyBorder="1" applyAlignment="1">
      <alignment horizontal="center"/>
    </xf>
    <xf numFmtId="0" fontId="32" fillId="0" borderId="18" xfId="0" applyFont="1" applyBorder="1" applyAlignment="1">
      <alignment horizontal="center"/>
    </xf>
    <xf numFmtId="0" fontId="34" fillId="0" borderId="0" xfId="0" applyFont="1" applyAlignment="1"/>
    <xf numFmtId="0" fontId="34" fillId="0" borderId="0" xfId="0" applyFont="1" applyAlignment="1">
      <alignment horizontal="center"/>
    </xf>
    <xf numFmtId="0" fontId="20" fillId="0" borderId="0" xfId="0" applyFont="1" applyAlignment="1"/>
    <xf numFmtId="0" fontId="4" fillId="0" borderId="0" xfId="0" applyFont="1" applyAlignment="1">
      <alignment horizontal="center"/>
    </xf>
    <xf numFmtId="0" fontId="4" fillId="0" borderId="0" xfId="0" applyFont="1" applyAlignment="1">
      <alignment horizontal="center" wrapText="1"/>
    </xf>
    <xf numFmtId="0" fontId="35" fillId="0" borderId="0" xfId="0" applyFont="1" applyAlignment="1">
      <alignment horizontal="center"/>
    </xf>
    <xf numFmtId="0" fontId="5" fillId="0" borderId="0" xfId="0" applyFont="1" applyAlignment="1">
      <alignment horizontal="center" wrapText="1"/>
    </xf>
    <xf numFmtId="0" fontId="36" fillId="0" borderId="0" xfId="0" applyFont="1"/>
    <xf numFmtId="0" fontId="36" fillId="0" borderId="0" xfId="0" applyFont="1" applyAlignment="1">
      <alignment horizontal="center"/>
    </xf>
    <xf numFmtId="0" fontId="37" fillId="0" borderId="19" xfId="0" applyFont="1" applyBorder="1" applyAlignment="1">
      <alignment horizontal="center" vertical="center" wrapText="1"/>
    </xf>
    <xf numFmtId="0" fontId="37" fillId="0" borderId="20" xfId="0" applyFont="1" applyBorder="1" applyAlignment="1">
      <alignment horizontal="center" vertical="center" wrapText="1"/>
    </xf>
    <xf numFmtId="0" fontId="38" fillId="0" borderId="0" xfId="0" applyFont="1"/>
    <xf numFmtId="0" fontId="39" fillId="0" borderId="19" xfId="0" applyFont="1" applyBorder="1" applyAlignment="1">
      <alignment horizontal="center" vertical="center"/>
    </xf>
    <xf numFmtId="0" fontId="39" fillId="0" borderId="21" xfId="0" applyFont="1" applyBorder="1" applyAlignment="1">
      <alignment horizontal="center" vertical="center"/>
    </xf>
    <xf numFmtId="0" fontId="39" fillId="0" borderId="20" xfId="0" applyFont="1" applyBorder="1" applyAlignment="1">
      <alignment horizontal="center" vertical="center"/>
    </xf>
    <xf numFmtId="0" fontId="38" fillId="0" borderId="22" xfId="0" applyFont="1" applyBorder="1" applyAlignment="1">
      <alignment horizontal="center" vertical="center" wrapText="1"/>
    </xf>
    <xf numFmtId="0" fontId="38" fillId="0" borderId="22" xfId="0" applyFont="1" applyBorder="1" applyAlignment="1">
      <alignment horizontal="center" vertical="center"/>
    </xf>
    <xf numFmtId="0" fontId="36" fillId="0" borderId="2" xfId="0" applyFont="1" applyBorder="1" applyAlignment="1">
      <alignment wrapText="1"/>
    </xf>
    <xf numFmtId="0" fontId="36" fillId="0" borderId="2" xfId="0" applyFont="1" applyBorder="1"/>
    <xf numFmtId="0" fontId="36" fillId="0" borderId="2" xfId="0" applyFont="1" applyBorder="1" applyAlignment="1">
      <alignment horizontal="center"/>
    </xf>
    <xf numFmtId="0" fontId="36" fillId="0" borderId="0" xfId="0" applyFont="1" applyAlignment="1">
      <alignment wrapText="1"/>
    </xf>
    <xf numFmtId="9" fontId="36" fillId="0" borderId="0" xfId="0" applyNumberFormat="1" applyFont="1"/>
    <xf numFmtId="0" fontId="40" fillId="0" borderId="19" xfId="0" applyFont="1" applyBorder="1" applyAlignment="1">
      <alignment horizontal="center" vertical="center" wrapText="1"/>
    </xf>
    <xf numFmtId="0" fontId="40" fillId="0" borderId="20" xfId="0" applyFont="1" applyBorder="1" applyAlignment="1">
      <alignment horizontal="center" vertical="center" wrapText="1"/>
    </xf>
    <xf numFmtId="0" fontId="38" fillId="0" borderId="2" xfId="0" applyFont="1" applyBorder="1" applyAlignment="1">
      <alignment horizontal="center" vertical="center" wrapText="1"/>
    </xf>
    <xf numFmtId="0" fontId="30" fillId="0" borderId="0" xfId="0" applyFont="1" applyAlignment="1">
      <alignment horizontal="center" wrapText="1"/>
    </xf>
    <xf numFmtId="0" fontId="36" fillId="0" borderId="2" xfId="0" applyFont="1" applyBorder="1" applyAlignment="1">
      <alignment horizontal="center" wrapText="1"/>
    </xf>
    <xf numFmtId="0" fontId="36" fillId="0" borderId="0" xfId="0" applyFont="1" applyAlignment="1">
      <alignment readingOrder="1"/>
    </xf>
    <xf numFmtId="9" fontId="36" fillId="0" borderId="0" xfId="0" applyNumberFormat="1" applyFont="1" applyAlignment="1">
      <alignment readingOrder="1"/>
    </xf>
    <xf numFmtId="0" fontId="36" fillId="0" borderId="0" xfId="0" applyFont="1" applyAlignment="1">
      <alignment wrapText="1" readingOrder="1"/>
    </xf>
    <xf numFmtId="0" fontId="41" fillId="0" borderId="2" xfId="0" applyFont="1" applyBorder="1" applyAlignment="1">
      <alignment horizontal="center" vertical="center"/>
    </xf>
    <xf numFmtId="0" fontId="37" fillId="0" borderId="2" xfId="0" applyFont="1" applyBorder="1" applyAlignment="1">
      <alignment horizontal="center" vertical="center" wrapText="1"/>
    </xf>
    <xf numFmtId="9" fontId="36" fillId="0" borderId="2" xfId="0" applyNumberFormat="1" applyFont="1" applyBorder="1" applyAlignment="1">
      <alignment horizontal="center"/>
    </xf>
    <xf numFmtId="0" fontId="38" fillId="0" borderId="0" xfId="0" applyFont="1" applyAlignment="1">
      <alignment wrapText="1"/>
    </xf>
    <xf numFmtId="9" fontId="42" fillId="0" borderId="2" xfId="0" applyNumberFormat="1" applyFont="1" applyBorder="1" applyAlignment="1">
      <alignment horizontal="center" readingOrder="1"/>
    </xf>
    <xf numFmtId="0" fontId="36" fillId="0" borderId="0" xfId="0" applyFont="1" applyAlignment="1">
      <alignment horizontal="center" vertical="center"/>
    </xf>
    <xf numFmtId="0" fontId="38" fillId="0" borderId="2" xfId="0" applyFont="1" applyBorder="1"/>
    <xf numFmtId="3" fontId="36" fillId="0" borderId="2" xfId="0" applyNumberFormat="1" applyFont="1" applyBorder="1"/>
    <xf numFmtId="0" fontId="42" fillId="0" borderId="2" xfId="0" applyFont="1" applyBorder="1" applyAlignment="1">
      <alignment horizontal="center" vertical="center"/>
    </xf>
    <xf numFmtId="0" fontId="38" fillId="0" borderId="2" xfId="0" applyFont="1" applyBorder="1" applyAlignment="1">
      <alignment wrapText="1"/>
    </xf>
    <xf numFmtId="0" fontId="37" fillId="0" borderId="0" xfId="0" applyFont="1" applyAlignment="1">
      <alignment readingOrder="1"/>
    </xf>
    <xf numFmtId="0" fontId="43" fillId="0" borderId="0" xfId="0" applyFont="1" applyAlignment="1">
      <alignment readingOrder="1"/>
    </xf>
    <xf numFmtId="6" fontId="36" fillId="0" borderId="0" xfId="0" applyNumberFormat="1" applyFont="1"/>
    <xf numFmtId="4" fontId="36" fillId="0" borderId="2" xfId="0" applyNumberFormat="1" applyFont="1" applyBorder="1"/>
    <xf numFmtId="4" fontId="38" fillId="0" borderId="2" xfId="0" applyNumberFormat="1" applyFont="1" applyBorder="1"/>
    <xf numFmtId="0" fontId="44" fillId="0" borderId="2" xfId="0" applyFont="1" applyBorder="1" applyAlignment="1">
      <alignment horizontal="center" vertical="center"/>
    </xf>
    <xf numFmtId="6" fontId="38" fillId="0" borderId="0" xfId="0" applyNumberFormat="1" applyFont="1" applyAlignment="1">
      <alignment horizontal="center" vertical="center"/>
    </xf>
    <xf numFmtId="0" fontId="43" fillId="0" borderId="0" xfId="0" applyFont="1" applyAlignment="1">
      <alignment wrapText="1" readingOrder="1"/>
    </xf>
    <xf numFmtId="0" fontId="45" fillId="0" borderId="0" xfId="0" applyFont="1" applyAlignment="1">
      <alignment readingOrder="1"/>
    </xf>
    <xf numFmtId="0" fontId="45" fillId="0" borderId="0" xfId="0" applyFont="1" applyAlignment="1">
      <alignment wrapText="1" readingOrder="1"/>
    </xf>
    <xf numFmtId="0" fontId="46" fillId="0" borderId="0" xfId="0" applyFont="1" applyAlignment="1">
      <alignment readingOrder="1"/>
    </xf>
    <xf numFmtId="0" fontId="46" fillId="0" borderId="0" xfId="0" applyFont="1" applyAlignment="1">
      <alignment wrapText="1" readingOrder="1"/>
    </xf>
    <xf numFmtId="9" fontId="46" fillId="0" borderId="0" xfId="0" applyNumberFormat="1" applyFont="1" applyAlignment="1">
      <alignment readingOrder="1"/>
    </xf>
    <xf numFmtId="0" fontId="47" fillId="0" borderId="2" xfId="0" applyFont="1" applyBorder="1" applyAlignment="1">
      <alignment horizontal="center" vertical="center"/>
    </xf>
    <xf numFmtId="0" fontId="46" fillId="0" borderId="0" xfId="0" applyFont="1" applyAlignment="1">
      <alignment horizontal="center" vertical="center" readingOrder="1"/>
    </xf>
    <xf numFmtId="0" fontId="38" fillId="0" borderId="23" xfId="0" applyFont="1" applyBorder="1" applyAlignment="1">
      <alignment horizontal="center" vertical="center"/>
    </xf>
    <xf numFmtId="0" fontId="36" fillId="0" borderId="19" xfId="0" applyFont="1" applyBorder="1"/>
    <xf numFmtId="3" fontId="36" fillId="0" borderId="19" xfId="0" applyNumberFormat="1" applyFont="1" applyBorder="1"/>
    <xf numFmtId="0" fontId="48" fillId="0" borderId="0" xfId="0" applyFont="1" applyAlignment="1">
      <alignment readingOrder="1"/>
    </xf>
    <xf numFmtId="0" fontId="48" fillId="0" borderId="0" xfId="0" applyFont="1" applyAlignment="1">
      <alignment wrapText="1" readingOrder="1"/>
    </xf>
    <xf numFmtId="0" fontId="49" fillId="0" borderId="0" xfId="0" applyFont="1" applyAlignment="1">
      <alignment readingOrder="1"/>
    </xf>
    <xf numFmtId="0" fontId="49" fillId="0" borderId="0" xfId="0" applyFont="1" applyAlignment="1">
      <alignment wrapText="1" readingOrder="1"/>
    </xf>
    <xf numFmtId="0" fontId="50" fillId="0" borderId="0" xfId="0" applyFont="1" applyAlignment="1">
      <alignment readingOrder="1"/>
    </xf>
    <xf numFmtId="3" fontId="48" fillId="0" borderId="0" xfId="0" applyNumberFormat="1" applyFont="1" applyAlignment="1">
      <alignment readingOrder="1"/>
    </xf>
    <xf numFmtId="0" fontId="51" fillId="0" borderId="0" xfId="0" applyFont="1" applyAlignment="1">
      <alignment readingOrder="1"/>
    </xf>
    <xf numFmtId="0" fontId="51" fillId="0" borderId="0" xfId="0" applyFont="1" applyAlignment="1">
      <alignment wrapText="1" readingOrder="1"/>
    </xf>
    <xf numFmtId="0" fontId="52" fillId="0" borderId="0" xfId="0" applyFont="1" applyAlignment="1">
      <alignment readingOrder="1"/>
    </xf>
    <xf numFmtId="0" fontId="52" fillId="0" borderId="0" xfId="0" applyFont="1" applyAlignment="1">
      <alignment wrapText="1" readingOrder="1"/>
    </xf>
    <xf numFmtId="0" fontId="53" fillId="0" borderId="0" xfId="0" applyFont="1" applyAlignment="1">
      <alignment readingOrder="1"/>
    </xf>
    <xf numFmtId="4" fontId="52" fillId="0" borderId="0" xfId="0" applyNumberFormat="1" applyFont="1" applyAlignment="1">
      <alignment readingOrder="1"/>
    </xf>
    <xf numFmtId="3" fontId="51" fillId="0" borderId="0" xfId="0" applyNumberFormat="1" applyFont="1" applyAlignment="1">
      <alignment readingOrder="1"/>
    </xf>
    <xf numFmtId="0" fontId="54" fillId="0" borderId="19" xfId="0" applyFont="1" applyBorder="1" applyAlignment="1">
      <alignment horizontal="center" vertical="center"/>
    </xf>
    <xf numFmtId="0" fontId="54" fillId="0" borderId="21" xfId="0" applyFont="1" applyBorder="1" applyAlignment="1">
      <alignment horizontal="center" vertical="center"/>
    </xf>
    <xf numFmtId="0" fontId="54" fillId="0" borderId="20" xfId="0" applyFont="1" applyBorder="1" applyAlignment="1">
      <alignment horizontal="center" vertical="center"/>
    </xf>
    <xf numFmtId="0" fontId="38" fillId="0" borderId="2" xfId="0" applyFont="1" applyBorder="1" applyAlignment="1">
      <alignment horizontal="center" vertical="center"/>
    </xf>
    <xf numFmtId="3" fontId="38" fillId="0" borderId="2" xfId="0" applyNumberFormat="1" applyFont="1" applyBorder="1"/>
    <xf numFmtId="4" fontId="36" fillId="0" borderId="0" xfId="0" applyNumberFormat="1" applyFont="1"/>
    <xf numFmtId="3" fontId="36" fillId="0" borderId="0" xfId="0" applyNumberFormat="1" applyFont="1"/>
    <xf numFmtId="0" fontId="38" fillId="0" borderId="0" xfId="0" applyFont="1" applyAlignment="1">
      <alignment readingOrder="1"/>
    </xf>
    <xf numFmtId="0" fontId="38" fillId="0" borderId="0" xfId="0" applyFont="1" applyAlignment="1">
      <alignment wrapText="1" readingOrder="1"/>
    </xf>
    <xf numFmtId="0" fontId="55" fillId="0" borderId="0" xfId="0" applyFont="1" applyAlignment="1">
      <alignment readingOrder="1"/>
    </xf>
    <xf numFmtId="0" fontId="56" fillId="6" borderId="0" xfId="0" applyFont="1" applyFill="1" applyAlignment="1"/>
    <xf numFmtId="0" fontId="57" fillId="0" borderId="0" xfId="0" applyFont="1"/>
    <xf numFmtId="0" fontId="58" fillId="0" borderId="0" xfId="0" applyFont="1" applyFill="1" applyBorder="1" applyAlignment="1"/>
    <xf numFmtId="0" fontId="59" fillId="0" borderId="0" xfId="0" applyFont="1"/>
    <xf numFmtId="0" fontId="60" fillId="6" borderId="0" xfId="0" applyFont="1" applyFill="1" applyAlignment="1">
      <alignment horizontal="left" wrapText="1"/>
    </xf>
    <xf numFmtId="0" fontId="5" fillId="7" borderId="24" xfId="0" applyFont="1" applyFill="1" applyBorder="1" applyAlignment="1">
      <alignment horizontal="center"/>
    </xf>
    <xf numFmtId="0" fontId="5" fillId="7" borderId="0" xfId="0" applyFont="1" applyFill="1" applyBorder="1" applyAlignment="1">
      <alignment horizontal="center"/>
    </xf>
    <xf numFmtId="0" fontId="5" fillId="7" borderId="2" xfId="0" applyFont="1" applyFill="1" applyBorder="1" applyAlignment="1">
      <alignment horizontal="center"/>
    </xf>
    <xf numFmtId="0" fontId="61" fillId="7" borderId="25" xfId="0" applyFont="1" applyFill="1" applyBorder="1" applyAlignment="1">
      <alignment horizontal="center"/>
    </xf>
    <xf numFmtId="0" fontId="21" fillId="7" borderId="25" xfId="0" applyFont="1" applyFill="1" applyBorder="1" applyAlignment="1">
      <alignment horizontal="center"/>
    </xf>
    <xf numFmtId="0" fontId="1" fillId="0" borderId="2" xfId="0" applyFont="1" applyBorder="1"/>
    <xf numFmtId="3" fontId="4" fillId="3" borderId="19" xfId="0" applyNumberFormat="1" applyFont="1" applyFill="1" applyBorder="1"/>
    <xf numFmtId="3" fontId="21" fillId="0" borderId="19" xfId="0" applyNumberFormat="1" applyFont="1" applyBorder="1"/>
    <xf numFmtId="0" fontId="21" fillId="0" borderId="2" xfId="0" applyFont="1" applyBorder="1"/>
    <xf numFmtId="0" fontId="21" fillId="0" borderId="2" xfId="0" applyFont="1" applyBorder="1" applyAlignment="1">
      <alignment horizontal="right"/>
    </xf>
    <xf numFmtId="0" fontId="4" fillId="3" borderId="19" xfId="0" applyFont="1" applyFill="1" applyBorder="1"/>
    <xf numFmtId="0" fontId="21" fillId="3" borderId="19" xfId="49" applyFont="1" applyFill="1" applyBorder="1"/>
    <xf numFmtId="179" fontId="21" fillId="0" borderId="2" xfId="0" applyNumberFormat="1" applyFont="1" applyBorder="1"/>
    <xf numFmtId="0" fontId="62" fillId="0" borderId="0" xfId="0" applyFont="1" applyFill="1" applyBorder="1" applyAlignment="1">
      <alignment wrapText="1"/>
    </xf>
    <xf numFmtId="0" fontId="21" fillId="3" borderId="19" xfId="0" applyFont="1" applyFill="1" applyBorder="1" applyAlignment="1">
      <alignment horizontal="right"/>
    </xf>
    <xf numFmtId="0" fontId="21" fillId="0" borderId="25" xfId="0" applyFont="1" applyBorder="1"/>
    <xf numFmtId="179" fontId="21" fillId="0" borderId="25" xfId="0" applyNumberFormat="1" applyFont="1" applyBorder="1"/>
    <xf numFmtId="0" fontId="21" fillId="0" borderId="19" xfId="0" applyFont="1" applyBorder="1"/>
    <xf numFmtId="9" fontId="21" fillId="0" borderId="2" xfId="0" applyNumberFormat="1" applyFont="1" applyBorder="1"/>
    <xf numFmtId="0" fontId="63" fillId="8" borderId="2" xfId="0" applyFont="1" applyFill="1" applyBorder="1"/>
    <xf numFmtId="3" fontId="64" fillId="8" borderId="19" xfId="0" applyNumberFormat="1" applyFont="1" applyFill="1" applyBorder="1"/>
    <xf numFmtId="3" fontId="65" fillId="8" borderId="19" xfId="49" applyNumberFormat="1" applyFont="1" applyFill="1" applyBorder="1"/>
    <xf numFmtId="0" fontId="65" fillId="8" borderId="2" xfId="0" applyFont="1" applyFill="1" applyBorder="1"/>
    <xf numFmtId="9" fontId="65" fillId="8" borderId="2" xfId="0" applyNumberFormat="1" applyFont="1" applyFill="1" applyBorder="1"/>
    <xf numFmtId="0" fontId="62" fillId="3" borderId="0" xfId="0" applyFont="1" applyFill="1" applyBorder="1"/>
    <xf numFmtId="0" fontId="66" fillId="3" borderId="0" xfId="49" applyFont="1" applyFill="1" applyBorder="1"/>
    <xf numFmtId="0" fontId="21" fillId="3" borderId="0" xfId="0" applyFont="1" applyFill="1" applyBorder="1" applyAlignment="1">
      <alignment horizontal="center"/>
    </xf>
    <xf numFmtId="0" fontId="60" fillId="6" borderId="0" xfId="0" applyFont="1" applyFill="1" applyBorder="1" applyAlignment="1">
      <alignment horizontal="left"/>
    </xf>
    <xf numFmtId="0" fontId="60" fillId="3" borderId="0" xfId="0" applyFont="1" applyFill="1" applyBorder="1" applyAlignment="1"/>
    <xf numFmtId="0" fontId="5" fillId="7" borderId="26" xfId="0" applyFont="1" applyFill="1" applyBorder="1" applyAlignment="1"/>
    <xf numFmtId="0" fontId="5" fillId="7" borderId="22" xfId="0" applyFont="1" applyFill="1" applyBorder="1" applyAlignment="1"/>
    <xf numFmtId="0" fontId="4" fillId="3" borderId="20" xfId="0" applyFont="1" applyFill="1" applyBorder="1" applyAlignment="1"/>
    <xf numFmtId="0" fontId="4" fillId="3" borderId="2" xfId="0" applyFont="1" applyFill="1" applyBorder="1" applyAlignment="1"/>
    <xf numFmtId="3" fontId="4" fillId="3" borderId="2" xfId="0" applyNumberFormat="1" applyFont="1" applyFill="1" applyBorder="1" applyAlignment="1"/>
    <xf numFmtId="0" fontId="4" fillId="3" borderId="27" xfId="0" applyFont="1" applyFill="1" applyBorder="1" applyAlignment="1"/>
    <xf numFmtId="0" fontId="4" fillId="3" borderId="25" xfId="0" applyFont="1" applyFill="1" applyBorder="1" applyAlignment="1"/>
    <xf numFmtId="0" fontId="63" fillId="6" borderId="0" xfId="0" applyFont="1" applyFill="1" applyAlignment="1">
      <alignment horizontal="center"/>
    </xf>
    <xf numFmtId="0" fontId="62" fillId="3" borderId="0" xfId="0" applyFont="1" applyFill="1" applyBorder="1" applyAlignment="1"/>
    <xf numFmtId="0" fontId="67" fillId="7" borderId="26" xfId="0" applyFont="1" applyFill="1" applyBorder="1" applyAlignment="1"/>
    <xf numFmtId="0" fontId="67" fillId="7" borderId="22" xfId="0" applyFont="1" applyFill="1" applyBorder="1" applyAlignment="1"/>
    <xf numFmtId="0" fontId="4" fillId="3" borderId="27" xfId="0" applyFont="1" applyFill="1" applyBorder="1"/>
    <xf numFmtId="0" fontId="4" fillId="3" borderId="25" xfId="0" applyFont="1" applyFill="1" applyBorder="1"/>
    <xf numFmtId="0" fontId="21" fillId="3" borderId="0" xfId="0" applyFont="1" applyFill="1" applyBorder="1" applyAlignment="1">
      <alignment horizontal="right"/>
    </xf>
    <xf numFmtId="0" fontId="66" fillId="3" borderId="0" xfId="49" applyFont="1" applyFill="1" applyBorder="1" applyAlignment="1"/>
    <xf numFmtId="0" fontId="5" fillId="7" borderId="2" xfId="0" applyFont="1" applyFill="1" applyBorder="1" applyAlignment="1"/>
    <xf numFmtId="0" fontId="62" fillId="3" borderId="0" xfId="0" applyFont="1" applyFill="1" applyBorder="1" applyAlignment="1">
      <alignment horizontal="center"/>
    </xf>
    <xf numFmtId="0" fontId="64" fillId="8" borderId="2" xfId="0" applyFont="1" applyFill="1" applyBorder="1" applyAlignment="1"/>
    <xf numFmtId="3" fontId="64" fillId="8" borderId="2" xfId="0" applyNumberFormat="1" applyFont="1" applyFill="1" applyBorder="1" applyAlignment="1"/>
    <xf numFmtId="0" fontId="60" fillId="6" borderId="2" xfId="0" applyFont="1" applyFill="1" applyBorder="1" applyAlignment="1">
      <alignment horizontal="center"/>
    </xf>
    <xf numFmtId="0" fontId="60" fillId="3" borderId="0" xfId="0" applyFont="1" applyFill="1" applyAlignment="1"/>
    <xf numFmtId="0" fontId="5" fillId="0" borderId="2" xfId="0" applyFont="1" applyBorder="1" applyAlignment="1">
      <alignment horizontal="center"/>
    </xf>
    <xf numFmtId="0" fontId="20" fillId="0" borderId="2" xfId="0" applyFont="1" applyBorder="1" applyAlignment="1">
      <alignment horizontal="center"/>
    </xf>
    <xf numFmtId="0" fontId="68" fillId="0" borderId="0" xfId="0" applyFont="1" applyBorder="1" applyAlignment="1">
      <alignment horizontal="center"/>
    </xf>
    <xf numFmtId="0" fontId="1" fillId="0" borderId="2" xfId="0" applyFont="1" applyBorder="1" applyAlignment="1">
      <alignment horizontal="center"/>
    </xf>
    <xf numFmtId="0" fontId="5" fillId="0" borderId="25" xfId="0" applyFont="1" applyFill="1" applyBorder="1" applyAlignment="1">
      <alignment horizontal="center"/>
    </xf>
    <xf numFmtId="0" fontId="1" fillId="3" borderId="2" xfId="0" applyFont="1" applyFill="1" applyBorder="1" applyAlignment="1">
      <alignment horizontal="center"/>
    </xf>
    <xf numFmtId="0" fontId="66" fillId="0" borderId="0" xfId="49" applyFont="1" applyBorder="1" applyAlignment="1">
      <alignment horizontal="center" textRotation="180"/>
    </xf>
    <xf numFmtId="0" fontId="5" fillId="0" borderId="22" xfId="0" applyFont="1" applyFill="1" applyBorder="1" applyAlignment="1">
      <alignment horizontal="center"/>
    </xf>
    <xf numFmtId="0" fontId="4" fillId="0" borderId="2" xfId="0" applyFont="1" applyBorder="1" applyAlignment="1">
      <alignment horizontal="center"/>
    </xf>
    <xf numFmtId="0" fontId="5" fillId="0" borderId="2" xfId="0" applyFont="1" applyFill="1" applyBorder="1" applyAlignment="1">
      <alignment horizontal="center"/>
    </xf>
    <xf numFmtId="0" fontId="4" fillId="0" borderId="20" xfId="0" applyFont="1" applyBorder="1" applyAlignment="1">
      <alignment horizontal="center"/>
    </xf>
    <xf numFmtId="0" fontId="1" fillId="0" borderId="20" xfId="0" applyFont="1" applyBorder="1" applyAlignment="1">
      <alignment horizontal="center"/>
    </xf>
    <xf numFmtId="0" fontId="56" fillId="3" borderId="0" xfId="0" applyFont="1" applyFill="1" applyAlignment="1"/>
    <xf numFmtId="0" fontId="69" fillId="0" borderId="0" xfId="0" applyFont="1" applyAlignment="1">
      <alignment wrapText="1"/>
    </xf>
    <xf numFmtId="0" fontId="62" fillId="0" borderId="0" xfId="0" applyFont="1"/>
    <xf numFmtId="0" fontId="70" fillId="0" borderId="0" xfId="0" applyFont="1" applyFill="1" applyBorder="1" applyAlignment="1">
      <alignment horizontal="center"/>
    </xf>
    <xf numFmtId="0" fontId="70" fillId="3" borderId="0" xfId="0" applyFont="1" applyFill="1" applyBorder="1" applyAlignment="1">
      <alignment horizontal="center"/>
    </xf>
    <xf numFmtId="0" fontId="0" fillId="3" borderId="0" xfId="0" applyFill="1" applyBorder="1"/>
    <xf numFmtId="0" fontId="0" fillId="3" borderId="0" xfId="0" applyFont="1" applyFill="1" applyBorder="1"/>
    <xf numFmtId="0" fontId="71" fillId="3" borderId="0" xfId="0" applyFont="1" applyFill="1" applyAlignment="1"/>
    <xf numFmtId="0" fontId="62" fillId="0" borderId="0" xfId="0" applyFont="1" applyFill="1" applyBorder="1" applyAlignment="1"/>
    <xf numFmtId="0" fontId="62" fillId="0" borderId="0" xfId="0" applyFont="1" applyBorder="1"/>
    <xf numFmtId="0" fontId="21" fillId="3" borderId="0" xfId="0" applyFont="1" applyFill="1" applyBorder="1"/>
    <xf numFmtId="0" fontId="72" fillId="3" borderId="0" xfId="0" applyFont="1" applyFill="1" applyBorder="1" applyAlignment="1"/>
    <xf numFmtId="0" fontId="73" fillId="3" borderId="0" xfId="0" applyFont="1" applyFill="1" applyBorder="1" applyAlignment="1"/>
    <xf numFmtId="0" fontId="10" fillId="0" borderId="0" xfId="0" applyFont="1" applyAlignment="1">
      <alignment wrapText="1"/>
    </xf>
    <xf numFmtId="0" fontId="73" fillId="0" borderId="0" xfId="0" applyFont="1" applyFill="1" applyBorder="1" applyAlignment="1"/>
    <xf numFmtId="0" fontId="56" fillId="3" borderId="0" xfId="0" applyFont="1" applyFill="1" applyBorder="1" applyAlignment="1">
      <alignment horizontal="center" wrapText="1"/>
    </xf>
    <xf numFmtId="0" fontId="60" fillId="3" borderId="0" xfId="0" applyFont="1" applyFill="1" applyBorder="1" applyAlignment="1">
      <alignment horizontal="center" wrapText="1"/>
    </xf>
    <xf numFmtId="0" fontId="70" fillId="0" borderId="0" xfId="0" applyFont="1" applyAlignment="1">
      <alignment horizontal="center"/>
    </xf>
    <xf numFmtId="0" fontId="5" fillId="0" borderId="28" xfId="0" applyFont="1" applyFill="1" applyBorder="1" applyAlignment="1">
      <alignment horizontal="center"/>
    </xf>
    <xf numFmtId="0" fontId="4" fillId="0" borderId="2" xfId="0" applyFont="1" applyFill="1" applyBorder="1" applyAlignment="1">
      <alignment horizontal="center"/>
    </xf>
    <xf numFmtId="0" fontId="56" fillId="6" borderId="0" xfId="0" applyFont="1" applyFill="1" applyAlignment="1">
      <alignment horizontal="left"/>
    </xf>
    <xf numFmtId="0" fontId="56" fillId="3" borderId="0" xfId="0" applyFont="1" applyFill="1" applyBorder="1" applyAlignment="1">
      <alignment horizontal="center"/>
    </xf>
    <xf numFmtId="0" fontId="1" fillId="6" borderId="2" xfId="0" applyFont="1" applyFill="1" applyBorder="1"/>
    <xf numFmtId="0" fontId="1" fillId="6" borderId="19" xfId="0" applyFont="1" applyFill="1" applyBorder="1"/>
    <xf numFmtId="0" fontId="1" fillId="3" borderId="2" xfId="0" applyFont="1" applyFill="1" applyBorder="1"/>
    <xf numFmtId="3" fontId="1" fillId="3" borderId="2" xfId="0" applyNumberFormat="1" applyFont="1" applyFill="1" applyBorder="1"/>
    <xf numFmtId="3" fontId="1" fillId="3" borderId="19" xfId="0" applyNumberFormat="1" applyFont="1" applyFill="1" applyBorder="1"/>
    <xf numFmtId="0" fontId="56" fillId="6" borderId="0" xfId="0" applyFont="1" applyFill="1" applyAlignment="1">
      <alignment horizontal="left" wrapText="1"/>
    </xf>
    <xf numFmtId="0" fontId="1" fillId="6" borderId="26" xfId="0" applyFont="1" applyFill="1" applyBorder="1"/>
    <xf numFmtId="0" fontId="1" fillId="6" borderId="22" xfId="0" applyFont="1" applyFill="1" applyBorder="1"/>
    <xf numFmtId="0" fontId="1" fillId="6" borderId="22" xfId="0" applyFont="1" applyFill="1" applyBorder="1" applyAlignment="1">
      <alignment wrapText="1"/>
    </xf>
    <xf numFmtId="0" fontId="1" fillId="6" borderId="23" xfId="0" applyFont="1" applyFill="1" applyBorder="1"/>
    <xf numFmtId="3" fontId="1" fillId="3" borderId="25" xfId="0" applyNumberFormat="1" applyFont="1" applyFill="1" applyBorder="1"/>
    <xf numFmtId="0" fontId="56" fillId="6" borderId="0" xfId="0" applyFont="1" applyFill="1" applyBorder="1" applyAlignment="1">
      <alignment horizontal="left"/>
    </xf>
    <xf numFmtId="0" fontId="60" fillId="6" borderId="0" xfId="0" applyFont="1" applyFill="1" applyBorder="1" applyAlignment="1">
      <alignment horizontal="center"/>
    </xf>
    <xf numFmtId="0" fontId="74" fillId="0" borderId="2" xfId="49" applyFont="1" applyBorder="1" applyAlignment="1">
      <alignment wrapText="1"/>
    </xf>
    <xf numFmtId="0" fontId="5" fillId="3" borderId="2" xfId="0" applyFont="1" applyFill="1" applyBorder="1" applyAlignment="1"/>
    <xf numFmtId="0" fontId="75" fillId="0" borderId="2" xfId="0" applyFont="1" applyBorder="1" applyAlignment="1">
      <alignment wrapText="1"/>
    </xf>
    <xf numFmtId="0" fontId="74" fillId="0" borderId="2" xfId="49" applyFont="1" applyBorder="1"/>
    <xf numFmtId="0" fontId="5" fillId="3" borderId="2" xfId="0" applyFont="1" applyFill="1" applyBorder="1" applyAlignment="1">
      <alignment wrapText="1"/>
    </xf>
    <xf numFmtId="0" fontId="56" fillId="3" borderId="0" xfId="0" applyFont="1" applyFill="1" applyBorder="1" applyAlignment="1">
      <alignment wrapText="1"/>
    </xf>
    <xf numFmtId="3" fontId="21" fillId="3" borderId="0" xfId="0" applyNumberFormat="1" applyFont="1" applyFill="1" applyBorder="1"/>
    <xf numFmtId="0" fontId="61" fillId="3" borderId="0" xfId="0" applyFont="1" applyFill="1" applyBorder="1" applyAlignment="1"/>
    <xf numFmtId="0" fontId="5" fillId="7" borderId="23" xfId="0" applyFont="1" applyFill="1" applyBorder="1" applyAlignment="1"/>
    <xf numFmtId="0" fontId="5" fillId="7" borderId="19" xfId="0" applyFont="1" applyFill="1" applyBorder="1" applyAlignment="1"/>
    <xf numFmtId="0" fontId="4" fillId="3" borderId="19" xfId="0" applyFont="1" applyFill="1" applyBorder="1" applyAlignment="1"/>
    <xf numFmtId="0" fontId="4" fillId="3" borderId="2" xfId="0" applyFont="1" applyFill="1" applyBorder="1"/>
    <xf numFmtId="0" fontId="76" fillId="0" borderId="2" xfId="0" applyFont="1" applyBorder="1" applyAlignment="1">
      <alignment wrapText="1"/>
    </xf>
    <xf numFmtId="0" fontId="77" fillId="0" borderId="0" xfId="0" applyFont="1" applyAlignment="1">
      <alignment horizontal="left"/>
    </xf>
    <xf numFmtId="0" fontId="0" fillId="0" borderId="0" xfId="0" applyAlignment="1">
      <alignment horizontal="left"/>
    </xf>
    <xf numFmtId="0" fontId="78" fillId="0" borderId="29" xfId="0" applyFont="1" applyBorder="1" applyAlignment="1">
      <alignment horizontal="left"/>
    </xf>
    <xf numFmtId="0" fontId="79" fillId="9" borderId="29" xfId="0" applyFont="1" applyFill="1" applyBorder="1" applyAlignment="1">
      <alignment horizontal="left"/>
    </xf>
    <xf numFmtId="3" fontId="80" fillId="9" borderId="29" xfId="0" applyNumberFormat="1" applyFont="1" applyFill="1" applyBorder="1" applyAlignment="1">
      <alignment horizontal="left"/>
    </xf>
    <xf numFmtId="1" fontId="80" fillId="9" borderId="29" xfId="0" applyNumberFormat="1" applyFont="1" applyFill="1" applyBorder="1" applyAlignment="1">
      <alignment horizontal="left"/>
    </xf>
    <xf numFmtId="1" fontId="80" fillId="10" borderId="29" xfId="0" applyNumberFormat="1" applyFont="1" applyFill="1" applyBorder="1" applyAlignment="1">
      <alignment horizontal="left"/>
    </xf>
    <xf numFmtId="1" fontId="80" fillId="0" borderId="30" xfId="0" applyNumberFormat="1" applyFont="1" applyFill="1" applyBorder="1" applyAlignment="1">
      <alignment horizontal="left"/>
    </xf>
    <xf numFmtId="1" fontId="80" fillId="10" borderId="30" xfId="0" applyNumberFormat="1" applyFont="1" applyFill="1" applyBorder="1" applyAlignment="1">
      <alignment horizontal="left"/>
    </xf>
    <xf numFmtId="0" fontId="81" fillId="0" borderId="31" xfId="0" applyFont="1" applyFill="1" applyBorder="1" applyAlignment="1">
      <alignment horizontal="left"/>
    </xf>
    <xf numFmtId="0" fontId="82" fillId="0" borderId="31" xfId="0" applyFont="1" applyFill="1" applyBorder="1" applyAlignment="1">
      <alignment horizontal="left"/>
    </xf>
    <xf numFmtId="0" fontId="82" fillId="0" borderId="32" xfId="0" applyFont="1" applyFill="1" applyBorder="1" applyAlignment="1">
      <alignment horizontal="left" wrapText="1"/>
    </xf>
    <xf numFmtId="0" fontId="82" fillId="0" borderId="33" xfId="0" applyFont="1" applyFill="1" applyBorder="1" applyAlignment="1">
      <alignment horizontal="left" wrapText="1"/>
    </xf>
    <xf numFmtId="0" fontId="83" fillId="0" borderId="32" xfId="0" applyFont="1" applyFill="1" applyBorder="1" applyAlignment="1">
      <alignment horizontal="left" wrapText="1"/>
    </xf>
    <xf numFmtId="1" fontId="83" fillId="0" borderId="33" xfId="0" applyNumberFormat="1" applyFont="1" applyFill="1" applyBorder="1" applyAlignment="1">
      <alignment horizontal="left" wrapText="1"/>
    </xf>
    <xf numFmtId="0" fontId="83" fillId="0" borderId="33" xfId="0" applyFont="1" applyFill="1" applyBorder="1" applyAlignment="1">
      <alignment horizontal="left" wrapText="1"/>
    </xf>
    <xf numFmtId="0" fontId="84" fillId="0" borderId="0" xfId="0" applyFont="1" applyAlignment="1">
      <alignment horizontal="center"/>
    </xf>
    <xf numFmtId="0" fontId="85" fillId="0" borderId="0" xfId="0" applyFont="1"/>
    <xf numFmtId="0" fontId="86" fillId="0" borderId="0" xfId="0" applyFont="1"/>
    <xf numFmtId="3" fontId="1" fillId="0" borderId="0" xfId="0" applyNumberFormat="1" applyFont="1"/>
    <xf numFmtId="0" fontId="5" fillId="0" borderId="0" xfId="0" applyFont="1" applyAlignment="1">
      <alignment horizontal="left"/>
    </xf>
    <xf numFmtId="0" fontId="1" fillId="0" borderId="0" xfId="0" applyFont="1" applyAlignment="1">
      <alignment horizontal="right"/>
    </xf>
    <xf numFmtId="0" fontId="74" fillId="0" borderId="0" xfId="49" applyFont="1"/>
    <xf numFmtId="0" fontId="74" fillId="0" borderId="0" xfId="49" applyFont="1" applyAlignment="1">
      <alignment horizontal="center"/>
    </xf>
    <xf numFmtId="3" fontId="87" fillId="0" borderId="0" xfId="0" applyNumberFormat="1" applyFont="1"/>
    <xf numFmtId="0" fontId="87" fillId="0" borderId="0" xfId="0" applyFont="1"/>
    <xf numFmtId="0" fontId="1" fillId="0" borderId="0" xfId="0" applyNumberFormat="1" applyFont="1"/>
    <xf numFmtId="4" fontId="1" fillId="0" borderId="0" xfId="0" applyNumberFormat="1" applyFont="1"/>
    <xf numFmtId="0" fontId="1" fillId="0" borderId="0" xfId="0" applyFont="1" applyBorder="1" applyAlignment="1">
      <alignment horizontal="left"/>
    </xf>
    <xf numFmtId="0" fontId="88" fillId="0" borderId="0" xfId="0" applyFont="1"/>
    <xf numFmtId="3" fontId="1" fillId="0" borderId="0" xfId="0" applyNumberFormat="1" applyFont="1" applyBorder="1" applyAlignment="1">
      <alignment horizontal="left"/>
    </xf>
    <xf numFmtId="4" fontId="1" fillId="0" borderId="0" xfId="0" applyNumberFormat="1" applyFont="1" applyBorder="1" applyAlignment="1">
      <alignment horizontal="left"/>
    </xf>
    <xf numFmtId="3" fontId="86" fillId="0" borderId="0" xfId="0" applyNumberFormat="1" applyFont="1" applyAlignment="1">
      <alignment horizontal="center"/>
    </xf>
    <xf numFmtId="0" fontId="86" fillId="0" borderId="0" xfId="0" applyFont="1" applyAlignment="1">
      <alignment horizontal="center"/>
    </xf>
    <xf numFmtId="3" fontId="1" fillId="0" borderId="0" xfId="0" applyNumberFormat="1" applyFont="1" applyAlignment="1">
      <alignment horizontal="center"/>
    </xf>
    <xf numFmtId="0" fontId="89" fillId="0" borderId="0" xfId="0" applyFont="1"/>
    <xf numFmtId="2" fontId="1" fillId="0" borderId="0" xfId="0" applyNumberFormat="1" applyFont="1"/>
    <xf numFmtId="1" fontId="1" fillId="0" borderId="0" xfId="0" applyNumberFormat="1" applyFont="1"/>
    <xf numFmtId="0" fontId="90" fillId="0" borderId="0" xfId="0" applyFont="1" applyFill="1" applyBorder="1" applyAlignment="1">
      <alignment horizontal="left" wrapText="1"/>
    </xf>
    <xf numFmtId="0" fontId="91" fillId="0" borderId="0" xfId="0" applyFont="1" applyFill="1" applyBorder="1" applyAlignment="1">
      <alignment horizontal="left" wrapText="1"/>
    </xf>
    <xf numFmtId="0" fontId="20" fillId="0" borderId="0" xfId="0" applyFont="1" applyBorder="1" applyAlignment="1">
      <alignment horizontal="left"/>
    </xf>
    <xf numFmtId="0" fontId="5" fillId="0" borderId="0" xfId="0" applyFont="1" applyBorder="1"/>
    <xf numFmtId="0" fontId="82" fillId="0" borderId="0" xfId="0" applyFont="1" applyFill="1" applyBorder="1" applyAlignment="1">
      <alignment horizontal="left"/>
    </xf>
    <xf numFmtId="0" fontId="83" fillId="0" borderId="0" xfId="0" applyFont="1" applyFill="1" applyBorder="1" applyAlignment="1">
      <alignment horizontal="left"/>
    </xf>
    <xf numFmtId="0" fontId="4" fillId="0" borderId="0" xfId="0" applyFont="1" applyFill="1" applyBorder="1" applyAlignment="1">
      <alignment horizontal="left" wrapText="1"/>
    </xf>
    <xf numFmtId="0" fontId="35" fillId="0" borderId="0" xfId="0" applyFont="1" applyBorder="1"/>
    <xf numFmtId="0" fontId="35" fillId="0" borderId="0" xfId="0" applyFont="1"/>
    <xf numFmtId="0" fontId="5" fillId="0" borderId="0" xfId="0" applyFont="1" applyFill="1" applyBorder="1" applyAlignment="1">
      <alignment horizontal="left"/>
    </xf>
    <xf numFmtId="0" fontId="92" fillId="0" borderId="0" xfId="0" applyFont="1" applyFill="1" applyBorder="1" applyAlignment="1">
      <alignment horizontal="left"/>
    </xf>
    <xf numFmtId="0" fontId="93" fillId="0" borderId="0" xfId="0" applyFont="1" applyFill="1" applyBorder="1" applyAlignment="1">
      <alignment horizontal="left"/>
    </xf>
    <xf numFmtId="0" fontId="90" fillId="0" borderId="0" xfId="0" applyFont="1" applyFill="1" applyBorder="1" applyAlignment="1">
      <alignment horizontal="left"/>
    </xf>
    <xf numFmtId="0" fontId="26" fillId="0" borderId="0" xfId="0" applyFont="1" applyFill="1" applyBorder="1" applyAlignment="1">
      <alignment horizontal="left"/>
    </xf>
    <xf numFmtId="0" fontId="83" fillId="0" borderId="0" xfId="0" applyFont="1" applyFill="1" applyBorder="1" applyAlignment="1">
      <alignment horizontal="left" wrapText="1"/>
    </xf>
    <xf numFmtId="0" fontId="83" fillId="10" borderId="0" xfId="0" applyFont="1" applyFill="1" applyBorder="1" applyAlignment="1">
      <alignment horizontal="left"/>
    </xf>
    <xf numFmtId="0" fontId="81" fillId="0" borderId="0" xfId="0" applyFont="1" applyFill="1" applyBorder="1" applyAlignment="1">
      <alignment horizontal="left"/>
    </xf>
    <xf numFmtId="0" fontId="82" fillId="0" borderId="0" xfId="0" applyFont="1" applyFill="1" applyBorder="1" applyAlignment="1">
      <alignment horizontal="left" wrapText="1"/>
    </xf>
    <xf numFmtId="0" fontId="83" fillId="0" borderId="0" xfId="0" applyFont="1" applyFill="1" applyBorder="1" applyAlignment="1">
      <alignment horizontal="center"/>
    </xf>
    <xf numFmtId="0" fontId="5" fillId="0" borderId="0" xfId="0" applyFont="1"/>
    <xf numFmtId="0" fontId="75" fillId="0" borderId="0" xfId="0" applyFont="1"/>
    <xf numFmtId="0" fontId="94" fillId="0" borderId="0" xfId="49" applyFont="1"/>
    <xf numFmtId="0" fontId="20" fillId="0" borderId="0" xfId="0" applyFont="1"/>
    <xf numFmtId="0" fontId="23" fillId="0" borderId="0" xfId="49"/>
    <xf numFmtId="0" fontId="0" fillId="11" borderId="0" xfId="0" applyFill="1"/>
    <xf numFmtId="0" fontId="95" fillId="11" borderId="2" xfId="0" applyFont="1" applyFill="1" applyBorder="1" applyAlignment="1">
      <alignment horizontal="center" vertical="center"/>
    </xf>
    <xf numFmtId="0" fontId="95" fillId="11" borderId="2" xfId="0" applyFont="1" applyFill="1" applyBorder="1" applyAlignment="1">
      <alignment horizontal="center" vertical="center" wrapText="1"/>
    </xf>
    <xf numFmtId="0" fontId="96" fillId="11" borderId="34" xfId="0" applyFont="1" applyFill="1" applyBorder="1" applyAlignment="1">
      <alignment horizontal="center" vertical="center"/>
    </xf>
    <xf numFmtId="0" fontId="96" fillId="11" borderId="35" xfId="0" applyFont="1" applyFill="1" applyBorder="1" applyAlignment="1">
      <alignment horizontal="center" vertical="center"/>
    </xf>
    <xf numFmtId="0" fontId="1" fillId="11" borderId="2" xfId="0" applyFont="1" applyFill="1" applyBorder="1" applyAlignment="1">
      <alignment horizontal="center" vertical="center"/>
    </xf>
    <xf numFmtId="0" fontId="1" fillId="11" borderId="2" xfId="0" applyFont="1" applyFill="1" applyBorder="1" applyAlignment="1">
      <alignment horizontal="center" vertical="center" wrapText="1"/>
    </xf>
    <xf numFmtId="0" fontId="20" fillId="11" borderId="36" xfId="0" applyFont="1" applyFill="1" applyBorder="1" applyAlignment="1">
      <alignment horizontal="center" vertical="center" wrapText="1"/>
    </xf>
    <xf numFmtId="0" fontId="20" fillId="11" borderId="36" xfId="0" applyFont="1" applyFill="1" applyBorder="1" applyAlignment="1">
      <alignment horizontal="center" vertical="center"/>
    </xf>
    <xf numFmtId="0" fontId="1" fillId="11" borderId="36" xfId="0" applyFont="1" applyFill="1" applyBorder="1" applyAlignment="1">
      <alignment horizontal="center" vertical="center"/>
    </xf>
    <xf numFmtId="0" fontId="1" fillId="11" borderId="36" xfId="0" applyFont="1" applyFill="1" applyBorder="1" applyAlignment="1">
      <alignment horizontal="center" vertical="center" wrapText="1"/>
    </xf>
    <xf numFmtId="0" fontId="1" fillId="11" borderId="37" xfId="0" applyFont="1" applyFill="1" applyBorder="1" applyAlignment="1">
      <alignment horizontal="center" vertical="center"/>
    </xf>
    <xf numFmtId="0" fontId="1" fillId="11" borderId="37" xfId="0" applyFont="1" applyFill="1" applyBorder="1" applyAlignment="1">
      <alignment horizontal="center" vertical="center" wrapText="1"/>
    </xf>
    <xf numFmtId="0" fontId="1" fillId="11" borderId="34" xfId="0" applyFont="1" applyFill="1" applyBorder="1" applyAlignment="1">
      <alignment horizontal="center" vertical="center"/>
    </xf>
    <xf numFmtId="180" fontId="1" fillId="11" borderId="2" xfId="0" applyNumberFormat="1" applyFont="1" applyFill="1" applyBorder="1" applyAlignment="1">
      <alignment horizontal="center" vertical="center"/>
    </xf>
    <xf numFmtId="0" fontId="97" fillId="12" borderId="34" xfId="0" applyFont="1" applyFill="1" applyBorder="1" applyAlignment="1">
      <alignment horizontal="center" vertical="center"/>
    </xf>
    <xf numFmtId="0" fontId="97" fillId="12" borderId="38" xfId="0" applyFont="1" applyFill="1" applyBorder="1" applyAlignment="1">
      <alignment horizontal="center" vertical="center"/>
    </xf>
    <xf numFmtId="0" fontId="30" fillId="12" borderId="39" xfId="0" applyFont="1" applyFill="1" applyBorder="1" applyAlignment="1">
      <alignment horizontal="center" vertical="center"/>
    </xf>
    <xf numFmtId="0" fontId="36" fillId="12" borderId="39" xfId="0" applyFont="1" applyFill="1" applyBorder="1" applyAlignment="1">
      <alignment horizontal="center" vertical="center"/>
    </xf>
    <xf numFmtId="0" fontId="36" fillId="12" borderId="39" xfId="0" applyFont="1" applyFill="1" applyBorder="1" applyAlignment="1">
      <alignment horizontal="center" vertical="center" wrapText="1"/>
    </xf>
    <xf numFmtId="0" fontId="30" fillId="12" borderId="36" xfId="0" applyFont="1" applyFill="1" applyBorder="1"/>
    <xf numFmtId="0" fontId="36" fillId="12" borderId="36" xfId="0" applyFont="1" applyFill="1" applyBorder="1"/>
    <xf numFmtId="180" fontId="36" fillId="12" borderId="36" xfId="0" applyNumberFormat="1" applyFont="1" applyFill="1" applyBorder="1"/>
    <xf numFmtId="0" fontId="98" fillId="0" borderId="0" xfId="0" applyFont="1" applyBorder="1"/>
    <xf numFmtId="0" fontId="99" fillId="0" borderId="0" xfId="0" applyFont="1" applyBorder="1"/>
    <xf numFmtId="180" fontId="99" fillId="0" borderId="0" xfId="0" applyNumberFormat="1" applyFont="1" applyBorder="1"/>
    <xf numFmtId="0" fontId="97" fillId="13" borderId="34" xfId="0" applyFont="1" applyFill="1" applyBorder="1" applyAlignment="1">
      <alignment horizontal="center" vertical="center"/>
    </xf>
    <xf numFmtId="0" fontId="97" fillId="13" borderId="38" xfId="0" applyFont="1" applyFill="1" applyBorder="1" applyAlignment="1">
      <alignment horizontal="center" vertical="center"/>
    </xf>
    <xf numFmtId="0" fontId="97" fillId="13" borderId="35" xfId="0" applyFont="1" applyFill="1" applyBorder="1" applyAlignment="1">
      <alignment horizontal="center" vertical="center"/>
    </xf>
    <xf numFmtId="0" fontId="21" fillId="13" borderId="0" xfId="0" applyFont="1" applyFill="1"/>
    <xf numFmtId="0" fontId="100" fillId="13" borderId="34" xfId="0" applyFont="1" applyFill="1" applyBorder="1" applyAlignment="1">
      <alignment horizontal="center" vertical="center"/>
    </xf>
    <xf numFmtId="0" fontId="100" fillId="13" borderId="38" xfId="0" applyFont="1" applyFill="1" applyBorder="1" applyAlignment="1">
      <alignment horizontal="center" vertical="center"/>
    </xf>
    <xf numFmtId="0" fontId="20" fillId="13" borderId="34" xfId="0" applyFont="1" applyFill="1" applyBorder="1" applyAlignment="1">
      <alignment horizontal="center" vertical="center"/>
    </xf>
    <xf numFmtId="0" fontId="20" fillId="13" borderId="36" xfId="0" applyFont="1" applyFill="1" applyBorder="1" applyAlignment="1">
      <alignment horizontal="center" vertical="center"/>
    </xf>
    <xf numFmtId="0" fontId="1" fillId="13" borderId="34" xfId="0" applyFont="1" applyFill="1" applyBorder="1" applyAlignment="1">
      <alignment horizontal="center" vertical="center"/>
    </xf>
    <xf numFmtId="0" fontId="1" fillId="13" borderId="36" xfId="0" applyFont="1" applyFill="1" applyBorder="1" applyAlignment="1">
      <alignment horizontal="center" vertical="center"/>
    </xf>
    <xf numFmtId="0" fontId="1" fillId="13" borderId="40" xfId="0" applyFont="1" applyFill="1" applyBorder="1" applyAlignment="1">
      <alignment horizontal="center" vertical="center"/>
    </xf>
    <xf numFmtId="0" fontId="1" fillId="13" borderId="35" xfId="0" applyFont="1" applyFill="1" applyBorder="1" applyAlignment="1">
      <alignment horizontal="center" vertical="center"/>
    </xf>
    <xf numFmtId="0" fontId="1" fillId="13" borderId="41" xfId="0" applyFont="1" applyFill="1" applyBorder="1" applyAlignment="1">
      <alignment horizontal="center" vertical="center"/>
    </xf>
    <xf numFmtId="0" fontId="101" fillId="13" borderId="37" xfId="0" applyFont="1" applyFill="1" applyBorder="1" applyAlignment="1">
      <alignment horizontal="center" vertical="center"/>
    </xf>
    <xf numFmtId="180" fontId="101" fillId="13" borderId="37" xfId="0" applyNumberFormat="1" applyFont="1" applyFill="1" applyBorder="1" applyAlignment="1">
      <alignment horizontal="center" vertical="center"/>
    </xf>
    <xf numFmtId="0" fontId="101" fillId="13" borderId="34" xfId="0" applyFont="1" applyFill="1" applyBorder="1" applyAlignment="1">
      <alignment horizontal="center" vertical="center"/>
    </xf>
    <xf numFmtId="0" fontId="36" fillId="13" borderId="36" xfId="0" applyFont="1" applyFill="1" applyBorder="1" applyAlignment="1">
      <alignment horizontal="center" vertical="center"/>
    </xf>
    <xf numFmtId="0" fontId="101" fillId="13" borderId="36" xfId="0" applyFont="1" applyFill="1" applyBorder="1" applyAlignment="1">
      <alignment horizontal="center" vertical="center"/>
    </xf>
    <xf numFmtId="0" fontId="102" fillId="13" borderId="34" xfId="0" applyFont="1" applyFill="1" applyBorder="1" applyAlignment="1">
      <alignment horizontal="center"/>
    </xf>
    <xf numFmtId="0" fontId="102" fillId="13" borderId="38" xfId="0" applyFont="1" applyFill="1" applyBorder="1" applyAlignment="1">
      <alignment horizontal="center"/>
    </xf>
    <xf numFmtId="0" fontId="102" fillId="13" borderId="35" xfId="0" applyFont="1" applyFill="1" applyBorder="1" applyAlignment="1">
      <alignment horizontal="center"/>
    </xf>
    <xf numFmtId="0" fontId="20" fillId="13" borderId="36" xfId="0" applyFont="1" applyFill="1" applyBorder="1" applyAlignment="1">
      <alignment horizontal="center" vertical="center" wrapText="1"/>
    </xf>
    <xf numFmtId="0" fontId="1" fillId="13" borderId="36" xfId="0" applyFont="1" applyFill="1" applyBorder="1" applyAlignment="1">
      <alignment horizontal="center" vertical="center" wrapText="1"/>
    </xf>
    <xf numFmtId="0" fontId="103" fillId="13" borderId="36" xfId="0" applyFont="1" applyFill="1" applyBorder="1" applyAlignment="1">
      <alignment horizontal="center" vertical="center"/>
    </xf>
    <xf numFmtId="3" fontId="1" fillId="13" borderId="36" xfId="0" applyNumberFormat="1" applyFont="1" applyFill="1" applyBorder="1" applyAlignment="1">
      <alignment horizontal="center" vertical="center"/>
    </xf>
    <xf numFmtId="3" fontId="1" fillId="13" borderId="34" xfId="0" applyNumberFormat="1" applyFont="1" applyFill="1" applyBorder="1" applyAlignment="1">
      <alignment horizontal="center" vertical="center"/>
    </xf>
    <xf numFmtId="0" fontId="0" fillId="13" borderId="0" xfId="0" applyFill="1"/>
    <xf numFmtId="0" fontId="95" fillId="0" borderId="40" xfId="0" applyFont="1" applyBorder="1" applyAlignment="1">
      <alignment horizontal="center"/>
    </xf>
    <xf numFmtId="0" fontId="95" fillId="0" borderId="42" xfId="0" applyFont="1" applyBorder="1" applyAlignment="1">
      <alignment horizontal="center"/>
    </xf>
    <xf numFmtId="0" fontId="95" fillId="0" borderId="43" xfId="0" applyFont="1" applyBorder="1" applyAlignment="1">
      <alignment horizontal="center"/>
    </xf>
    <xf numFmtId="0" fontId="104" fillId="0" borderId="37" xfId="0" applyFont="1" applyBorder="1" applyAlignment="1">
      <alignment horizontal="center" vertical="center"/>
    </xf>
    <xf numFmtId="0" fontId="33" fillId="0" borderId="36" xfId="0" applyFont="1" applyBorder="1" applyAlignment="1">
      <alignment horizontal="center" vertical="center" wrapText="1"/>
    </xf>
    <xf numFmtId="0" fontId="33" fillId="0" borderId="36" xfId="0" applyFont="1" applyBorder="1" applyAlignment="1">
      <alignment horizontal="center" vertical="center"/>
    </xf>
    <xf numFmtId="0" fontId="33" fillId="0" borderId="35" xfId="0" applyFont="1" applyBorder="1" applyAlignment="1">
      <alignment horizontal="center" vertical="center"/>
    </xf>
    <xf numFmtId="0" fontId="75" fillId="0" borderId="36" xfId="0" applyFont="1" applyBorder="1" applyAlignment="1">
      <alignment horizontal="center" vertical="center" wrapText="1"/>
    </xf>
    <xf numFmtId="0" fontId="75" fillId="0" borderId="36" xfId="0" applyFont="1" applyBorder="1" applyAlignment="1">
      <alignment horizontal="center" vertical="center"/>
    </xf>
    <xf numFmtId="0" fontId="105" fillId="0" borderId="36" xfId="0" applyFont="1" applyBorder="1" applyAlignment="1">
      <alignment horizontal="center" vertical="center"/>
    </xf>
    <xf numFmtId="0" fontId="75" fillId="0" borderId="35" xfId="0" applyFont="1" applyBorder="1" applyAlignment="1">
      <alignment horizontal="center" vertical="center"/>
    </xf>
    <xf numFmtId="0" fontId="0" fillId="3" borderId="0" xfId="0" applyFill="1"/>
    <xf numFmtId="0" fontId="106" fillId="11" borderId="34" xfId="0" applyFont="1" applyFill="1" applyBorder="1" applyAlignment="1">
      <alignment horizontal="center" vertical="center"/>
    </xf>
    <xf numFmtId="0" fontId="106" fillId="11" borderId="38" xfId="0" applyFont="1" applyFill="1" applyBorder="1" applyAlignment="1">
      <alignment horizontal="center" vertical="center"/>
    </xf>
    <xf numFmtId="0" fontId="106" fillId="11" borderId="35" xfId="0" applyFont="1" applyFill="1" applyBorder="1" applyAlignment="1">
      <alignment horizontal="center" vertical="center"/>
    </xf>
    <xf numFmtId="0" fontId="21" fillId="14" borderId="36" xfId="0" applyFont="1" applyFill="1" applyBorder="1" applyAlignment="1">
      <alignment horizontal="center"/>
    </xf>
    <xf numFmtId="0" fontId="33" fillId="14" borderId="36" xfId="0" applyFont="1" applyFill="1" applyBorder="1" applyAlignment="1">
      <alignment horizontal="center" vertical="center"/>
    </xf>
    <xf numFmtId="0" fontId="105" fillId="14" borderId="36" xfId="0" applyFont="1" applyFill="1" applyBorder="1" applyAlignment="1">
      <alignment horizontal="center" vertical="center"/>
    </xf>
    <xf numFmtId="0" fontId="1" fillId="11" borderId="35" xfId="0" applyFont="1" applyFill="1" applyBorder="1" applyAlignment="1">
      <alignment horizontal="center" vertical="center"/>
    </xf>
    <xf numFmtId="0" fontId="1" fillId="11" borderId="39" xfId="0" applyFont="1" applyFill="1" applyBorder="1" applyAlignment="1">
      <alignment horizontal="center" vertical="center" wrapText="1"/>
    </xf>
    <xf numFmtId="0" fontId="0" fillId="14" borderId="0" xfId="0" applyFill="1"/>
    <xf numFmtId="0" fontId="32" fillId="14" borderId="36" xfId="0" applyFont="1" applyFill="1" applyBorder="1" applyAlignment="1">
      <alignment horizontal="center" vertical="center"/>
    </xf>
    <xf numFmtId="0" fontId="97" fillId="12" borderId="35" xfId="0" applyFont="1" applyFill="1" applyBorder="1" applyAlignment="1">
      <alignment horizontal="center" vertical="center"/>
    </xf>
    <xf numFmtId="0" fontId="36" fillId="12" borderId="41" xfId="0" applyFont="1" applyFill="1" applyBorder="1" applyAlignment="1">
      <alignment horizontal="center" vertical="center"/>
    </xf>
    <xf numFmtId="0" fontId="36" fillId="12" borderId="41" xfId="0" applyFont="1" applyFill="1" applyBorder="1" applyAlignment="1">
      <alignment horizontal="center" vertical="center" wrapText="1"/>
    </xf>
    <xf numFmtId="0" fontId="1" fillId="12" borderId="39" xfId="0" applyFont="1" applyFill="1" applyBorder="1" applyAlignment="1">
      <alignment horizontal="center"/>
    </xf>
    <xf numFmtId="2" fontId="36" fillId="12" borderId="36" xfId="0" applyNumberFormat="1" applyFont="1" applyFill="1" applyBorder="1"/>
    <xf numFmtId="181" fontId="36" fillId="12" borderId="36" xfId="0" applyNumberFormat="1" applyFont="1" applyFill="1" applyBorder="1"/>
    <xf numFmtId="0" fontId="36" fillId="12" borderId="41" xfId="0" applyFont="1" applyFill="1" applyBorder="1"/>
    <xf numFmtId="0" fontId="101" fillId="12" borderId="36" xfId="0" applyFont="1" applyFill="1" applyBorder="1"/>
    <xf numFmtId="180" fontId="101" fillId="12" borderId="36" xfId="0" applyNumberFormat="1" applyFont="1" applyFill="1" applyBorder="1"/>
    <xf numFmtId="2" fontId="99" fillId="0" borderId="0" xfId="0" applyNumberFormat="1" applyFont="1" applyBorder="1"/>
    <xf numFmtId="181" fontId="99" fillId="0" borderId="0" xfId="0" applyNumberFormat="1" applyFont="1" applyBorder="1"/>
    <xf numFmtId="0" fontId="107" fillId="0" borderId="0" xfId="0" applyFont="1" applyBorder="1"/>
    <xf numFmtId="180" fontId="107" fillId="0" borderId="0" xfId="0" applyNumberFormat="1" applyFont="1" applyBorder="1"/>
    <xf numFmtId="0" fontId="100" fillId="13" borderId="35" xfId="0" applyFont="1" applyFill="1" applyBorder="1" applyAlignment="1">
      <alignment horizontal="center" vertical="center"/>
    </xf>
    <xf numFmtId="0" fontId="0" fillId="15" borderId="0" xfId="0" applyFill="1"/>
    <xf numFmtId="0" fontId="102" fillId="15" borderId="34" xfId="0" applyFont="1" applyFill="1" applyBorder="1" applyAlignment="1">
      <alignment horizontal="center" vertical="center"/>
    </xf>
    <xf numFmtId="0" fontId="102" fillId="15" borderId="38" xfId="0" applyFont="1" applyFill="1" applyBorder="1" applyAlignment="1">
      <alignment horizontal="center" vertical="center"/>
    </xf>
    <xf numFmtId="0" fontId="20" fillId="15" borderId="39" xfId="0" applyFont="1" applyFill="1" applyBorder="1" applyAlignment="1">
      <alignment horizontal="center" vertical="center" wrapText="1"/>
    </xf>
    <xf numFmtId="0" fontId="20" fillId="15" borderId="39" xfId="0" applyFont="1" applyFill="1" applyBorder="1" applyAlignment="1">
      <alignment horizontal="center" vertical="center"/>
    </xf>
    <xf numFmtId="0" fontId="20" fillId="15" borderId="36" xfId="0" applyFont="1" applyFill="1" applyBorder="1" applyAlignment="1">
      <alignment horizontal="center" vertical="center" wrapText="1"/>
    </xf>
    <xf numFmtId="0" fontId="20" fillId="15" borderId="36" xfId="0" applyFont="1" applyFill="1" applyBorder="1" applyAlignment="1">
      <alignment horizontal="center" vertical="center"/>
    </xf>
    <xf numFmtId="0" fontId="1" fillId="15" borderId="36" xfId="0" applyFont="1" applyFill="1" applyBorder="1" applyAlignment="1">
      <alignment horizontal="center" vertical="center"/>
    </xf>
    <xf numFmtId="0" fontId="1" fillId="13" borderId="37" xfId="0" applyFont="1" applyFill="1" applyBorder="1" applyAlignment="1">
      <alignment horizontal="center" vertical="center" wrapText="1"/>
    </xf>
    <xf numFmtId="0" fontId="4" fillId="13" borderId="36" xfId="0" applyFont="1" applyFill="1" applyBorder="1" applyAlignment="1">
      <alignment horizontal="center" vertical="center"/>
    </xf>
    <xf numFmtId="0" fontId="21" fillId="13" borderId="36" xfId="0" applyFont="1" applyFill="1" applyBorder="1"/>
    <xf numFmtId="0" fontId="21" fillId="15" borderId="0" xfId="0" applyFont="1" applyFill="1"/>
    <xf numFmtId="0" fontId="100" fillId="15" borderId="34" xfId="0" applyFont="1" applyFill="1" applyBorder="1" applyAlignment="1">
      <alignment horizontal="center" vertical="center"/>
    </xf>
    <xf numFmtId="0" fontId="100" fillId="15" borderId="38" xfId="0" applyFont="1" applyFill="1" applyBorder="1" applyAlignment="1">
      <alignment horizontal="center" vertical="center"/>
    </xf>
    <xf numFmtId="0" fontId="62" fillId="15" borderId="36" xfId="0" applyFont="1" applyFill="1" applyBorder="1" applyAlignment="1">
      <alignment horizontal="center" vertical="center"/>
    </xf>
    <xf numFmtId="0" fontId="21" fillId="15" borderId="36" xfId="0" applyFont="1" applyFill="1" applyBorder="1" applyAlignment="1">
      <alignment horizontal="center" vertical="center"/>
    </xf>
    <xf numFmtId="0" fontId="20" fillId="13" borderId="37" xfId="0" applyFont="1" applyFill="1" applyBorder="1" applyAlignment="1">
      <alignment horizontal="center" vertical="center"/>
    </xf>
    <xf numFmtId="0" fontId="1" fillId="13" borderId="35" xfId="0" applyFont="1" applyFill="1" applyBorder="1" applyAlignment="1">
      <alignment horizontal="center" vertical="center" wrapText="1"/>
    </xf>
    <xf numFmtId="0" fontId="75" fillId="14" borderId="36" xfId="0" applyFont="1" applyFill="1" applyBorder="1" applyAlignment="1">
      <alignment horizontal="center" vertical="center"/>
    </xf>
    <xf numFmtId="0" fontId="102" fillId="15" borderId="35" xfId="0" applyFont="1" applyFill="1" applyBorder="1" applyAlignment="1">
      <alignment horizontal="center" vertical="center"/>
    </xf>
    <xf numFmtId="0" fontId="102" fillId="15" borderId="36" xfId="0" applyFont="1" applyFill="1" applyBorder="1" applyAlignment="1">
      <alignment horizontal="center" vertical="center"/>
    </xf>
    <xf numFmtId="0" fontId="1" fillId="15" borderId="36" xfId="0" applyFont="1" applyFill="1" applyBorder="1" applyAlignment="1">
      <alignment horizontal="center" vertical="center" wrapText="1"/>
    </xf>
    <xf numFmtId="0" fontId="36" fillId="15" borderId="0" xfId="0" applyFont="1" applyFill="1" applyBorder="1"/>
    <xf numFmtId="0" fontId="100" fillId="15" borderId="35" xfId="0" applyFont="1" applyFill="1" applyBorder="1" applyAlignment="1">
      <alignment horizontal="center" vertical="center"/>
    </xf>
    <xf numFmtId="0" fontId="102" fillId="15" borderId="40" xfId="0" applyFont="1" applyFill="1" applyBorder="1" applyAlignment="1">
      <alignment horizontal="center" vertical="center"/>
    </xf>
    <xf numFmtId="0" fontId="102" fillId="15" borderId="42" xfId="0" applyFont="1" applyFill="1" applyBorder="1" applyAlignment="1">
      <alignment horizontal="center" vertical="center"/>
    </xf>
    <xf numFmtId="0" fontId="4" fillId="15" borderId="36" xfId="0" applyFont="1" applyFill="1" applyBorder="1" applyAlignment="1">
      <alignment horizontal="center" vertical="center"/>
    </xf>
    <xf numFmtId="0" fontId="4" fillId="15" borderId="36" xfId="0" applyFont="1" applyFill="1" applyBorder="1"/>
    <xf numFmtId="0" fontId="4" fillId="15" borderId="36" xfId="0" applyFont="1" applyFill="1" applyBorder="1" applyAlignment="1">
      <alignment horizontal="center"/>
    </xf>
    <xf numFmtId="0" fontId="68" fillId="15" borderId="36" xfId="0" applyFont="1" applyFill="1" applyBorder="1" applyAlignment="1">
      <alignment horizontal="center" vertical="center" wrapText="1"/>
    </xf>
    <xf numFmtId="0" fontId="68" fillId="15" borderId="36" xfId="0" applyFont="1" applyFill="1" applyBorder="1" applyAlignment="1">
      <alignment horizontal="center" vertical="center"/>
    </xf>
    <xf numFmtId="0" fontId="10" fillId="0" borderId="36" xfId="0" applyFont="1" applyBorder="1" applyAlignment="1">
      <alignment wrapText="1"/>
    </xf>
    <xf numFmtId="0" fontId="10" fillId="0" borderId="36" xfId="0" applyFont="1" applyBorder="1"/>
    <xf numFmtId="0" fontId="0" fillId="0" borderId="36" xfId="0" applyBorder="1" applyAlignment="1">
      <alignment wrapText="1"/>
    </xf>
    <xf numFmtId="0" fontId="23" fillId="0" borderId="36" xfId="49" applyBorder="1" applyAlignment="1">
      <alignment wrapText="1"/>
    </xf>
    <xf numFmtId="0" fontId="96" fillId="0" borderId="40" xfId="0" applyFont="1" applyBorder="1" applyAlignment="1">
      <alignment horizontal="center" vertical="center"/>
    </xf>
    <xf numFmtId="0" fontId="96" fillId="0" borderId="42" xfId="0" applyFont="1" applyBorder="1" applyAlignment="1">
      <alignment horizontal="center" vertical="center"/>
    </xf>
    <xf numFmtId="0" fontId="96" fillId="0" borderId="43" xfId="0" applyFont="1" applyBorder="1" applyAlignment="1">
      <alignment horizontal="center" vertical="center"/>
    </xf>
    <xf numFmtId="0" fontId="96" fillId="0" borderId="44" xfId="0" applyFont="1" applyBorder="1" applyAlignment="1">
      <alignment horizontal="center" vertical="center"/>
    </xf>
    <xf numFmtId="0" fontId="96" fillId="0" borderId="0" xfId="0" applyFont="1" applyBorder="1" applyAlignment="1">
      <alignment horizontal="center" vertical="center"/>
    </xf>
    <xf numFmtId="0" fontId="96" fillId="0" borderId="45" xfId="0" applyFont="1" applyBorder="1" applyAlignment="1">
      <alignment horizontal="center" vertical="center"/>
    </xf>
    <xf numFmtId="0" fontId="108" fillId="0" borderId="40" xfId="0" applyFont="1" applyBorder="1" applyAlignment="1">
      <alignment horizontal="center" vertical="center"/>
    </xf>
    <xf numFmtId="0" fontId="99" fillId="0" borderId="34" xfId="0" applyFont="1" applyBorder="1" applyAlignment="1">
      <alignment horizontal="center" vertical="center" wrapText="1"/>
    </xf>
    <xf numFmtId="0" fontId="109" fillId="0" borderId="40" xfId="0" applyFont="1" applyBorder="1" applyAlignment="1">
      <alignment horizontal="center" vertical="center"/>
    </xf>
    <xf numFmtId="0" fontId="99" fillId="0" borderId="36" xfId="0" applyFont="1" applyBorder="1" applyAlignment="1">
      <alignment horizontal="center" vertical="center" wrapText="1"/>
    </xf>
    <xf numFmtId="0" fontId="108" fillId="0" borderId="44" xfId="0" applyFont="1" applyBorder="1" applyAlignment="1">
      <alignment horizontal="center" vertical="center"/>
    </xf>
    <xf numFmtId="0" fontId="107" fillId="0" borderId="44" xfId="0" applyFont="1" applyBorder="1" applyAlignment="1">
      <alignment horizontal="center" vertical="center"/>
    </xf>
    <xf numFmtId="0" fontId="99" fillId="0" borderId="37" xfId="0" applyFont="1" applyBorder="1" applyAlignment="1">
      <alignment horizontal="center" vertical="center" wrapText="1"/>
    </xf>
    <xf numFmtId="0" fontId="99" fillId="0" borderId="40" xfId="0" applyFont="1" applyBorder="1" applyAlignment="1">
      <alignment horizontal="center" vertical="center" wrapText="1"/>
    </xf>
    <xf numFmtId="0" fontId="110" fillId="0" borderId="40" xfId="0" applyFont="1" applyBorder="1" applyAlignment="1">
      <alignment horizontal="center" vertical="center"/>
    </xf>
    <xf numFmtId="0" fontId="0" fillId="0" borderId="36" xfId="0" applyBorder="1" applyAlignment="1">
      <alignment horizontal="center" vertical="center" wrapText="1"/>
    </xf>
    <xf numFmtId="0" fontId="111" fillId="0" borderId="40" xfId="0" applyFont="1" applyBorder="1" applyAlignment="1">
      <alignment horizontal="center" vertical="center"/>
    </xf>
    <xf numFmtId="0" fontId="110" fillId="0" borderId="44" xfId="0" applyFont="1" applyBorder="1" applyAlignment="1">
      <alignment horizontal="center" vertical="center"/>
    </xf>
    <xf numFmtId="0" fontId="102" fillId="15" borderId="43" xfId="0" applyFont="1" applyFill="1" applyBorder="1" applyAlignment="1">
      <alignment horizontal="center" vertical="center"/>
    </xf>
    <xf numFmtId="0" fontId="112" fillId="0" borderId="44" xfId="0" applyFont="1" applyBorder="1" applyAlignment="1">
      <alignment horizontal="center" vertical="center"/>
    </xf>
    <xf numFmtId="0" fontId="112" fillId="0" borderId="41" xfId="0" applyFont="1" applyBorder="1" applyAlignment="1">
      <alignment horizontal="center" vertical="center"/>
    </xf>
    <xf numFmtId="0" fontId="110" fillId="0" borderId="41" xfId="0" applyFont="1" applyBorder="1" applyAlignment="1">
      <alignment horizontal="center" vertical="center"/>
    </xf>
    <xf numFmtId="0" fontId="0" fillId="0" borderId="36" xfId="0" applyBorder="1" applyAlignment="1">
      <alignment horizontal="center" vertical="center"/>
    </xf>
    <xf numFmtId="0" fontId="1" fillId="0" borderId="0" xfId="0" applyFont="1" applyAlignment="1">
      <alignment horizontal="center" vertical="center"/>
    </xf>
    <xf numFmtId="0" fontId="1" fillId="0" borderId="0" xfId="0" applyFont="1" applyFill="1"/>
    <xf numFmtId="0" fontId="63" fillId="0" borderId="0" xfId="0" applyFont="1"/>
    <xf numFmtId="0" fontId="88" fillId="15" borderId="19" xfId="0" applyFont="1" applyFill="1" applyBorder="1" applyAlignment="1">
      <alignment horizontal="center"/>
    </xf>
    <xf numFmtId="0" fontId="88" fillId="15" borderId="21" xfId="0" applyFont="1" applyFill="1" applyBorder="1" applyAlignment="1">
      <alignment horizontal="center"/>
    </xf>
    <xf numFmtId="0" fontId="88" fillId="15" borderId="20" xfId="0" applyFont="1" applyFill="1" applyBorder="1" applyAlignment="1">
      <alignment horizontal="center"/>
    </xf>
    <xf numFmtId="0" fontId="113" fillId="5" borderId="2" xfId="0" applyFont="1" applyFill="1" applyBorder="1" applyAlignment="1">
      <alignment horizontal="center" vertical="center"/>
    </xf>
    <xf numFmtId="0" fontId="4" fillId="3" borderId="2" xfId="0" applyFont="1" applyFill="1" applyBorder="1" applyAlignment="1">
      <alignment horizontal="center" vertical="center"/>
    </xf>
    <xf numFmtId="3" fontId="1" fillId="0" borderId="2" xfId="0" applyNumberFormat="1" applyFont="1" applyBorder="1" applyAlignment="1">
      <alignment horizontal="center"/>
    </xf>
    <xf numFmtId="0" fontId="114" fillId="0" borderId="2" xfId="0" applyFont="1" applyBorder="1" applyAlignment="1">
      <alignment horizontal="center"/>
    </xf>
    <xf numFmtId="3" fontId="114" fillId="0" borderId="2" xfId="0" applyNumberFormat="1" applyFont="1" applyBorder="1" applyAlignment="1">
      <alignment horizontal="center"/>
    </xf>
    <xf numFmtId="0" fontId="4" fillId="0" borderId="2" xfId="0" applyFont="1" applyFill="1" applyBorder="1" applyAlignment="1">
      <alignment horizontal="center" vertical="center"/>
    </xf>
    <xf numFmtId="3" fontId="4" fillId="0" borderId="2" xfId="0" applyNumberFormat="1" applyFont="1" applyFill="1" applyBorder="1" applyAlignment="1">
      <alignment horizontal="center" vertical="center"/>
    </xf>
    <xf numFmtId="0" fontId="113" fillId="0" borderId="0" xfId="0" applyFont="1" applyFill="1" applyBorder="1" applyAlignment="1">
      <alignment horizontal="center" vertical="center"/>
    </xf>
    <xf numFmtId="0" fontId="113" fillId="0" borderId="0" xfId="0" applyFont="1" applyFill="1" applyBorder="1" applyAlignment="1">
      <alignment vertical="center"/>
    </xf>
    <xf numFmtId="0" fontId="115" fillId="0" borderId="0" xfId="0" applyFont="1" applyFill="1" applyBorder="1" applyAlignment="1">
      <alignment horizontal="center" vertical="center"/>
    </xf>
    <xf numFmtId="0" fontId="63" fillId="0" borderId="0" xfId="0" applyFont="1" applyFill="1" applyBorder="1" applyAlignment="1">
      <alignment vertical="center"/>
    </xf>
    <xf numFmtId="0" fontId="63" fillId="0" borderId="0" xfId="0" applyFont="1" applyFill="1" applyBorder="1" applyAlignment="1">
      <alignment horizontal="center" vertical="center"/>
    </xf>
    <xf numFmtId="0" fontId="88" fillId="15" borderId="34" xfId="0" applyFont="1" applyFill="1" applyBorder="1" applyAlignment="1">
      <alignment horizontal="center" vertical="center" wrapText="1"/>
    </xf>
    <xf numFmtId="0" fontId="116" fillId="15" borderId="38" xfId="0" applyFont="1" applyFill="1" applyBorder="1" applyAlignment="1">
      <alignment horizontal="center" vertical="center" wrapText="1"/>
    </xf>
    <xf numFmtId="0" fontId="116" fillId="15" borderId="35" xfId="0" applyFont="1" applyFill="1" applyBorder="1" applyAlignment="1">
      <alignment horizontal="center" vertical="center" wrapText="1"/>
    </xf>
    <xf numFmtId="0" fontId="113" fillId="5" borderId="46" xfId="0" applyFont="1" applyFill="1" applyBorder="1" applyAlignment="1">
      <alignment horizontal="center" vertical="center"/>
    </xf>
    <xf numFmtId="0" fontId="113" fillId="5" borderId="47" xfId="0" applyFont="1" applyFill="1" applyBorder="1" applyAlignment="1">
      <alignment horizontal="center" vertical="center"/>
    </xf>
    <xf numFmtId="0" fontId="113" fillId="5" borderId="48" xfId="0" applyFont="1" applyFill="1" applyBorder="1" applyAlignment="1">
      <alignment horizontal="center" vertical="center"/>
    </xf>
    <xf numFmtId="0" fontId="88" fillId="15" borderId="49" xfId="0" applyFont="1" applyFill="1" applyBorder="1" applyAlignment="1">
      <alignment horizontal="center" vertical="center" wrapText="1"/>
    </xf>
    <xf numFmtId="0" fontId="88" fillId="15" borderId="50" xfId="0" applyFont="1" applyFill="1" applyBorder="1" applyAlignment="1">
      <alignment horizontal="center" vertical="center" wrapText="1"/>
    </xf>
    <xf numFmtId="0" fontId="88" fillId="15" borderId="48" xfId="0" applyFont="1" applyFill="1" applyBorder="1" applyAlignment="1">
      <alignment horizontal="center" vertical="center" wrapText="1"/>
    </xf>
    <xf numFmtId="0" fontId="115" fillId="0" borderId="51" xfId="0" applyFont="1" applyBorder="1" applyAlignment="1">
      <alignment horizontal="center" vertical="center"/>
    </xf>
    <xf numFmtId="0" fontId="115" fillId="0" borderId="19" xfId="0" applyFont="1" applyBorder="1" applyAlignment="1">
      <alignment horizontal="center" vertical="center" wrapText="1"/>
    </xf>
    <xf numFmtId="0" fontId="115" fillId="0" borderId="52" xfId="0" applyFont="1" applyBorder="1" applyAlignment="1">
      <alignment horizontal="center" vertical="center" wrapText="1"/>
    </xf>
    <xf numFmtId="0" fontId="113" fillId="5" borderId="53" xfId="0" applyFont="1" applyFill="1" applyBorder="1" applyAlignment="1">
      <alignment horizontal="center" vertical="center"/>
    </xf>
    <xf numFmtId="0" fontId="113" fillId="5" borderId="19" xfId="0" applyFont="1" applyFill="1" applyBorder="1" applyAlignment="1">
      <alignment horizontal="center" vertical="center" wrapText="1"/>
    </xf>
    <xf numFmtId="0" fontId="113" fillId="5" borderId="52" xfId="0" applyFont="1" applyFill="1" applyBorder="1" applyAlignment="1">
      <alignment horizontal="center" vertical="center" wrapText="1"/>
    </xf>
    <xf numFmtId="0" fontId="115" fillId="0" borderId="51" xfId="0" applyFont="1" applyBorder="1" applyAlignment="1">
      <alignment horizontal="center" vertical="center" wrapText="1"/>
    </xf>
    <xf numFmtId="0" fontId="1" fillId="0" borderId="54" xfId="0" applyFont="1" applyFill="1" applyBorder="1" applyAlignment="1">
      <alignment horizontal="center" vertical="center"/>
    </xf>
    <xf numFmtId="0" fontId="1" fillId="0" borderId="55" xfId="0" applyFont="1" applyFill="1" applyBorder="1" applyAlignment="1">
      <alignment horizontal="center" vertical="center" wrapText="1"/>
    </xf>
    <xf numFmtId="0" fontId="1" fillId="0" borderId="56" xfId="0" applyFont="1" applyFill="1" applyBorder="1" applyAlignment="1">
      <alignment horizontal="center" vertical="center" wrapText="1"/>
    </xf>
    <xf numFmtId="0" fontId="1" fillId="0" borderId="51" xfId="0" applyFont="1" applyBorder="1" applyAlignment="1">
      <alignment horizontal="center" vertical="center"/>
    </xf>
    <xf numFmtId="0" fontId="1" fillId="0" borderId="19"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0" xfId="0" applyFont="1" applyFill="1" applyBorder="1" applyAlignment="1">
      <alignment horizontal="center" vertical="center"/>
    </xf>
    <xf numFmtId="0" fontId="117" fillId="0" borderId="0"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88" fillId="0" borderId="57" xfId="0" applyFont="1" applyFill="1" applyBorder="1" applyAlignment="1">
      <alignment horizontal="center"/>
    </xf>
    <xf numFmtId="0" fontId="88" fillId="0" borderId="19" xfId="0" applyFont="1" applyBorder="1" applyAlignment="1">
      <alignment horizontal="center"/>
    </xf>
    <xf numFmtId="0" fontId="88" fillId="0" borderId="52" xfId="0" applyFont="1" applyBorder="1" applyAlignment="1">
      <alignment horizontal="center"/>
    </xf>
    <xf numFmtId="0" fontId="1" fillId="0" borderId="0" xfId="0" applyFont="1" applyFill="1" applyAlignment="1"/>
    <xf numFmtId="0" fontId="88" fillId="0" borderId="19" xfId="0" applyFont="1" applyBorder="1" applyAlignment="1">
      <alignment horizontal="center" wrapText="1"/>
    </xf>
    <xf numFmtId="0" fontId="88" fillId="0" borderId="20" xfId="0" applyFont="1" applyBorder="1" applyAlignment="1">
      <alignment horizontal="center"/>
    </xf>
    <xf numFmtId="0" fontId="1" fillId="0" borderId="0" xfId="0" applyFont="1" applyFill="1" applyBorder="1"/>
    <xf numFmtId="0" fontId="88" fillId="15" borderId="40" xfId="0" applyFont="1" applyFill="1" applyBorder="1" applyAlignment="1">
      <alignment horizontal="center" vertical="center"/>
    </xf>
    <xf numFmtId="0" fontId="88" fillId="15" borderId="43" xfId="0" applyFont="1" applyFill="1" applyBorder="1" applyAlignment="1">
      <alignment horizontal="center" vertical="center"/>
    </xf>
    <xf numFmtId="0" fontId="101" fillId="15" borderId="58" xfId="0" applyFont="1" applyFill="1" applyBorder="1" applyAlignment="1">
      <alignment horizontal="center" vertical="center"/>
    </xf>
    <xf numFmtId="0" fontId="101" fillId="15" borderId="59" xfId="0" applyFont="1" applyFill="1" applyBorder="1" applyAlignment="1">
      <alignment horizontal="center" vertical="center"/>
    </xf>
    <xf numFmtId="0" fontId="113" fillId="5" borderId="34" xfId="0" applyFont="1" applyFill="1" applyBorder="1" applyAlignment="1">
      <alignment horizontal="center" vertical="center"/>
    </xf>
    <xf numFmtId="0" fontId="113" fillId="5" borderId="36" xfId="0" applyFont="1" applyFill="1" applyBorder="1" applyAlignment="1">
      <alignment horizontal="center" vertical="center"/>
    </xf>
    <xf numFmtId="0" fontId="20" fillId="5" borderId="51" xfId="0" applyFont="1" applyFill="1" applyBorder="1" applyAlignment="1">
      <alignment horizontal="center" vertical="center"/>
    </xf>
    <xf numFmtId="0" fontId="20" fillId="5" borderId="60" xfId="0" applyFont="1" applyFill="1" applyBorder="1" applyAlignment="1">
      <alignment horizontal="center" vertical="center"/>
    </xf>
    <xf numFmtId="0" fontId="88" fillId="15" borderId="35" xfId="0" applyFont="1" applyFill="1" applyBorder="1" applyAlignment="1">
      <alignment horizontal="center" vertical="center" wrapText="1"/>
    </xf>
    <xf numFmtId="0" fontId="115" fillId="0" borderId="22" xfId="0" applyFont="1" applyBorder="1" applyAlignment="1">
      <alignment horizontal="center" vertical="center"/>
    </xf>
    <xf numFmtId="3" fontId="1" fillId="0" borderId="22" xfId="0" applyNumberFormat="1" applyFont="1" applyFill="1" applyBorder="1" applyAlignment="1">
      <alignment horizontal="center" vertical="center"/>
    </xf>
    <xf numFmtId="0" fontId="1" fillId="0" borderId="51" xfId="0" applyFont="1" applyBorder="1" applyAlignment="1">
      <alignment horizontal="center"/>
    </xf>
    <xf numFmtId="0" fontId="1" fillId="0" borderId="60" xfId="0" applyFont="1" applyBorder="1" applyAlignment="1">
      <alignment horizontal="left" vertical="center" wrapText="1"/>
    </xf>
    <xf numFmtId="0" fontId="4" fillId="0" borderId="46" xfId="0" applyFont="1" applyFill="1" applyBorder="1" applyAlignment="1">
      <alignment horizontal="center" vertical="center"/>
    </xf>
    <xf numFmtId="0" fontId="1" fillId="0" borderId="61" xfId="0" applyFont="1" applyFill="1" applyBorder="1" applyAlignment="1">
      <alignment horizontal="center" vertical="center"/>
    </xf>
    <xf numFmtId="0" fontId="115" fillId="0" borderId="2" xfId="0" applyFont="1" applyBorder="1" applyAlignment="1">
      <alignment horizontal="center" vertical="center"/>
    </xf>
    <xf numFmtId="3" fontId="1" fillId="0" borderId="2" xfId="0" applyNumberFormat="1" applyFont="1" applyFill="1" applyBorder="1" applyAlignment="1">
      <alignment horizontal="center" vertical="center"/>
    </xf>
    <xf numFmtId="0" fontId="1" fillId="0" borderId="60" xfId="0" applyFont="1" applyBorder="1" applyAlignment="1">
      <alignment horizontal="left" wrapText="1"/>
    </xf>
    <xf numFmtId="3" fontId="1" fillId="0" borderId="60" xfId="0" applyNumberFormat="1" applyFont="1" applyFill="1" applyBorder="1" applyAlignment="1">
      <alignment horizontal="center" vertical="center"/>
    </xf>
    <xf numFmtId="0" fontId="5" fillId="0" borderId="24" xfId="0" applyFont="1" applyFill="1" applyBorder="1" applyAlignment="1"/>
    <xf numFmtId="0" fontId="115" fillId="0" borderId="25" xfId="0" applyFont="1" applyBorder="1" applyAlignment="1">
      <alignment horizontal="center" vertical="center"/>
    </xf>
    <xf numFmtId="3" fontId="1" fillId="0" borderId="25" xfId="0" applyNumberFormat="1" applyFont="1" applyFill="1" applyBorder="1" applyAlignment="1">
      <alignment horizontal="center" vertical="center"/>
    </xf>
    <xf numFmtId="0" fontId="115" fillId="0" borderId="57" xfId="0" applyFont="1" applyBorder="1" applyAlignment="1">
      <alignment horizontal="center" vertical="center"/>
    </xf>
    <xf numFmtId="0" fontId="88" fillId="0" borderId="25" xfId="0" applyFont="1" applyBorder="1" applyAlignment="1">
      <alignment horizontal="center"/>
    </xf>
    <xf numFmtId="178" fontId="88" fillId="0" borderId="27" xfId="0" applyNumberFormat="1" applyFont="1" applyFill="1" applyBorder="1" applyAlignment="1">
      <alignment horizontal="center"/>
    </xf>
    <xf numFmtId="0" fontId="1" fillId="0" borderId="62" xfId="0" applyFont="1" applyBorder="1" applyAlignment="1">
      <alignment horizontal="center"/>
    </xf>
    <xf numFmtId="0" fontId="1" fillId="0" borderId="63" xfId="0" applyFont="1" applyBorder="1" applyAlignment="1">
      <alignment horizontal="left" wrapText="1"/>
    </xf>
    <xf numFmtId="0" fontId="118" fillId="0" borderId="36" xfId="0" applyFont="1" applyBorder="1" applyAlignment="1">
      <alignment horizontal="center" vertical="center"/>
    </xf>
    <xf numFmtId="182" fontId="118" fillId="0" borderId="56" xfId="0" applyNumberFormat="1" applyFont="1" applyFill="1" applyBorder="1" applyAlignment="1">
      <alignment horizontal="center" vertical="center"/>
    </xf>
    <xf numFmtId="0" fontId="88" fillId="15" borderId="64" xfId="0" applyFont="1" applyFill="1" applyBorder="1" applyAlignment="1">
      <alignment horizontal="center" wrapText="1"/>
    </xf>
    <xf numFmtId="0" fontId="88" fillId="15" borderId="65" xfId="0" applyFont="1" applyFill="1" applyBorder="1" applyAlignment="1">
      <alignment horizontal="center" wrapText="1"/>
    </xf>
    <xf numFmtId="0" fontId="88" fillId="15" borderId="66" xfId="0" applyFont="1" applyFill="1" applyBorder="1" applyAlignment="1">
      <alignment horizontal="center" wrapText="1"/>
    </xf>
    <xf numFmtId="0" fontId="1" fillId="0" borderId="0" xfId="0" applyFont="1" applyBorder="1" applyAlignment="1">
      <alignment horizontal="center"/>
    </xf>
    <xf numFmtId="0" fontId="88" fillId="15" borderId="64" xfId="0" applyFont="1" applyFill="1" applyBorder="1" applyAlignment="1">
      <alignment horizontal="center" vertical="center"/>
    </xf>
    <xf numFmtId="0" fontId="119" fillId="15" borderId="65" xfId="0" applyFont="1" applyFill="1" applyBorder="1" applyAlignment="1">
      <alignment horizontal="center" vertical="center"/>
    </xf>
    <xf numFmtId="0" fontId="119" fillId="15" borderId="66" xfId="0" applyFont="1" applyFill="1" applyBorder="1" applyAlignment="1">
      <alignment horizontal="center" vertical="center"/>
    </xf>
    <xf numFmtId="0" fontId="20" fillId="0" borderId="64" xfId="0" applyFont="1" applyBorder="1" applyAlignment="1">
      <alignment horizontal="center" vertical="center"/>
    </xf>
    <xf numFmtId="0" fontId="20" fillId="0" borderId="67" xfId="0" applyFont="1" applyBorder="1" applyAlignment="1">
      <alignment horizontal="center" vertical="center"/>
    </xf>
    <xf numFmtId="0" fontId="20" fillId="0" borderId="68" xfId="0" applyFont="1" applyBorder="1" applyAlignment="1">
      <alignment horizontal="center" vertical="center"/>
    </xf>
    <xf numFmtId="0" fontId="116" fillId="0" borderId="0" xfId="0" applyFont="1" applyBorder="1" applyAlignment="1">
      <alignment horizontal="center" vertical="center"/>
    </xf>
    <xf numFmtId="0" fontId="1" fillId="0" borderId="67" xfId="0" applyFont="1" applyBorder="1" applyAlignment="1">
      <alignment horizontal="center" vertical="center"/>
    </xf>
    <xf numFmtId="0" fontId="1" fillId="0" borderId="64" xfId="0" applyFont="1" applyBorder="1" applyAlignment="1">
      <alignment horizontal="center" vertical="center"/>
    </xf>
    <xf numFmtId="0" fontId="1" fillId="0" borderId="68" xfId="0" applyFont="1" applyBorder="1" applyAlignment="1">
      <alignment horizontal="center" vertical="center"/>
    </xf>
    <xf numFmtId="0" fontId="4" fillId="0" borderId="64" xfId="0" applyFont="1" applyBorder="1" applyAlignment="1">
      <alignment horizontal="center" vertical="center" wrapText="1"/>
    </xf>
    <xf numFmtId="182" fontId="4" fillId="0" borderId="64" xfId="0" applyNumberFormat="1" applyFont="1" applyBorder="1" applyAlignment="1">
      <alignment horizontal="center" vertical="center"/>
    </xf>
    <xf numFmtId="0" fontId="4" fillId="0" borderId="69" xfId="0" applyFont="1" applyBorder="1" applyAlignment="1">
      <alignment horizontal="center" vertical="center"/>
    </xf>
    <xf numFmtId="182" fontId="1" fillId="0" borderId="70" xfId="0" applyNumberFormat="1" applyFont="1" applyBorder="1" applyAlignment="1">
      <alignment horizontal="center" vertical="center"/>
    </xf>
    <xf numFmtId="0" fontId="113" fillId="0" borderId="0" xfId="0" applyFont="1" applyFill="1" applyBorder="1" applyAlignment="1">
      <alignment horizontal="center" wrapText="1"/>
    </xf>
    <xf numFmtId="0" fontId="1" fillId="0" borderId="71" xfId="0" applyFont="1" applyBorder="1" applyAlignment="1">
      <alignment horizontal="center" vertical="center"/>
    </xf>
    <xf numFmtId="182" fontId="1" fillId="0" borderId="68" xfId="0" applyNumberFormat="1" applyFont="1" applyBorder="1" applyAlignment="1">
      <alignment horizontal="center" vertical="center"/>
    </xf>
    <xf numFmtId="182" fontId="1" fillId="0" borderId="72" xfId="0" applyNumberFormat="1" applyFont="1" applyBorder="1" applyAlignment="1">
      <alignment horizontal="center" vertical="center"/>
    </xf>
    <xf numFmtId="0" fontId="4" fillId="0" borderId="64" xfId="0" applyFont="1" applyBorder="1" applyAlignment="1">
      <alignment horizontal="center" vertical="center"/>
    </xf>
    <xf numFmtId="178" fontId="1" fillId="0" borderId="64" xfId="0" applyNumberFormat="1" applyFont="1" applyBorder="1" applyAlignment="1">
      <alignment horizontal="center" vertical="center"/>
    </xf>
    <xf numFmtId="0" fontId="5" fillId="0" borderId="0" xfId="0" applyFont="1" applyFill="1" applyBorder="1" applyAlignment="1">
      <alignment horizontal="center"/>
    </xf>
    <xf numFmtId="3" fontId="5" fillId="0" borderId="0" xfId="0" applyNumberFormat="1" applyFont="1" applyFill="1" applyBorder="1" applyAlignment="1">
      <alignment horizontal="center"/>
    </xf>
    <xf numFmtId="0" fontId="4" fillId="0" borderId="67" xfId="0" applyFont="1" applyBorder="1" applyAlignment="1">
      <alignment horizontal="center" vertical="center"/>
    </xf>
    <xf numFmtId="0" fontId="88" fillId="0" borderId="67" xfId="0" applyFont="1" applyBorder="1" applyAlignment="1">
      <alignment horizontal="center" vertical="center" wrapText="1"/>
    </xf>
    <xf numFmtId="0" fontId="88" fillId="0" borderId="68" xfId="0" applyFont="1" applyBorder="1" applyAlignment="1">
      <alignment horizontal="center" vertical="center"/>
    </xf>
    <xf numFmtId="0" fontId="88" fillId="15" borderId="67" xfId="0" applyFont="1" applyFill="1" applyBorder="1" applyAlignment="1">
      <alignment horizontal="center"/>
    </xf>
    <xf numFmtId="0" fontId="88" fillId="15" borderId="65" xfId="0" applyFont="1" applyFill="1" applyBorder="1" applyAlignment="1">
      <alignment horizontal="center"/>
    </xf>
    <xf numFmtId="0" fontId="88" fillId="15" borderId="66" xfId="0" applyFont="1" applyFill="1" applyBorder="1" applyAlignment="1">
      <alignment horizontal="center"/>
    </xf>
    <xf numFmtId="0" fontId="4" fillId="0" borderId="0" xfId="0" applyFont="1" applyAlignment="1">
      <alignment horizontal="center" vertical="center"/>
    </xf>
    <xf numFmtId="0" fontId="1" fillId="0" borderId="73" xfId="0" applyFont="1" applyBorder="1" applyAlignment="1">
      <alignment horizontal="center" vertical="center"/>
    </xf>
    <xf numFmtId="0" fontId="1" fillId="0" borderId="66" xfId="0" applyFont="1" applyBorder="1" applyAlignment="1">
      <alignment horizontal="center" vertical="center"/>
    </xf>
    <xf numFmtId="0" fontId="88" fillId="15" borderId="40" xfId="0" applyFont="1" applyFill="1" applyBorder="1" applyAlignment="1">
      <alignment horizontal="center" vertical="center" wrapText="1"/>
    </xf>
    <xf numFmtId="0" fontId="88" fillId="15" borderId="42" xfId="0" applyFont="1" applyFill="1" applyBorder="1" applyAlignment="1">
      <alignment horizontal="center" vertical="center" wrapText="1"/>
    </xf>
    <xf numFmtId="0" fontId="88" fillId="15" borderId="43" xfId="0" applyFont="1" applyFill="1" applyBorder="1" applyAlignment="1">
      <alignment horizontal="center" vertical="center" wrapText="1"/>
    </xf>
    <xf numFmtId="182" fontId="1" fillId="0" borderId="64" xfId="0" applyNumberFormat="1" applyFont="1" applyBorder="1" applyAlignment="1">
      <alignment horizontal="center" vertical="center"/>
    </xf>
    <xf numFmtId="0" fontId="88" fillId="15" borderId="41" xfId="0" applyFont="1" applyFill="1" applyBorder="1" applyAlignment="1">
      <alignment horizontal="center" vertical="center" wrapText="1"/>
    </xf>
    <xf numFmtId="0" fontId="88" fillId="15" borderId="74" xfId="0" applyFont="1" applyFill="1" applyBorder="1" applyAlignment="1">
      <alignment horizontal="center" vertical="center" wrapText="1"/>
    </xf>
    <xf numFmtId="0" fontId="88" fillId="15" borderId="75" xfId="0" applyFont="1" applyFill="1" applyBorder="1" applyAlignment="1">
      <alignment horizontal="center" vertical="center" wrapText="1"/>
    </xf>
    <xf numFmtId="0" fontId="1" fillId="0" borderId="0" xfId="0" applyFont="1" applyBorder="1" applyAlignment="1">
      <alignment horizontal="center" vertical="center"/>
    </xf>
    <xf numFmtId="0" fontId="63" fillId="5" borderId="22" xfId="0" applyFont="1" applyFill="1" applyBorder="1" applyAlignment="1">
      <alignment horizontal="center" vertical="center" wrapText="1"/>
    </xf>
    <xf numFmtId="0" fontId="63" fillId="0" borderId="0" xfId="0" applyFont="1" applyAlignment="1">
      <alignment horizontal="center"/>
    </xf>
    <xf numFmtId="0" fontId="1" fillId="0" borderId="25" xfId="0" applyFont="1" applyFill="1" applyBorder="1" applyAlignment="1">
      <alignment vertical="center" wrapText="1"/>
    </xf>
    <xf numFmtId="3" fontId="1" fillId="0" borderId="2" xfId="0" applyNumberFormat="1" applyFont="1" applyFill="1" applyBorder="1" applyAlignment="1">
      <alignment vertical="center" wrapText="1"/>
    </xf>
    <xf numFmtId="0" fontId="120" fillId="0" borderId="2" xfId="0" applyFont="1" applyFill="1" applyBorder="1" applyAlignment="1">
      <alignment vertical="center" wrapText="1"/>
    </xf>
    <xf numFmtId="0" fontId="1" fillId="0" borderId="22" xfId="0" applyFont="1" applyFill="1" applyBorder="1" applyAlignment="1">
      <alignment vertical="center" wrapText="1"/>
    </xf>
    <xf numFmtId="0" fontId="1" fillId="0" borderId="2" xfId="0" applyFont="1" applyFill="1" applyBorder="1" applyAlignment="1">
      <alignment vertical="center" wrapText="1"/>
    </xf>
    <xf numFmtId="0" fontId="88" fillId="0" borderId="2" xfId="0" applyFont="1" applyFill="1" applyBorder="1" applyAlignment="1">
      <alignment vertical="center" wrapText="1"/>
    </xf>
    <xf numFmtId="0" fontId="1" fillId="0" borderId="28" xfId="0" applyFont="1" applyFill="1" applyBorder="1" applyAlignment="1">
      <alignment vertical="center" wrapText="1"/>
    </xf>
    <xf numFmtId="0" fontId="86" fillId="0" borderId="2" xfId="0" applyFont="1" applyFill="1" applyBorder="1" applyAlignment="1">
      <alignment vertical="center" wrapText="1"/>
    </xf>
    <xf numFmtId="0" fontId="121" fillId="0" borderId="2" xfId="0" applyFont="1" applyFill="1" applyBorder="1" applyAlignment="1">
      <alignment vertical="center" wrapText="1"/>
    </xf>
    <xf numFmtId="0" fontId="1" fillId="0" borderId="0" xfId="0" applyFont="1" applyAlignment="1">
      <alignment vertical="center" wrapText="1"/>
    </xf>
    <xf numFmtId="0" fontId="4" fillId="0" borderId="0" xfId="0" applyFont="1" applyAlignment="1">
      <alignment vertical="top" wrapText="1"/>
    </xf>
    <xf numFmtId="0" fontId="1" fillId="0" borderId="0" xfId="0" applyFont="1" applyAlignment="1">
      <alignment vertical="top"/>
    </xf>
    <xf numFmtId="0" fontId="88" fillId="15" borderId="34" xfId="0" applyFont="1" applyFill="1" applyBorder="1" applyAlignment="1">
      <alignment horizontal="center"/>
    </xf>
    <xf numFmtId="0" fontId="5" fillId="15" borderId="38" xfId="0" applyFont="1" applyFill="1" applyBorder="1" applyAlignment="1">
      <alignment horizontal="center"/>
    </xf>
    <xf numFmtId="0" fontId="5" fillId="15" borderId="35" xfId="0" applyFont="1" applyFill="1" applyBorder="1" applyAlignment="1">
      <alignment horizontal="center"/>
    </xf>
    <xf numFmtId="0" fontId="88" fillId="15" borderId="58" xfId="0" applyFont="1" applyFill="1" applyBorder="1" applyAlignment="1">
      <alignment horizontal="center" vertical="center"/>
    </xf>
    <xf numFmtId="0" fontId="88" fillId="15" borderId="76" xfId="0" applyFont="1" applyFill="1" applyBorder="1" applyAlignment="1">
      <alignment horizontal="center" vertical="center"/>
    </xf>
    <xf numFmtId="0" fontId="4" fillId="0" borderId="44" xfId="0" applyFont="1" applyBorder="1" applyAlignment="1">
      <alignment horizontal="left" vertical="top" wrapText="1"/>
    </xf>
    <xf numFmtId="0" fontId="4" fillId="0" borderId="0" xfId="0" applyFont="1" applyBorder="1" applyAlignment="1">
      <alignment horizontal="left" vertical="top" wrapText="1"/>
    </xf>
    <xf numFmtId="0" fontId="4" fillId="0" borderId="45" xfId="0" applyFont="1" applyBorder="1" applyAlignment="1">
      <alignment horizontal="left" vertical="top" wrapText="1"/>
    </xf>
    <xf numFmtId="0" fontId="63" fillId="5" borderId="51" xfId="0" applyFont="1" applyFill="1" applyBorder="1" applyAlignment="1">
      <alignment horizontal="center" vertical="center"/>
    </xf>
    <xf numFmtId="0" fontId="63" fillId="5" borderId="2" xfId="0" applyFont="1" applyFill="1" applyBorder="1" applyAlignment="1">
      <alignment horizontal="center" vertical="center"/>
    </xf>
    <xf numFmtId="0" fontId="94" fillId="3" borderId="44" xfId="49" applyFont="1" applyFill="1" applyBorder="1" applyAlignment="1">
      <alignment horizontal="left" vertical="top" wrapText="1"/>
    </xf>
    <xf numFmtId="0" fontId="94" fillId="3" borderId="0" xfId="49" applyFont="1" applyFill="1" applyBorder="1" applyAlignment="1">
      <alignment horizontal="left" vertical="top" wrapText="1"/>
    </xf>
    <xf numFmtId="0" fontId="94" fillId="3" borderId="45" xfId="49" applyFont="1" applyFill="1" applyBorder="1" applyAlignment="1">
      <alignment horizontal="left" vertical="top" wrapText="1"/>
    </xf>
    <xf numFmtId="0" fontId="1" fillId="0" borderId="0" xfId="0" applyFont="1" applyAlignment="1">
      <alignment vertical="top" wrapText="1"/>
    </xf>
    <xf numFmtId="0" fontId="1" fillId="0" borderId="2" xfId="0" applyFont="1" applyBorder="1" applyAlignment="1">
      <alignment horizontal="center" vertical="center"/>
    </xf>
    <xf numFmtId="0" fontId="1" fillId="0" borderId="44" xfId="0" applyFont="1" applyBorder="1"/>
    <xf numFmtId="0" fontId="1" fillId="0" borderId="45" xfId="0" applyFont="1" applyBorder="1" applyAlignment="1">
      <alignment horizontal="center"/>
    </xf>
    <xf numFmtId="0" fontId="20" fillId="0" borderId="0" xfId="0" applyFont="1" applyBorder="1" applyAlignment="1">
      <alignment horizontal="left" vertical="top" wrapText="1"/>
    </xf>
    <xf numFmtId="0" fontId="20" fillId="0" borderId="45" xfId="0" applyFont="1" applyBorder="1" applyAlignment="1">
      <alignment horizontal="left" vertical="top" wrapText="1"/>
    </xf>
    <xf numFmtId="0" fontId="94" fillId="3" borderId="44" xfId="49" applyFont="1" applyFill="1" applyBorder="1" applyAlignment="1">
      <alignment horizontal="left" vertical="top"/>
    </xf>
    <xf numFmtId="0" fontId="94" fillId="3" borderId="0" xfId="49" applyFont="1" applyFill="1" applyBorder="1" applyAlignment="1">
      <alignment horizontal="left" vertical="top"/>
    </xf>
    <xf numFmtId="0" fontId="94" fillId="3" borderId="45" xfId="49" applyFont="1" applyFill="1" applyBorder="1" applyAlignment="1">
      <alignment horizontal="left" vertical="top"/>
    </xf>
    <xf numFmtId="0" fontId="63" fillId="5" borderId="58" xfId="0" applyFont="1" applyFill="1" applyBorder="1" applyAlignment="1">
      <alignment horizontal="center" vertical="center"/>
    </xf>
    <xf numFmtId="0" fontId="1" fillId="0" borderId="51" xfId="0" applyFont="1" applyBorder="1"/>
    <xf numFmtId="0" fontId="1" fillId="0" borderId="0" xfId="0" applyFont="1" applyFill="1" applyAlignment="1">
      <alignment horizontal="center" vertical="center"/>
    </xf>
    <xf numFmtId="0" fontId="1" fillId="0" borderId="62" xfId="0" applyFont="1" applyBorder="1" applyAlignment="1">
      <alignment horizontal="right" vertical="center"/>
    </xf>
    <xf numFmtId="0" fontId="1" fillId="15" borderId="59" xfId="0" applyFont="1" applyFill="1" applyBorder="1" applyAlignment="1">
      <alignment horizontal="center" vertical="center"/>
    </xf>
    <xf numFmtId="0" fontId="1" fillId="0" borderId="51" xfId="0" applyFont="1" applyBorder="1" applyAlignment="1">
      <alignment horizontal="center" vertical="center" wrapText="1"/>
    </xf>
    <xf numFmtId="178" fontId="1" fillId="0" borderId="60" xfId="0" applyNumberFormat="1" applyFont="1" applyBorder="1" applyAlignment="1">
      <alignment horizontal="center" vertical="center"/>
    </xf>
    <xf numFmtId="0" fontId="122" fillId="0" borderId="0" xfId="0" applyFont="1" applyFill="1" applyBorder="1" applyAlignment="1"/>
    <xf numFmtId="0" fontId="123" fillId="0" borderId="0" xfId="0" applyFont="1" applyFill="1" applyBorder="1" applyAlignment="1"/>
    <xf numFmtId="0" fontId="124" fillId="0" borderId="51" xfId="0" applyFont="1" applyBorder="1" applyAlignment="1">
      <alignment horizontal="center" vertical="center"/>
    </xf>
    <xf numFmtId="10" fontId="124" fillId="0" borderId="60" xfId="0" applyNumberFormat="1" applyFont="1" applyBorder="1" applyAlignment="1">
      <alignment horizontal="center" vertical="center"/>
    </xf>
    <xf numFmtId="0" fontId="88" fillId="0" borderId="62" xfId="0" applyFont="1" applyBorder="1" applyAlignment="1">
      <alignment horizontal="center" vertical="center"/>
    </xf>
    <xf numFmtId="0" fontId="88" fillId="0" borderId="63" xfId="0" applyFont="1" applyBorder="1" applyAlignment="1">
      <alignment horizontal="center" vertical="center"/>
    </xf>
    <xf numFmtId="0" fontId="88" fillId="15" borderId="59" xfId="0" applyFont="1" applyFill="1" applyBorder="1" applyAlignment="1">
      <alignment horizontal="center" vertical="center"/>
    </xf>
    <xf numFmtId="0" fontId="88" fillId="15" borderId="58" xfId="0" applyFont="1" applyFill="1" applyBorder="1" applyAlignment="1">
      <alignment horizontal="center" vertical="center" wrapText="1"/>
    </xf>
    <xf numFmtId="0" fontId="88" fillId="15" borderId="76" xfId="0" applyFont="1" applyFill="1" applyBorder="1" applyAlignment="1">
      <alignment horizontal="center" vertical="center" wrapText="1"/>
    </xf>
    <xf numFmtId="0" fontId="88" fillId="15" borderId="59" xfId="0" applyFont="1" applyFill="1" applyBorder="1" applyAlignment="1">
      <alignment horizontal="center" vertical="center" wrapText="1"/>
    </xf>
    <xf numFmtId="0" fontId="63" fillId="5" borderId="60" xfId="0" applyFont="1" applyFill="1" applyBorder="1" applyAlignment="1">
      <alignment horizontal="center" vertical="center"/>
    </xf>
    <xf numFmtId="0" fontId="63" fillId="5" borderId="2" xfId="0" applyFont="1" applyFill="1" applyBorder="1" applyAlignment="1">
      <alignment horizontal="center" vertical="center" wrapText="1"/>
    </xf>
    <xf numFmtId="0" fontId="1" fillId="0" borderId="60" xfId="0" applyFont="1" applyBorder="1" applyAlignment="1">
      <alignment horizontal="center" vertical="center"/>
    </xf>
    <xf numFmtId="0" fontId="63" fillId="5" borderId="76" xfId="0" applyFont="1" applyFill="1" applyBorder="1" applyAlignment="1">
      <alignment horizontal="center" vertical="center"/>
    </xf>
    <xf numFmtId="0" fontId="63" fillId="5" borderId="59" xfId="0" applyFont="1" applyFill="1" applyBorder="1" applyAlignment="1">
      <alignment horizontal="center" vertical="center"/>
    </xf>
    <xf numFmtId="178" fontId="1" fillId="0" borderId="2" xfId="0" applyNumberFormat="1" applyFont="1" applyBorder="1"/>
    <xf numFmtId="2" fontId="1" fillId="0" borderId="2" xfId="0" applyNumberFormat="1" applyFont="1" applyBorder="1"/>
    <xf numFmtId="183" fontId="1" fillId="0" borderId="60" xfId="0" applyNumberFormat="1" applyFont="1" applyBorder="1"/>
    <xf numFmtId="178" fontId="1" fillId="0" borderId="77" xfId="0" applyNumberFormat="1" applyFont="1" applyBorder="1"/>
    <xf numFmtId="2" fontId="1" fillId="0" borderId="77" xfId="0" applyNumberFormat="1" applyFont="1" applyBorder="1" applyAlignment="1">
      <alignment horizontal="right" vertical="center"/>
    </xf>
    <xf numFmtId="183" fontId="1" fillId="0" borderId="63" xfId="0" applyNumberFormat="1" applyFont="1" applyBorder="1" applyAlignment="1">
      <alignment horizontal="right" vertical="center"/>
    </xf>
    <xf numFmtId="0" fontId="1" fillId="0" borderId="46" xfId="0" applyFont="1" applyBorder="1" applyAlignment="1">
      <alignment vertical="center"/>
    </xf>
    <xf numFmtId="0" fontId="1" fillId="0" borderId="61" xfId="0" applyFont="1" applyBorder="1" applyAlignment="1">
      <alignment vertical="center"/>
    </xf>
    <xf numFmtId="0" fontId="1" fillId="0" borderId="51" xfId="0" applyFont="1" applyBorder="1" applyAlignment="1">
      <alignment vertical="center"/>
    </xf>
    <xf numFmtId="178" fontId="1" fillId="0" borderId="60" xfId="0" applyNumberFormat="1" applyFont="1" applyBorder="1" applyAlignment="1">
      <alignment vertical="center"/>
    </xf>
    <xf numFmtId="0" fontId="1" fillId="0" borderId="62" xfId="0" applyFont="1" applyBorder="1" applyAlignment="1">
      <alignment vertical="center"/>
    </xf>
    <xf numFmtId="0" fontId="1" fillId="0" borderId="63" xfId="0" applyFont="1" applyBorder="1" applyAlignment="1">
      <alignment vertical="center"/>
    </xf>
    <xf numFmtId="0" fontId="125" fillId="3" borderId="44" xfId="0" applyFont="1" applyFill="1" applyBorder="1" applyAlignment="1">
      <alignment horizontal="center" vertical="top"/>
    </xf>
    <xf numFmtId="0" fontId="1" fillId="3" borderId="0" xfId="0" applyFont="1" applyFill="1" applyBorder="1" applyAlignment="1">
      <alignment horizontal="center" vertical="top"/>
    </xf>
    <xf numFmtId="0" fontId="1" fillId="3" borderId="45" xfId="0" applyFont="1" applyFill="1" applyBorder="1" applyAlignment="1">
      <alignment horizontal="center" vertical="top"/>
    </xf>
    <xf numFmtId="0" fontId="1" fillId="0" borderId="0" xfId="0" applyFont="1" applyBorder="1" applyAlignment="1">
      <alignment horizontal="left" vertical="top" wrapText="1"/>
    </xf>
    <xf numFmtId="0" fontId="1" fillId="0" borderId="45" xfId="0" applyFont="1" applyBorder="1" applyAlignment="1">
      <alignment horizontal="left" vertical="top" wrapText="1"/>
    </xf>
    <xf numFmtId="0" fontId="1" fillId="0" borderId="62" xfId="0" applyFont="1" applyBorder="1" applyAlignment="1">
      <alignment horizontal="center" vertical="center"/>
    </xf>
    <xf numFmtId="0" fontId="1" fillId="0" borderId="77" xfId="0" applyFont="1" applyBorder="1" applyAlignment="1">
      <alignment horizontal="center" vertical="center"/>
    </xf>
    <xf numFmtId="0" fontId="1" fillId="0" borderId="0" xfId="0" applyFont="1" applyBorder="1" applyAlignment="1">
      <alignment horizontal="left" vertical="top"/>
    </xf>
    <xf numFmtId="0" fontId="1" fillId="0" borderId="45" xfId="0" applyFont="1" applyBorder="1" applyAlignment="1">
      <alignment horizontal="left" vertical="top"/>
    </xf>
    <xf numFmtId="0" fontId="4" fillId="3" borderId="44" xfId="0" applyFont="1" applyFill="1" applyBorder="1" applyAlignment="1">
      <alignment horizontal="left" vertical="top"/>
    </xf>
    <xf numFmtId="0" fontId="1" fillId="3" borderId="0" xfId="0" applyFont="1" applyFill="1" applyBorder="1" applyAlignment="1">
      <alignment horizontal="left" vertical="top"/>
    </xf>
    <xf numFmtId="0" fontId="1" fillId="3" borderId="45" xfId="0" applyFont="1" applyFill="1" applyBorder="1" applyAlignment="1">
      <alignment horizontal="left" vertical="top"/>
    </xf>
    <xf numFmtId="0" fontId="4" fillId="0" borderId="44" xfId="0" applyFont="1" applyBorder="1" applyAlignment="1">
      <alignment horizontal="left" vertical="top"/>
    </xf>
    <xf numFmtId="0" fontId="94" fillId="3" borderId="41" xfId="49" applyFont="1" applyFill="1" applyBorder="1" applyAlignment="1">
      <alignment horizontal="left" vertical="top"/>
    </xf>
    <xf numFmtId="0" fontId="94" fillId="3" borderId="74" xfId="49" applyFont="1" applyFill="1" applyBorder="1" applyAlignment="1">
      <alignment horizontal="left" vertical="top"/>
    </xf>
    <xf numFmtId="0" fontId="94" fillId="3" borderId="75" xfId="49" applyFont="1" applyFill="1" applyBorder="1" applyAlignment="1">
      <alignment horizontal="left" vertical="top"/>
    </xf>
    <xf numFmtId="0" fontId="1" fillId="0" borderId="63" xfId="0" applyFont="1" applyBorder="1" applyAlignment="1">
      <alignment horizontal="center" vertical="center"/>
    </xf>
    <xf numFmtId="0" fontId="126" fillId="6" borderId="0" xfId="0" applyFont="1" applyFill="1" applyAlignment="1">
      <alignment horizontal="center" vertical="center"/>
    </xf>
    <xf numFmtId="0" fontId="127" fillId="0" borderId="0" xfId="0" applyFont="1"/>
    <xf numFmtId="0" fontId="113" fillId="16" borderId="2" xfId="0" applyFont="1" applyFill="1" applyBorder="1" applyAlignment="1"/>
    <xf numFmtId="0" fontId="116" fillId="0" borderId="2" xfId="0" applyFont="1" applyBorder="1" applyAlignment="1"/>
    <xf numFmtId="0" fontId="63" fillId="6" borderId="2" xfId="0" applyFont="1" applyFill="1" applyBorder="1" applyAlignment="1">
      <alignment horizontal="center"/>
    </xf>
    <xf numFmtId="0" fontId="116" fillId="0" borderId="2" xfId="0" applyFont="1" applyBorder="1"/>
    <xf numFmtId="0" fontId="115" fillId="0" borderId="0" xfId="0" applyFont="1"/>
    <xf numFmtId="184" fontId="128" fillId="0" borderId="0" xfId="0" applyNumberFormat="1" applyFont="1" applyAlignment="1">
      <alignment vertical="center"/>
    </xf>
    <xf numFmtId="0" fontId="64" fillId="6" borderId="2" xfId="0" applyFont="1" applyFill="1" applyBorder="1" applyAlignment="1">
      <alignment horizontal="center" vertical="center"/>
    </xf>
    <xf numFmtId="0" fontId="64" fillId="3" borderId="0" xfId="0" applyFont="1" applyFill="1" applyBorder="1" applyAlignment="1">
      <alignment horizontal="center" vertical="center"/>
    </xf>
    <xf numFmtId="0" fontId="129" fillId="3" borderId="0" xfId="0" applyFont="1" applyFill="1" applyBorder="1" applyAlignment="1">
      <alignment horizontal="center" vertical="center"/>
    </xf>
    <xf numFmtId="0" fontId="64" fillId="6" borderId="2" xfId="0" applyFont="1" applyFill="1" applyBorder="1" applyAlignment="1">
      <alignment vertical="center"/>
    </xf>
    <xf numFmtId="0" fontId="1" fillId="0" borderId="20" xfId="0" applyFont="1" applyBorder="1"/>
    <xf numFmtId="0" fontId="1" fillId="3" borderId="0" xfId="0" applyFont="1" applyFill="1" applyBorder="1"/>
    <xf numFmtId="0" fontId="130" fillId="0" borderId="0" xfId="0" applyFont="1" applyBorder="1" applyAlignment="1">
      <alignment horizontal="center"/>
    </xf>
    <xf numFmtId="0" fontId="131" fillId="6" borderId="2" xfId="0" applyFont="1" applyFill="1" applyBorder="1"/>
    <xf numFmtId="0" fontId="115" fillId="0" borderId="20" xfId="0" applyFont="1" applyBorder="1" applyAlignment="1">
      <alignment horizontal="right"/>
    </xf>
    <xf numFmtId="43" fontId="115" fillId="0" borderId="2" xfId="0" applyNumberFormat="1" applyFont="1" applyBorder="1"/>
    <xf numFmtId="43" fontId="115" fillId="3" borderId="0" xfId="0" applyNumberFormat="1" applyFont="1" applyFill="1" applyBorder="1"/>
    <xf numFmtId="43" fontId="115" fillId="0" borderId="0" xfId="0" applyNumberFormat="1" applyFont="1" applyBorder="1"/>
    <xf numFmtId="43" fontId="128" fillId="0" borderId="0" xfId="0" applyNumberFormat="1" applyFont="1" applyBorder="1" applyAlignment="1">
      <alignment horizontal="center"/>
    </xf>
    <xf numFmtId="0" fontId="128" fillId="0" borderId="0" xfId="0" applyFont="1" applyBorder="1" applyAlignment="1">
      <alignment vertical="center"/>
    </xf>
    <xf numFmtId="0" fontId="130" fillId="0" borderId="0" xfId="0" applyFont="1"/>
    <xf numFmtId="0" fontId="130" fillId="0" borderId="0" xfId="0" applyFont="1" applyBorder="1" applyAlignment="1">
      <alignment horizontal="right"/>
    </xf>
    <xf numFmtId="0" fontId="64" fillId="0" borderId="0" xfId="0" applyFont="1"/>
    <xf numFmtId="0" fontId="132" fillId="0" borderId="0" xfId="0" applyFont="1"/>
    <xf numFmtId="0" fontId="133" fillId="0" borderId="0" xfId="0" applyFont="1"/>
    <xf numFmtId="0" fontId="64" fillId="6" borderId="2" xfId="0" applyFont="1" applyFill="1" applyBorder="1"/>
    <xf numFmtId="0" fontId="134" fillId="6" borderId="2" xfId="0" applyFont="1" applyFill="1" applyBorder="1" applyAlignment="1">
      <alignment horizontal="center" vertical="center"/>
    </xf>
    <xf numFmtId="0" fontId="135" fillId="6" borderId="2" xfId="0" applyFont="1" applyFill="1" applyBorder="1" applyAlignment="1">
      <alignment horizontal="center" vertical="center"/>
    </xf>
    <xf numFmtId="0" fontId="134" fillId="6" borderId="25" xfId="0" applyFont="1" applyFill="1" applyBorder="1" applyAlignment="1">
      <alignment horizontal="center" vertical="center"/>
    </xf>
    <xf numFmtId="0" fontId="135" fillId="6" borderId="25" xfId="0" applyFont="1" applyFill="1" applyBorder="1" applyAlignment="1">
      <alignment horizontal="center" vertical="center"/>
    </xf>
    <xf numFmtId="0" fontId="136" fillId="3" borderId="2" xfId="0" applyFont="1" applyFill="1" applyBorder="1" applyAlignment="1">
      <alignment horizontal="center"/>
    </xf>
    <xf numFmtId="0" fontId="137" fillId="0" borderId="20" xfId="0" applyFont="1" applyBorder="1" applyAlignment="1">
      <alignment horizontal="center"/>
    </xf>
    <xf numFmtId="0" fontId="137" fillId="0" borderId="2" xfId="0" applyFont="1" applyBorder="1" applyAlignment="1">
      <alignment horizontal="center"/>
    </xf>
    <xf numFmtId="0" fontId="138" fillId="0" borderId="20" xfId="0" applyFont="1" applyBorder="1" applyAlignment="1">
      <alignment horizontal="center"/>
    </xf>
    <xf numFmtId="0" fontId="138" fillId="0" borderId="2" xfId="0" applyFont="1" applyBorder="1" applyAlignment="1">
      <alignment horizontal="center"/>
    </xf>
    <xf numFmtId="0" fontId="139" fillId="0" borderId="20" xfId="0" applyFont="1" applyBorder="1" applyAlignment="1">
      <alignment horizontal="center"/>
    </xf>
    <xf numFmtId="0" fontId="139" fillId="0" borderId="2" xfId="0" applyFont="1" applyBorder="1" applyAlignment="1">
      <alignment horizontal="center"/>
    </xf>
    <xf numFmtId="0" fontId="137" fillId="0" borderId="20" xfId="0" applyFont="1" applyBorder="1" applyAlignment="1">
      <alignment horizontal="center" wrapText="1"/>
    </xf>
    <xf numFmtId="0" fontId="137" fillId="0" borderId="2" xfId="0" applyFont="1" applyBorder="1" applyAlignment="1">
      <alignment horizontal="center" wrapText="1"/>
    </xf>
    <xf numFmtId="0" fontId="1" fillId="3" borderId="25" xfId="0" applyFont="1" applyFill="1" applyBorder="1" applyAlignment="1">
      <alignment horizontal="center"/>
    </xf>
    <xf numFmtId="0" fontId="136" fillId="3" borderId="25" xfId="0" applyFont="1" applyFill="1" applyBorder="1" applyAlignment="1">
      <alignment horizontal="center"/>
    </xf>
    <xf numFmtId="0" fontId="64" fillId="0" borderId="0" xfId="0" applyFont="1" applyAlignment="1">
      <alignment horizontal="center"/>
    </xf>
    <xf numFmtId="0" fontId="127" fillId="0" borderId="0" xfId="0" applyFont="1" applyBorder="1" applyAlignment="1">
      <alignment horizontal="center"/>
    </xf>
    <xf numFmtId="0" fontId="140" fillId="3" borderId="0" xfId="0" applyFont="1" applyFill="1" applyBorder="1" applyAlignment="1">
      <alignment horizontal="center" vertical="center"/>
    </xf>
    <xf numFmtId="0" fontId="140" fillId="0" borderId="0" xfId="0" applyFont="1" applyAlignment="1">
      <alignment vertical="center"/>
    </xf>
    <xf numFmtId="0" fontId="56" fillId="6" borderId="78" xfId="0" applyFont="1" applyFill="1" applyBorder="1" applyAlignment="1">
      <alignment horizontal="center" vertical="center" textRotation="90"/>
    </xf>
    <xf numFmtId="0" fontId="1" fillId="0" borderId="22" xfId="0" applyFont="1" applyBorder="1" applyAlignment="1">
      <alignment horizontal="center" vertical="center" wrapText="1"/>
    </xf>
    <xf numFmtId="0" fontId="1" fillId="0" borderId="22" xfId="0" applyFont="1" applyBorder="1"/>
    <xf numFmtId="185" fontId="1" fillId="0" borderId="22" xfId="0" applyNumberFormat="1" applyFont="1" applyBorder="1" applyAlignment="1">
      <alignment horizontal="center" vertical="center"/>
    </xf>
    <xf numFmtId="0" fontId="1" fillId="0" borderId="26" xfId="0" applyFont="1" applyBorder="1" applyAlignment="1">
      <alignment horizontal="center" vertical="center" textRotation="90"/>
    </xf>
    <xf numFmtId="0" fontId="130" fillId="0" borderId="0" xfId="0" applyFont="1" applyBorder="1" applyAlignment="1">
      <alignment horizontal="center" vertical="center"/>
    </xf>
    <xf numFmtId="0" fontId="56" fillId="6" borderId="79" xfId="0" applyFont="1" applyFill="1" applyBorder="1" applyAlignment="1">
      <alignment horizontal="center" vertical="center" textRotation="90"/>
    </xf>
    <xf numFmtId="0" fontId="1" fillId="0" borderId="2" xfId="0" applyFont="1" applyBorder="1" applyAlignment="1">
      <alignment horizontal="center" vertical="center" wrapText="1"/>
    </xf>
    <xf numFmtId="0" fontId="1" fillId="0" borderId="20" xfId="0" applyFont="1" applyBorder="1" applyAlignment="1">
      <alignment horizontal="center" vertical="center" textRotation="90"/>
    </xf>
    <xf numFmtId="186" fontId="1" fillId="0" borderId="2" xfId="0" applyNumberFormat="1" applyFont="1" applyBorder="1" applyAlignment="1">
      <alignment horizontal="center"/>
    </xf>
    <xf numFmtId="0" fontId="1" fillId="0" borderId="2" xfId="0" applyFont="1" applyBorder="1" applyAlignment="1">
      <alignment vertical="center"/>
    </xf>
    <xf numFmtId="0" fontId="127" fillId="0" borderId="0" xfId="0" applyFont="1" applyBorder="1" applyAlignment="1">
      <alignment horizontal="center" vertical="center"/>
    </xf>
    <xf numFmtId="187" fontId="1" fillId="0" borderId="2" xfId="0" applyNumberFormat="1" applyFont="1" applyBorder="1" applyAlignment="1">
      <alignment horizontal="center"/>
    </xf>
    <xf numFmtId="0" fontId="130" fillId="0" borderId="0" xfId="0" applyFont="1" applyAlignment="1">
      <alignment horizontal="center"/>
    </xf>
    <xf numFmtId="0" fontId="141" fillId="0" borderId="0" xfId="0" applyFont="1" applyAlignment="1">
      <alignment horizontal="center"/>
    </xf>
    <xf numFmtId="0" fontId="142" fillId="0" borderId="0" xfId="0" applyFont="1" applyAlignment="1">
      <alignment horizontal="center" vertical="center"/>
    </xf>
    <xf numFmtId="0" fontId="1" fillId="0" borderId="27" xfId="0" applyFont="1" applyBorder="1" applyAlignment="1">
      <alignment horizontal="center" vertical="center" textRotation="90"/>
    </xf>
    <xf numFmtId="0" fontId="56" fillId="6" borderId="25" xfId="0" applyFont="1" applyFill="1" applyBorder="1" applyAlignment="1">
      <alignment horizontal="center" vertical="center" textRotation="90"/>
    </xf>
    <xf numFmtId="43" fontId="1" fillId="0" borderId="23" xfId="0" applyNumberFormat="1" applyFont="1" applyBorder="1" applyAlignment="1">
      <alignment vertical="center"/>
    </xf>
    <xf numFmtId="0" fontId="1" fillId="0" borderId="25" xfId="0" applyFont="1" applyBorder="1" applyAlignment="1">
      <alignment horizontal="center" vertical="center" textRotation="45"/>
    </xf>
    <xf numFmtId="0" fontId="56" fillId="6" borderId="28" xfId="0" applyFont="1" applyFill="1" applyBorder="1" applyAlignment="1">
      <alignment horizontal="center" vertical="center" textRotation="90"/>
    </xf>
    <xf numFmtId="0" fontId="1" fillId="0" borderId="19" xfId="0" applyFont="1" applyBorder="1"/>
    <xf numFmtId="0" fontId="1" fillId="0" borderId="28" xfId="0" applyFont="1" applyBorder="1" applyAlignment="1">
      <alignment horizontal="center" vertical="center" textRotation="45"/>
    </xf>
    <xf numFmtId="2" fontId="1" fillId="0" borderId="19" xfId="0" applyNumberFormat="1" applyFont="1" applyBorder="1" applyAlignment="1">
      <alignment horizontal="center"/>
    </xf>
    <xf numFmtId="3" fontId="1" fillId="0" borderId="19" xfId="0" applyNumberFormat="1" applyFont="1" applyBorder="1" applyAlignment="1">
      <alignment horizontal="center"/>
    </xf>
    <xf numFmtId="178" fontId="1" fillId="0" borderId="19" xfId="0" applyNumberFormat="1" applyFont="1" applyBorder="1" applyAlignment="1">
      <alignment horizontal="center"/>
    </xf>
    <xf numFmtId="0" fontId="1" fillId="0" borderId="19" xfId="0" applyFont="1" applyBorder="1" applyAlignment="1">
      <alignment horizontal="center"/>
    </xf>
    <xf numFmtId="3" fontId="1" fillId="0" borderId="19" xfId="0" applyNumberFormat="1" applyFont="1" applyBorder="1" applyAlignment="1">
      <alignment horizontal="center" wrapText="1"/>
    </xf>
    <xf numFmtId="0" fontId="1" fillId="0" borderId="2" xfId="0" applyFont="1" applyBorder="1" applyAlignment="1">
      <alignment wrapText="1"/>
    </xf>
    <xf numFmtId="0" fontId="1" fillId="0" borderId="22" xfId="0" applyFont="1" applyBorder="1" applyAlignment="1">
      <alignment horizontal="center" vertical="center" textRotation="45"/>
    </xf>
    <xf numFmtId="0" fontId="60" fillId="6" borderId="0" xfId="0" applyFont="1" applyFill="1" applyBorder="1" applyAlignment="1">
      <alignment horizontal="center" wrapText="1"/>
    </xf>
    <xf numFmtId="0" fontId="4" fillId="0" borderId="2" xfId="0" applyFont="1" applyFill="1" applyBorder="1" applyAlignment="1"/>
    <xf numFmtId="0" fontId="4" fillId="0" borderId="25" xfId="0" applyFont="1" applyFill="1" applyBorder="1" applyAlignment="1"/>
    <xf numFmtId="0" fontId="4" fillId="0" borderId="19" xfId="0" applyFont="1" applyFill="1" applyBorder="1" applyAlignment="1"/>
    <xf numFmtId="0" fontId="4" fillId="0" borderId="2" xfId="0" applyFont="1" applyFill="1" applyBorder="1" applyAlignment="1">
      <alignment wrapText="1"/>
    </xf>
    <xf numFmtId="0" fontId="20" fillId="3" borderId="2" xfId="0" applyFont="1" applyFill="1" applyBorder="1" applyAlignment="1"/>
    <xf numFmtId="9" fontId="20" fillId="0" borderId="2" xfId="0" applyNumberFormat="1" applyFont="1" applyBorder="1" applyAlignment="1">
      <alignment horizontal="left"/>
    </xf>
    <xf numFmtId="0" fontId="20" fillId="0" borderId="2" xfId="0" applyFont="1" applyBorder="1"/>
    <xf numFmtId="0" fontId="20" fillId="3" borderId="2" xfId="0" applyFont="1" applyFill="1" applyBorder="1" applyAlignment="1">
      <alignment wrapText="1"/>
    </xf>
    <xf numFmtId="0" fontId="1" fillId="15" borderId="36" xfId="0" applyFont="1" applyFill="1" applyBorder="1" applyAlignment="1" quotePrefix="1">
      <alignment horizontal="center" vertical="center"/>
    </xf>
    <xf numFmtId="0" fontId="1" fillId="13" borderId="36" xfId="0" applyFont="1" applyFill="1" applyBorder="1" applyAlignment="1" quotePrefix="1">
      <alignment horizontal="center" vertical="center"/>
    </xf>
    <xf numFmtId="0" fontId="1" fillId="13" borderId="34" xfId="0" applyFont="1" applyFill="1" applyBorder="1" applyAlignment="1" quotePrefix="1">
      <alignment horizontal="center" vertical="center"/>
    </xf>
    <xf numFmtId="0" fontId="75" fillId="0" borderId="36" xfId="0" applyFont="1" applyBorder="1" applyAlignment="1" quotePrefix="1">
      <alignment horizontal="center" vertical="center"/>
    </xf>
    <xf numFmtId="0" fontId="1" fillId="0" borderId="0" xfId="0" applyFont="1" quotePrefix="1"/>
    <xf numFmtId="0" fontId="4" fillId="0" borderId="2" xfId="0" applyFont="1" applyBorder="1" applyAlignment="1" quotePrefix="1">
      <alignment horizontal="center"/>
    </xf>
    <xf numFmtId="0" fontId="1" fillId="0" borderId="0" xfId="0" applyFont="1" applyAlignment="1" quotePrefix="1">
      <alignment horizontal="center"/>
    </xf>
    <xf numFmtId="0" fontId="5" fillId="0" borderId="18" xfId="0" applyFont="1" applyBorder="1" applyAlignment="1" quotePrefix="1">
      <alignment horizontal="center"/>
    </xf>
    <xf numFmtId="0" fontId="13" fillId="0" borderId="0" xfId="0" applyFont="1" applyAlignment="1" quotePrefix="1">
      <alignment horizontal="right"/>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Hyperlink" xfId="49"/>
  </cellStyles>
  <dxfs count="73">
    <dxf>
      <font>
        <name val="Times New Roman"/>
        <scheme val="none"/>
        <sz val="14"/>
      </font>
      <alignment horizontal="center" vertical="center"/>
    </dxf>
    <dxf>
      <font>
        <name val="Times New Roman"/>
        <scheme val="none"/>
        <sz val="14"/>
      </font>
      <numFmt numFmtId="0" formatCode="General"/>
      <alignment horizontal="center" vertical="center"/>
    </dxf>
    <dxf>
      <font>
        <name val="Times New Roman"/>
        <scheme val="none"/>
        <sz val="14"/>
      </font>
      <numFmt numFmtId="0" formatCode="General"/>
      <alignment horizontal="center" vertical="center"/>
    </dxf>
    <dxf>
      <font>
        <name val="Times New Roman"/>
        <scheme val="none"/>
        <b val="0"/>
        <i val="0"/>
        <strike val="0"/>
        <u val="none"/>
        <sz val="14"/>
        <color rgb="FF1D1D1D"/>
      </font>
      <alignment horizontal="center" vertical="center"/>
      <border>
        <left style="thin">
          <color rgb="FF000000"/>
        </left>
        <right style="thin">
          <color rgb="FF000000"/>
        </right>
        <top style="thin">
          <color rgb="FF000000"/>
        </top>
        <bottom/>
      </border>
    </dxf>
    <dxf>
      <font>
        <name val="Times New Roman"/>
        <scheme val="none"/>
        <b val="0"/>
        <i val="0"/>
        <strike val="0"/>
        <u val="none"/>
        <sz val="14"/>
        <color theme="1"/>
      </font>
      <numFmt numFmtId="3" formatCode="#,##0"/>
      <fill>
        <patternFill patternType="none"/>
      </fill>
      <alignment horizontal="center" vertical="center"/>
      <border>
        <left style="thin">
          <color rgb="FF000000"/>
        </left>
        <right style="thin">
          <color rgb="FF000000"/>
        </right>
        <top style="thin">
          <color rgb="FF000000"/>
        </top>
        <bottom/>
      </border>
    </dxf>
    <dxf>
      <font>
        <name val="Times New Roman"/>
        <scheme val="none"/>
        <b val="0"/>
        <i val="0"/>
        <strike val="0"/>
        <u val="none"/>
        <sz val="14"/>
        <color rgb="FF000000"/>
      </font>
      <fill>
        <patternFill patternType="solid">
          <bgColor theme="0"/>
        </patternFill>
      </fill>
      <border>
        <left/>
        <right style="thin">
          <color rgb="FF000000"/>
        </right>
        <top style="thin">
          <color rgb="FF000000"/>
        </top>
        <bottom style="thin">
          <color rgb="FF000000"/>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style="thin">
          <color rgb="FF000000"/>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style="thin">
          <color rgb="FF000000"/>
        </bottom>
      </border>
    </dxf>
    <dxf>
      <font>
        <name val="Times New Roman"/>
        <scheme val="none"/>
        <b val="0"/>
        <i val="0"/>
        <strike val="0"/>
        <u val="none"/>
        <sz val="14"/>
        <color rgb="FF000000"/>
      </font>
      <fill>
        <patternFill patternType="solid">
          <bgColor theme="0"/>
        </patternFill>
      </fill>
      <border>
        <left/>
        <right style="thin">
          <color rgb="FF000000"/>
        </right>
        <top style="thin">
          <color rgb="FF000000"/>
        </top>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border>
    </dxf>
    <dxf>
      <font>
        <name val="Times New Roman"/>
        <scheme val="none"/>
        <b val="0"/>
        <i val="0"/>
        <strike val="0"/>
        <u val="none"/>
        <sz val="14"/>
        <color rgb="FF000000"/>
      </font>
      <fill>
        <patternFill patternType="solid">
          <bgColor theme="0"/>
        </patternFill>
      </fill>
      <border>
        <left/>
        <right style="thin">
          <color rgb="FF000000"/>
        </right>
        <top style="thin">
          <color rgb="FF000000"/>
        </top>
        <bottom style="thin">
          <color rgb="FF000000"/>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style="thin">
          <color rgb="FF000000"/>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style="thin">
          <color rgb="FF000000"/>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style="thin">
          <color rgb="FF000000"/>
        </bottom>
      </border>
    </dxf>
    <dxf>
      <font>
        <name val="Times New Roman"/>
        <scheme val="none"/>
        <b val="0"/>
        <i val="0"/>
        <strike val="0"/>
        <u val="none"/>
        <sz val="14"/>
        <color rgb="FF000000"/>
      </font>
      <numFmt numFmtId="0" formatCode="General"/>
      <fill>
        <patternFill patternType="solid">
          <bgColor theme="0"/>
        </patternFill>
      </fill>
      <border>
        <left style="thin">
          <color rgb="FF000000"/>
        </left>
        <right style="thin">
          <color rgb="FF000000"/>
        </right>
        <top style="thin">
          <color rgb="FF000000"/>
        </top>
        <bottom style="thin">
          <color rgb="FF000000"/>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style="thin">
          <color rgb="FF000000"/>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style="thin">
          <color rgb="FF000000"/>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style="thin">
          <color rgb="FF000000"/>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style="thin">
          <color rgb="FF000000"/>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style="thin">
          <color rgb="FF000000"/>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style="thin">
          <color rgb="FF000000"/>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style="thin">
          <color rgb="FF000000"/>
        </bottom>
      </border>
    </dxf>
    <dxf>
      <font>
        <name val="Times New Roman"/>
        <scheme val="none"/>
        <b val="0"/>
        <i val="0"/>
        <strike val="0"/>
        <u val="none"/>
        <sz val="14"/>
        <color rgb="FF000000"/>
      </font>
      <fill>
        <patternFill patternType="solid">
          <bgColor theme="0"/>
        </patternFill>
      </fill>
      <border>
        <left style="thin">
          <color rgb="FF000000"/>
        </left>
        <right style="thin">
          <color rgb="FF000000"/>
        </right>
        <top style="thin">
          <color rgb="FF000000"/>
        </top>
        <bottom style="thin">
          <color rgb="FF000000"/>
        </bottom>
      </border>
    </dxf>
    <dxf>
      <font>
        <name val="Times New Roman"/>
        <scheme val="none"/>
        <b val="0"/>
        <i val="0"/>
        <strike val="0"/>
        <u val="none"/>
        <sz val="14"/>
        <color rgb="FF000000"/>
      </font>
      <fill>
        <patternFill patternType="solid">
          <bgColor theme="0"/>
        </patternFill>
      </fill>
      <border>
        <left style="thin">
          <color rgb="FF000000"/>
        </left>
        <right/>
        <top style="thin">
          <color rgb="FF000000"/>
        </top>
        <bottom style="thin">
          <color rgb="FF000000"/>
        </bottom>
      </border>
    </dxf>
    <dxf>
      <font>
        <name val="Times New Roman"/>
        <scheme val="none"/>
        <sz val="14"/>
      </font>
      <fill>
        <patternFill patternType="solid">
          <bgColor theme="0"/>
        </patternFill>
      </fill>
      <border>
        <left/>
        <right style="thin">
          <color rgb="FF000000"/>
        </right>
        <top/>
        <bottom/>
      </border>
    </dxf>
    <dxf>
      <font>
        <name val="Times New Roman"/>
        <scheme val="none"/>
        <sz val="14"/>
      </font>
      <fill>
        <patternFill patternType="solid">
          <bgColor theme="0"/>
        </patternFill>
      </fill>
      <border>
        <left/>
        <right style="thin">
          <color rgb="FF000000"/>
        </right>
        <top style="thin">
          <color rgb="FF000000"/>
        </top>
        <bottom/>
      </border>
    </dxf>
    <dxf>
      <font>
        <name val="Times New Roman"/>
        <scheme val="none"/>
        <sz val="14"/>
      </font>
      <fill>
        <patternFill patternType="solid">
          <bgColor theme="0"/>
        </patternFill>
      </fill>
      <border>
        <left style="thin">
          <color rgb="FF000000"/>
        </left>
        <right style="thin">
          <color rgb="FF000000"/>
        </right>
        <top style="thin">
          <color rgb="FF000000"/>
        </top>
        <bottom/>
      </border>
    </dxf>
    <dxf>
      <font>
        <name val="Times New Roman"/>
        <scheme val="none"/>
        <sz val="14"/>
      </font>
      <fill>
        <patternFill patternType="solid">
          <bgColor theme="0"/>
        </patternFill>
      </fill>
      <border>
        <left style="thin">
          <color rgb="FF000000"/>
        </left>
        <right style="thin">
          <color rgb="FF000000"/>
        </right>
        <top style="thin">
          <color rgb="FF000000"/>
        </top>
        <bottom/>
      </border>
    </dxf>
    <dxf>
      <font>
        <name val="Times New Roman"/>
        <scheme val="none"/>
        <sz val="14"/>
      </font>
      <fill>
        <patternFill patternType="solid">
          <bgColor theme="0"/>
        </patternFill>
      </fill>
      <border>
        <left style="thin">
          <color rgb="FF000000"/>
        </left>
        <right style="thin">
          <color rgb="FF000000"/>
        </right>
        <top style="thin">
          <color rgb="FF000000"/>
        </top>
        <bottom/>
      </border>
    </dxf>
    <dxf>
      <font>
        <name val="Times New Roman"/>
        <scheme val="none"/>
        <sz val="14"/>
      </font>
      <fill>
        <patternFill patternType="solid">
          <bgColor theme="0"/>
        </patternFill>
      </fill>
      <border>
        <left style="thin">
          <color rgb="FF000000"/>
        </left>
        <right style="thin">
          <color rgb="FF000000"/>
        </right>
        <top style="thin">
          <color rgb="FF000000"/>
        </top>
        <bottom/>
      </border>
    </dxf>
    <dxf>
      <font>
        <name val="Times New Roman"/>
        <scheme val="none"/>
        <sz val="14"/>
      </font>
      <fill>
        <patternFill patternType="solid">
          <bgColor theme="0"/>
        </patternFill>
      </fill>
      <border>
        <left style="thin">
          <color rgb="FF000000"/>
        </left>
        <right style="thin">
          <color rgb="FF000000"/>
        </right>
        <top style="thin">
          <color rgb="FF000000"/>
        </top>
        <bottom/>
      </border>
    </dxf>
    <dxf>
      <font>
        <name val="Times New Roman"/>
        <scheme val="none"/>
        <sz val="14"/>
      </font>
      <fill>
        <patternFill patternType="solid">
          <bgColor theme="0"/>
        </patternFill>
      </fill>
      <border>
        <left/>
        <right style="thin">
          <color rgb="FF000000"/>
        </right>
        <top/>
        <bottom/>
      </border>
    </dxf>
    <dxf>
      <font>
        <name val="Times New Roman"/>
        <scheme val="none"/>
        <sz val="14"/>
      </font>
      <fill>
        <patternFill patternType="solid">
          <bgColor theme="0"/>
        </patternFill>
      </fill>
      <border>
        <left/>
        <right style="thin">
          <color rgb="FF000000"/>
        </right>
        <top style="thin">
          <color rgb="FF000000"/>
        </top>
        <bottom/>
      </border>
    </dxf>
    <dxf>
      <font>
        <name val="Times New Roman"/>
        <scheme val="none"/>
        <sz val="14"/>
      </font>
      <fill>
        <patternFill patternType="solid">
          <bgColor theme="0"/>
        </patternFill>
      </fill>
      <border>
        <left style="thin">
          <color rgb="FF000000"/>
        </left>
        <right style="thin">
          <color rgb="FF000000"/>
        </right>
        <top style="thin">
          <color rgb="FF000000"/>
        </top>
        <bottom/>
      </border>
    </dxf>
    <dxf>
      <font>
        <name val="Times New Roman"/>
        <scheme val="none"/>
        <sz val="14"/>
      </font>
      <fill>
        <patternFill patternType="solid">
          <bgColor theme="0"/>
        </patternFill>
      </fill>
      <border>
        <left style="thin">
          <color rgb="FF000000"/>
        </left>
        <right style="thin">
          <color rgb="FF000000"/>
        </right>
        <top style="thin">
          <color rgb="FF000000"/>
        </top>
        <bottom/>
      </border>
    </dxf>
    <dxf>
      <font>
        <name val="Times New Roman"/>
        <scheme val="none"/>
        <sz val="14"/>
      </font>
      <fill>
        <patternFill patternType="solid">
          <bgColor theme="0"/>
        </patternFill>
      </fill>
      <border>
        <left style="thin">
          <color rgb="FF000000"/>
        </left>
        <right style="thin">
          <color rgb="FF000000"/>
        </right>
        <top style="thin">
          <color rgb="FF000000"/>
        </top>
        <bottom/>
      </border>
    </dxf>
    <dxf>
      <font>
        <name val="Times New Roman"/>
        <scheme val="none"/>
        <sz val="14"/>
      </font>
      <fill>
        <patternFill patternType="solid">
          <bgColor theme="0"/>
        </patternFill>
      </fill>
      <border>
        <left style="thin">
          <color rgb="FF000000"/>
        </left>
        <right style="thin">
          <color rgb="FF000000"/>
        </right>
        <top style="thin">
          <color rgb="FF000000"/>
        </top>
        <bottom/>
      </border>
    </dxf>
    <dxf>
      <font>
        <name val="Times New Roman"/>
        <scheme val="none"/>
        <sz val="14"/>
      </font>
      <fill>
        <patternFill patternType="solid">
          <bgColor theme="0"/>
        </patternFill>
      </fill>
      <border>
        <left style="thin">
          <color rgb="FF000000"/>
        </left>
        <right style="thin">
          <color rgb="FF000000"/>
        </right>
        <top style="thin">
          <color rgb="FF000000"/>
        </top>
        <bottom/>
      </border>
    </dxf>
    <dxf>
      <font>
        <name val="Aptos Narrow"/>
        <scheme val="none"/>
        <family val="2"/>
        <b val="1"/>
        <i val="0"/>
        <strike val="0"/>
        <u val="none"/>
        <sz val="9"/>
        <color theme="1"/>
      </font>
    </dxf>
    <dxf>
      <font>
        <name val="Aptos Narrow"/>
        <scheme val="none"/>
        <family val="2"/>
        <b val="0"/>
        <i val="0"/>
        <strike val="0"/>
        <u val="none"/>
        <sz val="9"/>
        <color theme="1"/>
      </font>
      <alignment horizontal="right"/>
    </dxf>
    <dxf>
      <font>
        <name val="Aptos Narrow"/>
        <scheme val="none"/>
        <family val="2"/>
        <b val="0"/>
        <i val="0"/>
        <strike val="0"/>
        <u val="none"/>
        <sz val="9"/>
        <color theme="1"/>
      </font>
      <alignment horizontal="right"/>
    </dxf>
    <dxf>
      <font>
        <name val="Aptos Narrow"/>
        <scheme val="none"/>
        <family val="2"/>
        <b val="0"/>
        <i val="0"/>
        <strike val="0"/>
        <u val="none"/>
        <sz val="9"/>
        <color theme="1"/>
      </font>
      <alignment horizontal="right"/>
    </dxf>
    <dxf>
      <font>
        <name val="Aptos Narrow"/>
        <scheme val="none"/>
        <family val="2"/>
        <b val="1"/>
        <i val="0"/>
        <strike val="0"/>
        <u val="none"/>
        <sz val="9"/>
        <color theme="1"/>
      </font>
      <alignment horizontal="right"/>
    </dxf>
    <dxf>
      <border>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border>
    </dxf>
    <dxf>
      <fill>
        <patternFill patternType="solid">
          <bgColor theme="0"/>
        </patternFill>
      </fill>
    </dxf>
    <dxf>
      <fill>
        <patternFill patternType="solid">
          <bgColor theme="0"/>
        </patternFill>
      </fill>
      <border>
        <left style="thin">
          <color theme="3"/>
        </left>
        <right style="thin">
          <color theme="3"/>
        </right>
      </border>
    </dxf>
    <dxf>
      <fill>
        <patternFill patternType="solid">
          <bgColor theme="0"/>
        </patternFill>
      </fill>
    </dxf>
    <dxf>
      <font>
        <name val="Times New Roman"/>
        <scheme val="none"/>
        <sz val="14"/>
      </font>
    </dxf>
    <dxf>
      <font>
        <name val="Times New Roman"/>
        <scheme val="none"/>
        <sz val="14"/>
      </font>
    </dxf>
    <dxf>
      <font>
        <name val="Times New Roman"/>
        <scheme val="none"/>
        <sz val="14"/>
      </font>
    </dxf>
    <dxf>
      <font>
        <name val="Times New Roman"/>
        <scheme val="none"/>
        <sz val="14"/>
      </font>
    </dxf>
    <dxf>
      <font>
        <name val="Times New Roman"/>
        <scheme val="none"/>
        <sz val="14"/>
      </font>
    </dxf>
    <dxf>
      <font>
        <name val="Times New Roman"/>
        <scheme val="none"/>
        <sz val="14"/>
      </font>
    </dxf>
    <dxf>
      <font>
        <name val="Times New Roman"/>
        <scheme val="none"/>
        <sz val="14"/>
      </font>
    </dxf>
    <dxf>
      <font>
        <name val="Times New Roman"/>
        <scheme val="none"/>
        <sz val="14"/>
      </font>
    </dxf>
    <dxf>
      <font>
        <name val="Times New Roman"/>
        <scheme val="none"/>
        <sz val="14"/>
      </font>
    </dxf>
    <dxf>
      <font>
        <name val="Times New Roman"/>
        <scheme val="none"/>
        <sz val="14"/>
      </font>
    </dxf>
    <dxf>
      <font>
        <name val="Times New Roman"/>
        <scheme val="none"/>
        <sz val="14"/>
      </font>
    </dxf>
    <dxf>
      <font>
        <name val="Times New Roman"/>
        <scheme val="none"/>
        <sz val="14"/>
      </font>
    </dxf>
    <dxf>
      <font>
        <name val="Times New Roman"/>
        <scheme val="none"/>
        <sz val="14"/>
      </font>
    </dxf>
    <dxf>
      <font>
        <name val="Times New Roman"/>
        <scheme val="none"/>
        <sz val="14"/>
      </font>
    </dxf>
    <dxf>
      <font>
        <name val="Times New Roman"/>
        <scheme val="none"/>
        <b val="0"/>
        <i val="0"/>
        <strike val="0"/>
        <u val="none"/>
        <sz val="14"/>
        <color theme="1"/>
      </font>
    </dxf>
    <dxf>
      <font>
        <name val="Times New Roman"/>
        <scheme val="none"/>
        <b val="0"/>
        <i val="0"/>
        <strike val="0"/>
        <u val="none"/>
        <sz val="14"/>
        <color theme="1"/>
      </font>
    </dxf>
    <dxf>
      <font>
        <name val="Times New Roman"/>
        <scheme val="none"/>
        <b val="0"/>
        <i val="0"/>
        <strike val="0"/>
        <u val="none"/>
        <sz val="14"/>
        <color theme="1"/>
      </font>
    </dxf>
    <dxf>
      <font>
        <name val="Times New Roman"/>
        <scheme val="none"/>
        <b val="0"/>
        <i val="0"/>
        <strike val="0"/>
        <u val="none"/>
        <sz val="14"/>
        <color theme="1"/>
      </font>
    </dxf>
    <dxf>
      <font>
        <name val="Times New Roman"/>
        <scheme val="none"/>
        <b val="0"/>
        <i val="0"/>
        <strike val="0"/>
        <u val="none"/>
        <sz val="14"/>
        <color theme="1"/>
      </font>
    </dxf>
  </dxfs>
  <tableStyles count="0" defaultTableStyle="TableStyleMedium2" defaultPivotStyle="PivotStyleMedium9"/>
  <colors>
    <mruColors>
      <color rgb="00078276"/>
      <color rgb="0007524C"/>
      <color rgb="001B6B4B"/>
      <color rgb="00369971"/>
      <color rgb="00277A59"/>
      <color rgb="00526E5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eetMetadata" Target="metadata.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733425</xdr:colOff>
      <xdr:row>5</xdr:row>
      <xdr:rowOff>19050</xdr:rowOff>
    </xdr:from>
    <xdr:to>
      <xdr:col>2</xdr:col>
      <xdr:colOff>1247775</xdr:colOff>
      <xdr:row>8</xdr:row>
      <xdr:rowOff>323850</xdr:rowOff>
    </xdr:to>
    <xdr:sp>
      <xdr:nvSpPr>
        <xdr:cNvPr id="2" name="Flèche vers le bas 1"/>
        <xdr:cNvSpPr/>
      </xdr:nvSpPr>
      <xdr:spPr>
        <a:xfrm>
          <a:off x="5925185" y="1590675"/>
          <a:ext cx="514350" cy="1095375"/>
        </a:xfrm>
        <a:prstGeom prst="downArrow">
          <a:avLst/>
        </a:prstGeom>
        <a:ln>
          <a:solidFill>
            <a:schemeClr val="accent6"/>
          </a:solidFill>
        </a:ln>
      </xdr:spPr>
      <xdr:style>
        <a:lnRef idx="3">
          <a:schemeClr val="lt1"/>
        </a:lnRef>
        <a:fillRef idx="1">
          <a:schemeClr val="accent6"/>
        </a:fillRef>
        <a:effectRef idx="1">
          <a:schemeClr val="accent6"/>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4</xdr:col>
      <xdr:colOff>23812</xdr:colOff>
      <xdr:row>10</xdr:row>
      <xdr:rowOff>80963</xdr:rowOff>
    </xdr:from>
    <xdr:to>
      <xdr:col>4</xdr:col>
      <xdr:colOff>4376737</xdr:colOff>
      <xdr:row>11</xdr:row>
      <xdr:rowOff>261938</xdr:rowOff>
    </xdr:to>
    <xdr:sp>
      <xdr:nvSpPr>
        <xdr:cNvPr id="3" name="Flèche vers le bas 2"/>
        <xdr:cNvSpPr/>
      </xdr:nvSpPr>
      <xdr:spPr>
        <a:xfrm rot="16180507">
          <a:off x="12209780" y="1285875"/>
          <a:ext cx="571500" cy="4352925"/>
        </a:xfrm>
        <a:prstGeom prst="downArrow">
          <a:avLst/>
        </a:prstGeom>
        <a:ln>
          <a:solidFill>
            <a:schemeClr val="accent6"/>
          </a:solidFill>
        </a:ln>
      </xdr:spPr>
      <xdr:style>
        <a:lnRef idx="3">
          <a:schemeClr val="lt1"/>
        </a:lnRef>
        <a:fillRef idx="1">
          <a:schemeClr val="accent6"/>
        </a:fillRef>
        <a:effectRef idx="1">
          <a:schemeClr val="accent6"/>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8</xdr:col>
      <xdr:colOff>4763</xdr:colOff>
      <xdr:row>24</xdr:row>
      <xdr:rowOff>71437</xdr:rowOff>
    </xdr:from>
    <xdr:to>
      <xdr:col>9</xdr:col>
      <xdr:colOff>947738</xdr:colOff>
      <xdr:row>25</xdr:row>
      <xdr:rowOff>128587</xdr:rowOff>
    </xdr:to>
    <xdr:sp>
      <xdr:nvSpPr>
        <xdr:cNvPr id="5" name="Flèche vers le bas 4"/>
        <xdr:cNvSpPr/>
      </xdr:nvSpPr>
      <xdr:spPr>
        <a:xfrm rot="16208365">
          <a:off x="22662515" y="6560820"/>
          <a:ext cx="447675" cy="2540000"/>
        </a:xfrm>
        <a:prstGeom prst="downArrow">
          <a:avLst/>
        </a:prstGeom>
        <a:ln>
          <a:solidFill>
            <a:schemeClr val="accent6"/>
          </a:solidFill>
        </a:ln>
      </xdr:spPr>
      <xdr:style>
        <a:lnRef idx="3">
          <a:schemeClr val="lt1"/>
        </a:lnRef>
        <a:fillRef idx="1">
          <a:schemeClr val="accent6"/>
        </a:fillRef>
        <a:effectRef idx="1">
          <a:schemeClr val="accent6"/>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2</xdr:col>
      <xdr:colOff>0</xdr:colOff>
      <xdr:row>23</xdr:row>
      <xdr:rowOff>228600</xdr:rowOff>
    </xdr:from>
    <xdr:to>
      <xdr:col>2</xdr:col>
      <xdr:colOff>2714625</xdr:colOff>
      <xdr:row>24</xdr:row>
      <xdr:rowOff>381000</xdr:rowOff>
    </xdr:to>
    <xdr:sp>
      <xdr:nvSpPr>
        <xdr:cNvPr id="6" name="Left-Right Arrow 5"/>
        <xdr:cNvSpPr/>
      </xdr:nvSpPr>
      <xdr:spPr>
        <a:xfrm>
          <a:off x="5191760" y="7412355"/>
          <a:ext cx="2714625" cy="504825"/>
        </a:xfrm>
        <a:prstGeom prst="leftRightArrow">
          <a:avLst/>
        </a:prstGeom>
        <a:ln>
          <a:solidFill>
            <a:schemeClr val="accent6"/>
          </a:solid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a:p>
      </xdr:txBody>
    </xdr:sp>
    <xdr:clientData/>
  </xdr:twoCellAnchor>
  <xdr:twoCellAnchor>
    <xdr:from>
      <xdr:col>16</xdr:col>
      <xdr:colOff>2190750</xdr:colOff>
      <xdr:row>12</xdr:row>
      <xdr:rowOff>19050</xdr:rowOff>
    </xdr:from>
    <xdr:to>
      <xdr:col>17</xdr:col>
      <xdr:colOff>247650</xdr:colOff>
      <xdr:row>16</xdr:row>
      <xdr:rowOff>161925</xdr:rowOff>
    </xdr:to>
    <xdr:sp>
      <xdr:nvSpPr>
        <xdr:cNvPr id="4" name="Up Arrow 3"/>
        <xdr:cNvSpPr/>
      </xdr:nvSpPr>
      <xdr:spPr>
        <a:xfrm>
          <a:off x="36821745" y="3819525"/>
          <a:ext cx="584200" cy="1200150"/>
        </a:xfrm>
        <a:prstGeom prst="upArrow">
          <a:avLst/>
        </a:prstGeom>
        <a:solidFill>
          <a:schemeClr val="accent6"/>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10</xdr:col>
      <xdr:colOff>9525</xdr:colOff>
      <xdr:row>60</xdr:row>
      <xdr:rowOff>133350</xdr:rowOff>
    </xdr:from>
    <xdr:to>
      <xdr:col>10</xdr:col>
      <xdr:colOff>2552700</xdr:colOff>
      <xdr:row>63</xdr:row>
      <xdr:rowOff>9525</xdr:rowOff>
    </xdr:to>
    <xdr:sp>
      <xdr:nvSpPr>
        <xdr:cNvPr id="7" name="Flèche droite 6"/>
        <xdr:cNvSpPr/>
      </xdr:nvSpPr>
      <xdr:spPr>
        <a:xfrm>
          <a:off x="24276050" y="17832705"/>
          <a:ext cx="2543175" cy="657225"/>
        </a:xfrm>
        <a:prstGeom prst="rightArrow">
          <a:avLst/>
        </a:prstGeom>
        <a:solidFill>
          <a:schemeClr val="accent3">
            <a:lumMod val="60000"/>
            <a:lumOff val="40000"/>
          </a:schemeClr>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wsDr>
</file>

<file path=xl/tables/table1.xml><?xml version="1.0" encoding="utf-8"?>
<table xmlns="http://schemas.openxmlformats.org/spreadsheetml/2006/main" id="3" name="Table3" displayName="Table3" ref="F39:H41" totalsRowShown="0">
  <autoFilter xmlns:etc="http://www.wps.cn/officeDocument/2017/etCustomData" ref="F39:H41" etc:filterBottomFollowUsedRange="0"/>
  <tableColumns count="3">
    <tableColumn id="1" name="Average Weight (kg)" dataDxfId="0"/>
    <tableColumn id="2" name="Number of Mangoes/year" dataDxfId="1">
      <calculatedColumnFormula>G35/F40</calculatedColumnFormula>
    </tableColumn>
    <tableColumn id="3" name="Cost per Mango" dataDxfId="2">
      <calculatedColumnFormula>D36/G40</calculatedColumnFormula>
    </tableColumn>
  </tableColumns>
  <tableStyleInfo showFirstColumn="0" showLastColumn="0" showRowStripes="1" showColumnStripes="0"/>
</table>
</file>

<file path=xl/tables/table2.xml><?xml version="1.0" encoding="utf-8"?>
<table xmlns="http://schemas.openxmlformats.org/spreadsheetml/2006/main" id="8" name="Table8" displayName="Table8" ref="A22:B28" totalsRowShown="0">
  <autoFilter xmlns:etc="http://www.wps.cn/officeDocument/2017/etCustomData" ref="A22:B28" etc:filterBottomFollowUsedRange="0"/>
  <tableColumns count="2">
    <tableColumn id="1" name="Equipment" dataDxfId="3"/>
    <tableColumn id="2" name="2 ha " dataDxfId="4"/>
  </tableColumns>
  <tableStyleInfo showFirstColumn="0" showLastColumn="0" showRowStripes="1" showColumnStripes="0"/>
</table>
</file>

<file path=xl/tables/table3.xml><?xml version="1.0" encoding="utf-8"?>
<table xmlns="http://schemas.openxmlformats.org/spreadsheetml/2006/main" id="1" name="Tableau1" displayName="Tableau1" ref="A20:C30" totalsRowShown="0">
  <autoFilter xmlns:etc="http://www.wps.cn/officeDocument/2017/etCustomData" ref="A20:C30" etc:filterBottomFollowUsedRange="0"/>
  <tableColumns count="3">
    <tableColumn id="1" name="Parameter" dataDxfId="5"/>
    <tableColumn id="2" name="Value" dataDxfId="6"/>
    <tableColumn id="3" name="Unit / Note" dataDxfId="7"/>
  </tableColumns>
  <tableStyleInfo name="TableStyleMedium2" showFirstColumn="0" showLastColumn="0" showRowStripes="1" showColumnStripes="0"/>
</table>
</file>

<file path=xl/tables/table4.xml><?xml version="1.0" encoding="utf-8"?>
<table xmlns="http://schemas.openxmlformats.org/spreadsheetml/2006/main" id="6" name="Tableau6" displayName="Tableau6" ref="A37:G38" totalsRowShown="0">
  <autoFilter xmlns:etc="http://www.wps.cn/officeDocument/2017/etCustomData" ref="A37:G38" etc:filterBottomFollowUsedRange="0"/>
  <tableColumns count="7">
    <tableColumn id="1" name="add_fan_power_kW" dataDxfId="8"/>
    <tableColumn id="2" name="sensor_cost_per_dryer_€" dataDxfId="9"/>
    <tableColumn id="3" name="gateway_cost_per_site_€" dataDxfId="10"/>
    <tableColumn id="4" name="connectivity_monthly_per_dryer_€" dataDxfId="11"/>
    <tableColumn id="5" name="cloud_subscription_annual_€" dataDxfId="12"/>
    <tableColumn id="6" name="installation_cost_per_dryer_€" dataDxfId="13"/>
    <tableColumn id="7" name="iot_capex_lifetime_years" dataDxfId="14"/>
  </tableColumns>
  <tableStyleInfo name="TableStyleMedium2" showFirstColumn="0" showLastColumn="0" showRowStripes="1" showColumnStripes="0"/>
</table>
</file>

<file path=xl/tables/table5.xml><?xml version="1.0" encoding="utf-8"?>
<table xmlns="http://schemas.openxmlformats.org/spreadsheetml/2006/main" id="9" name="Tableau210" displayName="Tableau210" ref="A107:N117" totalsRowShown="0">
  <autoFilter xmlns:etc="http://www.wps.cn/officeDocument/2017/etCustomData" ref="A107:N117" etc:filterBottomFollowUsedRange="0"/>
  <tableColumns count="14">
    <tableColumn id="1" name="Scenario_ha" dataDxfId="15"/>
    <tableColumn id="2" name="Year" dataDxfId="16"/>
    <tableColumn id="3" name="Usable_fresh_kg" dataDxfId="17">
      <calculatedColumnFormula>Tableau210[[#This Row],[Scenario_ha]]*#REF!</calculatedColumnFormula>
    </tableColumn>
    <tableColumn id="4" name="Dried_kg" dataDxfId="18">
      <calculatedColumnFormula>Tableau210[[#This Row],[Usable_fresh_kg]]*0.1</calculatedColumnFormula>
    </tableColumn>
    <tableColumn id="5" name="Export_price_€" dataDxfId="19">
      <calculatedColumnFormula>Tableau210[[#This Row],[Dried_kg]]*B25</calculatedColumnFormula>
    </tableColumn>
    <tableColumn id="6" name="Unit_cost_€_per_kg" dataDxfId="20"/>
    <tableColumn id="7" name="Yearly_dried_mango_cost_€" dataDxfId="21">
      <calculatedColumnFormula>Tableau210[[#This Row],[Unit_cost_€_per_kg]]*Tableau210[[#This Row],[Dried_kg]]</calculatedColumnFormula>
    </tableColumn>
    <tableColumn id="9" name="Cycles" dataDxfId="22"/>
    <tableColumn id="10" name="Energy_cost_€" dataDxfId="23"/>
    <tableColumn id="12" name="Maintenance_€" dataDxfId="24"/>
    <tableColumn id="13" name="Total_costs_all_€" dataDxfId="25">
      <calculatedColumnFormula>Tableau210[[#This Row],[Yearly_dried_mango_cost_€]]+Tableau210[[#This Row],[Export_price_€]]</calculatedColumnFormula>
    </tableColumn>
    <tableColumn id="15" name="Net_profit_€" dataDxfId="26">
      <calculatedColumnFormula>Tableau210[[#This Row],[Yearly_dried_mango_cost_€]]-Tableau210[[#This Row],[Energy_cost_€]]-Tableau210[[#This Row],[Maintenance_€]]</calculatedColumnFormula>
    </tableColumn>
    <tableColumn id="21" name="Inventory_turnover_per_year" dataDxfId="27"/>
    <tableColumn id="24" name="Dryers_used" dataDxfId="28"/>
  </tableColumns>
  <tableStyleInfo name="TableStyleMedium2" showFirstColumn="0" showLastColumn="0" showRowStripes="1" showColumnStripes="0"/>
</table>
</file>

<file path=xl/tables/table6.xml><?xml version="1.0" encoding="utf-8"?>
<table xmlns="http://schemas.openxmlformats.org/spreadsheetml/2006/main" id="2" name="Table173" displayName="Table173" ref="A85:G86" totalsRowShown="0">
  <autoFilter xmlns:etc="http://www.wps.cn/officeDocument/2017/etCustomData" ref="A85:G86" etc:filterBottomFollowUsedRange="0"/>
  <tableColumns count="7">
    <tableColumn id="1" name="Scenario_ha" dataDxfId="29"/>
    <tableColumn id="2" name="Weekly_dried_avg_kg" dataDxfId="30"/>
    <tableColumn id="3" name="Weekly_revenue_avg_€" dataDxfId="31"/>
    <tableColumn id="4" name="Weekly_prod_cost_avg_€" dataDxfId="32"/>
    <tableColumn id="5" name="Weekly_energy_avg_€" dataDxfId="33"/>
    <tableColumn id="6" name="Weekly_maintenance_avg_€" dataDxfId="34"/>
    <tableColumn id="7" name="Weekly_profit_avg_€" dataDxfId="35">
      <calculatedColumnFormula>Table173[[#This Row],[Weekly_revenue_avg_€]]-Table173[[#This Row],[Weekly_prod_cost_avg_€]]-Table173[[#This Row],[Weekly_energy_avg_€]]-Table173[[#This Row],[Weekly_maintenance_avg_€]]</calculatedColumnFormula>
    </tableColumn>
  </tableColumns>
  <tableStyleInfo name="TableStyleMedium2" showFirstColumn="0" showLastColumn="0" showRowStripes="1" showColumnStripes="0"/>
</table>
</file>

<file path=xl/tables/table7.xml><?xml version="1.0" encoding="utf-8"?>
<table xmlns="http://schemas.openxmlformats.org/spreadsheetml/2006/main" id="5" name="Table1736" displayName="Table1736" ref="A95:G96" totalsRowShown="0">
  <autoFilter xmlns:etc="http://www.wps.cn/officeDocument/2017/etCustomData" ref="A95:G96" etc:filterBottomFollowUsedRange="0"/>
  <tableColumns count="7">
    <tableColumn id="1" name="Scenario_ha" dataDxfId="36"/>
    <tableColumn id="2" name="Monthly_dried_avg_kg" dataDxfId="37"/>
    <tableColumn id="3" name="Monthly_revenue_avg_€" dataDxfId="38"/>
    <tableColumn id="4" name="Monthly_prod_cost_avg_€" dataDxfId="39"/>
    <tableColumn id="5" name="Monthly_energy_avg_€" dataDxfId="40"/>
    <tableColumn id="6" name="Monthly_maintenance_avg_€" dataDxfId="41"/>
    <tableColumn id="7" name="Monthly_profit_avg_€" dataDxfId="42">
      <calculatedColumnFormula>Table1736[[#This Row],[Monthly_revenue_avg_€]]-Table1736[[#This Row],[Monthly_prod_cost_avg_€]]-Table1736[[#This Row],[Monthly_energy_avg_€]]-Table1736[[#This Row],[Monthly_maintenance_avg_€]]</calculatedColumnFormula>
    </tableColumn>
  </tableColumns>
  <tableStyleInfo name="TableStyleMedium2" showFirstColumn="0" showLastColumn="0" showRowStripes="1" showColumnStripes="0"/>
</table>
</file>

<file path=xl/tables/table8.xml><?xml version="1.0" encoding="utf-8"?>
<table xmlns="http://schemas.openxmlformats.org/spreadsheetml/2006/main" id="15" name="Tableau15" displayName="Tableau15" ref="A6:E12" totalsRowShown="0">
  <autoFilter xmlns:etc="http://www.wps.cn/officeDocument/2017/etCustomData" ref="A6:E12" etc:filterBottomFollowUsedRange="0"/>
  <tableColumns count="5">
    <tableColumn id="1" name="Indicator" dataDxfId="43"/>
    <tableColumn id="2" name="Without Voice Translation App (per year)" dataDxfId="44"/>
    <tableColumn id="3" name="With Voice Translation App (per year)" dataDxfId="45"/>
    <tableColumn id="4" name="Gain due to No-Reesa App" dataDxfId="46"/>
    <tableColumn id="5" name="Impact (%)" dataDxfId="47"/>
  </tableColumns>
  <tableStyleInfo name="TableStyleMedium2" showFirstColumn="0" showLastColumn="0" showRowStripes="1" showColumnStripes="0"/>
</table>
</file>

<file path=xl/tables/table9.xml><?xml version="1.0" encoding="utf-8"?>
<table xmlns="http://schemas.openxmlformats.org/spreadsheetml/2006/main" id="4" name="Tableau4" displayName="Tableau4" ref="A16:C26" totalsRowShown="0">
  <autoFilter xmlns:etc="http://www.wps.cn/officeDocument/2017/etCustomData" ref="A16:C26" etc:filterBottomFollowUsedRange="0"/>
  <tableColumns count="3">
    <tableColumn id="1" name="Category" dataDxfId="48"/>
    <tableColumn id="2" name="Description" dataDxfId="49"/>
    <tableColumn id="4" name="Estimated Cost (EUR)" dataDxfId="50"/>
  </tableColumns>
  <tableStyleInfo name="TableStyleMedium2" showFirstColumn="0" showLastColumn="0" showRowStripes="1" showColumnStripes="0"/>
</table>
</file>

<file path=xl/tables/table10.xml><?xml version="1.0" encoding="utf-8"?>
<table xmlns="http://schemas.openxmlformats.org/spreadsheetml/2006/main" id="17" name="Tableau17" displayName="Tableau17" ref="G20:I25" totalsRowShown="0">
  <autoFilter xmlns:etc="http://www.wps.cn/officeDocument/2017/etCustomData" ref="G20:I25" etc:filterBottomFollowUsedRange="0"/>
  <tableColumns count="3">
    <tableColumn id="1" name="Source" dataDxfId="51"/>
    <tableColumn id="2" name="Description" dataDxfId="52"/>
    <tableColumn id="3" name="Link" dataDxfId="53"/>
  </tableColumns>
  <tableStyleInfo name="TableStyleMedium2" showFirstColumn="0" showLastColumn="0" showRowStripes="1" showColumnStripes="0"/>
</table>
</file>

<file path=xl/tables/table11.xml><?xml version="1.0" encoding="utf-8"?>
<table xmlns="http://schemas.openxmlformats.org/spreadsheetml/2006/main" id="7" name="Tableau7" displayName="Tableau7" ref="A12:B18" totalsRowShown="0">
  <autoFilter xmlns:etc="http://www.wps.cn/officeDocument/2017/etCustomData" ref="A12:B18" etc:filterBottomFollowUsedRange="0"/>
  <tableColumns count="2">
    <tableColumn id="1" name="Item" dataDxfId="54"/>
    <tableColumn id="2" name="Details" dataDxfId="55"/>
  </tableColumns>
  <tableStyleInfo name="TableStyleMedium2" showFirstColumn="0" showLastColumn="0" showRowStripes="1" showColumnStripes="0"/>
</table>
</file>

<file path=xl/tables/table12.xml><?xml version="1.0" encoding="utf-8"?>
<table xmlns="http://schemas.openxmlformats.org/spreadsheetml/2006/main" id="11" name="Tableau11" displayName="Tableau11" ref="A22:F31" totalsRowShown="0">
  <autoFilter xmlns:etc="http://www.wps.cn/officeDocument/2017/etCustomData" ref="A22:F31" etc:filterBottomFollowUsedRange="0"/>
  <tableColumns count="6">
    <tableColumn id="1" name="Component" dataDxfId="56"/>
    <tableColumn id="2" name="Unit" dataDxfId="57"/>
    <tableColumn id="3" name="Quantity" dataDxfId="58"/>
    <tableColumn id="4" name="Unit Cost (€)" dataDxfId="59"/>
    <tableColumn id="5" name="Subtotal (€)" dataDxfId="60"/>
    <tableColumn id="6" name="Specifications" dataDxfId="61"/>
  </tableColumns>
  <tableStyleInfo name="TableStyleMedium2" showFirstColumn="0" showLastColumn="0" showRowStripes="1" showColumnStripes="0"/>
</table>
</file>

<file path=xl/tables/table13.xml><?xml version="1.0" encoding="utf-8"?>
<table xmlns="http://schemas.openxmlformats.org/spreadsheetml/2006/main" id="12" name="Tableau12" displayName="Tableau12" ref="A44:C48" totalsRowShown="0">
  <autoFilter xmlns:etc="http://www.wps.cn/officeDocument/2017/etCustomData" ref="A44:C48" etc:filterBottomFollowUsedRange="0"/>
  <tableColumns count="3">
    <tableColumn id="1" name="Benefit Type" dataDxfId="62"/>
    <tableColumn id="2" name="Amount (€)" dataDxfId="63"/>
    <tableColumn id="3" name="Details" dataDxfId="64"/>
  </tableColumns>
  <tableStyleInfo name="TableStyleMedium2" showFirstColumn="0" showLastColumn="0" showRowStripes="1" showColumnStripes="0"/>
</table>
</file>

<file path=xl/tables/table14.xml><?xml version="1.0" encoding="utf-8"?>
<table xmlns="http://schemas.openxmlformats.org/spreadsheetml/2006/main" id="13" name="Tableau13" displayName="Tableau13" ref="A52:C56" totalsRowShown="0">
  <autoFilter xmlns:etc="http://www.wps.cn/officeDocument/2017/etCustomData" ref="A52:C56" etc:filterBottomFollowUsedRange="0"/>
  <tableColumns count="3">
    <tableColumn id="1" name="Indicator" dataDxfId="65"/>
    <tableColumn id="2" name="Value" dataDxfId="66"/>
    <tableColumn id="3" name="Formula" dataDxfId="67"/>
  </tableColumns>
  <tableStyleInfo name="TableStyleMedium2" showFirstColumn="0" showLastColumn="0" showRowStripes="1" showColumnStripes="0"/>
</table>
</file>

<file path=xl/tables/table15.xml><?xml version="1.0" encoding="utf-8"?>
<table xmlns="http://schemas.openxmlformats.org/spreadsheetml/2006/main" id="14" name="Tableau14" displayName="Tableau14" ref="A3:C8" totalsRowShown="0">
  <autoFilter xmlns:etc="http://www.wps.cn/officeDocument/2017/etCustomData" ref="A3:C8" etc:filterBottomFollowUsedRange="0"/>
  <tableColumns count="3">
    <tableColumn id="1" name="Metric " dataDxfId="68"/>
    <tableColumn id="2" name="Result " dataDxfId="69"/>
    <tableColumn id="3" name="Explanation" dataDxfId="70"/>
  </tableColumns>
  <tableStyleInfo name="TableStyleMedium2" showFirstColumn="0" showLastColumn="0" showRowStripes="1" showColumnStripes="0"/>
</table>
</file>

<file path=xl/tables/table16.xml><?xml version="1.0" encoding="utf-8"?>
<table xmlns="http://schemas.openxmlformats.org/spreadsheetml/2006/main" id="16" name="Tableau16" displayName="Tableau16" ref="A35:B40" totalsRowShown="0">
  <autoFilter xmlns:etc="http://www.wps.cn/officeDocument/2017/etCustomData" ref="A35:B40" etc:filterBottomFollowUsedRange="0"/>
  <tableColumns count="2">
    <tableColumn id="1" name="Description " dataDxfId="71"/>
    <tableColumn id="2" name="Value" dataDxfId="7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9" Type="http://schemas.openxmlformats.org/officeDocument/2006/relationships/hyperlink" Target="https://resources.colead.link/en/system/files/file_fields/2023/10/04/02-driedmangostudyweb.pdf" TargetMode="External"/><Relationship Id="rId8" Type="http://schemas.openxmlformats.org/officeDocument/2006/relationships/hyperlink" Target="https://yearbook.mango.co.za/wp-content/uploads/2024/10/Pg-34-39-Tree-spacing-trends-and-options-for-yield-improvement-in-mango.pdf" TargetMode="External"/><Relationship Id="rId7" Type="http://schemas.openxmlformats.org/officeDocument/2006/relationships/hyperlink" Target="https://www.jains.com/Company/news/blog/HOWMUCHWATERDOESMYCROPNEEDPart2PerennialCrops1Mango.htm" TargetMode="External"/><Relationship Id="rId6" Type="http://schemas.openxmlformats.org/officeDocument/2006/relationships/hyperlink" Target="https://wikifarmer.com/library/en/article/mango-yield-harvest-and-post-harvest-handling" TargetMode="External"/><Relationship Id="rId5" Type="http://schemas.openxmlformats.org/officeDocument/2006/relationships/table" Target="../tables/table2.xml"/><Relationship Id="rId4" Type="http://schemas.openxmlformats.org/officeDocument/2006/relationships/table" Target="../tables/table1.xml"/><Relationship Id="rId3" Type="http://schemas.openxmlformats.org/officeDocument/2006/relationships/vmlDrawing" Target="../drawings/vmlDrawing2.vml"/><Relationship Id="rId2" Type="http://schemas.openxmlformats.org/officeDocument/2006/relationships/drawing" Target="../drawings/drawing1.xml"/><Relationship Id="rId14" Type="http://schemas.openxmlformats.org/officeDocument/2006/relationships/hyperlink" Target="https://agritrop.cirad.fr/573091/1/document_573091.pdf" TargetMode="External"/><Relationship Id="rId13" Type="http://schemas.openxmlformats.org/officeDocument/2006/relationships/hyperlink" Target="https://openknowledge.fao.org/server/api/core/bitstreams/849d2872-9429-46dd-a919-a9f99c197031/content" TargetMode="External"/><Relationship Id="rId12" Type="http://schemas.openxmlformats.org/officeDocument/2006/relationships/hyperlink" Target="https://www.industry.mangoes.net.au/cmsb/media/6-bpr-final_choosing-tree-spacing_upload.pdf" TargetMode="External"/><Relationship Id="rId11" Type="http://schemas.openxmlformats.org/officeDocument/2006/relationships/hyperlink" Target="https://iufost.org/iufostftp/Guide%20to%20Drying-Part1.pdf" TargetMode="External"/><Relationship Id="rId10" Type="http://schemas.openxmlformats.org/officeDocument/2006/relationships/hyperlink" Target="https://www.cbi.eu/market-information/processed-fruit-vegetables-edible-nuts/dried-mango/market-potential" TargetMode="Externa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ecowas.int/" TargetMode="External"/><Relationship Id="rId7" Type="http://schemas.openxmlformats.org/officeDocument/2006/relationships/hyperlink" Target="https://cilss.int/" TargetMode="External"/><Relationship Id="rId6" Type="http://schemas.openxmlformats.org/officeDocument/2006/relationships/hyperlink" Target="https://www.fao.org/3/x0490e/x0490e0i.htm" TargetMode="External"/><Relationship Id="rId5" Type="http://schemas.openxmlformats.org/officeDocument/2006/relationships/hyperlink" Target="https://www.fao.org/land-water/databases-and-software/climwat-for-cropwat/en/" TargetMode="External"/><Relationship Id="rId4" Type="http://schemas.openxmlformats.org/officeDocument/2006/relationships/hyperlink" Target="https://www.agrhymet.ne/" TargetMode="External"/><Relationship Id="rId3" Type="http://schemas.openxmlformats.org/officeDocument/2006/relationships/hyperlink" Target="https://www.meteo.bf/" TargetMode="External"/><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9" Type="http://schemas.openxmlformats.org/officeDocument/2006/relationships/hyperlink" Target="https://www.made-in-china.com/price/prodetail_Industrial-Plastic-Containers_lewxaQzAgjpd.html?utm_source=bing&amp;utm_medium=cpc&amp;utm_content=X7869835&amp;utm_campaign=458473113&amp;adgroup=1187474548030174&amp;utm_term=&amp;mtp=be&amp;net=o&amp;dev=c&amp;loc=143066-&amp;msclkid=bb656f65654b18bb3e630640d9a9df4e" TargetMode="External"/><Relationship Id="rId8" Type="http://schemas.openxmlformats.org/officeDocument/2006/relationships/hyperlink" Target="https://www.thomann.fr/tfa_thermo_hygrometer_comfort.htm" TargetMode="External"/><Relationship Id="rId7" Type="http://schemas.openxmlformats.org/officeDocument/2006/relationships/hyperlink" Target="https://fr.aliexpress.com/item/32988712048.html?spm=a2g0o.productlist.main.11.8ea68d96iyW78R&amp;algo_pvid=cb1ddbd5-59cd-4d90-b39a-a427385b19c3&amp;algo_exp_id=cb1ddbd5-59cd-4d90-b39a-a427385b19c3-10&amp;pdp_ext_f=%7B%22order%22%3A%2216%22%2C%22eval%22%3A%221%22%2C%22fromPage%22%3A%22search%22%7D&amp;pdp_npi=6%40dis%21XOF%218526%213836%21%21%2113.38%216.02%21%402101584917640804744663285e3abe%2112000030255307868%21sea%21BF%210%21ABX%211%210%21n_tag%3A-29910%3Bd%3A4214eca8%3Bm03_new_user%3A-29895&amp;curPageLogUid=JL9QyoTsT19q&amp;utparam-url=scene%3Asearch%7Cquery_from%3A%7Cx_object_id%3A32988712048%7C_p_origin_prod%3A&amp;_gl=1*1ub12lw*_gcl_au*MjAyNzk0MDQ2MS4xNzY0MDgwNDgw*_ga*MTQxNzAwOTUwNC4xNzUwMDgzODE3*_ga_VED1YSGNC7*czE3NjQwODA0ODEkbzQkZzAkdDE3NjQwODA0ODEkajYwJGwwJGgw" TargetMode="External"/><Relationship Id="rId6" Type="http://schemas.openxmlformats.org/officeDocument/2006/relationships/hyperlink" Target="https://www.webstaurantstore.com/regency-30-x-72-18-gauge-304-stainless-steel-commercial-work-table-with-galvanized-legs-and-undershelf/600T3072G.html" TargetMode="External"/><Relationship Id="rId5" Type="http://schemas.openxmlformats.org/officeDocument/2006/relationships/hyperlink" Target="https://tianyulux.en.made-in-china.com/product/nQmUqyKjaCRE/China-Electronic-Scales-Full-Electric-Pallet-Truck-3ton-3t-Factory-Price.html?utm_source=bing&amp;utm_medium=cpc&amp;utm_content=X7869835&amp;utm_campaign=458476370&amp;adgroup=1176479439197572&amp;utm_term=&amp;mtp=be&amp;net=o&amp;dev=c&amp;loc=143066-&amp;msclkid=39ad3f3a7aae177b8691561fc2919366" TargetMode="External"/><Relationship Id="rId4" Type="http://schemas.openxmlformats.org/officeDocument/2006/relationships/hyperlink" Target="https://www.alibaba.com/product-detail/NP-Brand-Food-Dehydrators-for-Sale_1601274819369.html?spm=a2706.7843667.0.0.7f6a549481sKM5" TargetMode="External"/><Relationship Id="rId3" Type="http://schemas.openxmlformats.org/officeDocument/2006/relationships/hyperlink" Target="https://m.made-in-china.com/product/Lonkia-Turbo-Commercial-Mango-Peeler-High-Speed-Deskinning-2103944972.html?utm_source=chatgpt.com" TargetMode="External"/><Relationship Id="rId2" Type="http://schemas.openxmlformats.org/officeDocument/2006/relationships/vmlDrawing" Target="../drawings/vmlDrawing4.vml"/><Relationship Id="rId11" Type="http://schemas.openxmlformats.org/officeDocument/2006/relationships/hyperlink" Target="https://www.amazon.fr/dp/B0CLM3XV9D/ref=sspa_dk_detail_0?psc=1&amp;pd_rd_i=B0CLM3XV9D&amp;pd_rd_w=YxyUj&amp;content-id=amzn1.sym.d28e3d6a-4412-4be7-a4f8-1c4a85ce86d9&amp;pf_rd_p=d28e3d6a-4412-4be7-a4f8-1c4a85ce86d9&amp;pf_rd_r=JX22ZZAYXE6CP9GMX6F0&amp;pd_rd_wg=KjhAs&amp;pd_rd_r=8d933c3c-8c7b-440d-b0fc-230485b7c8cb&amp;aref=KiIDs7M4r8&amp;sp_csd=d2lkZ2V0TmFtZT1zcF9kZXRhaWw" TargetMode="External"/><Relationship Id="rId10" Type="http://schemas.openxmlformats.org/officeDocument/2006/relationships/hyperlink" Target="https://french.alibaba.com/product-detail/Fully-Automatic-Sewing-System-for-5kg-1601382006771.html?spm=a2700.7724857.0.0.4f792e39iK3YRi" TargetMode="Externa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9" Type="http://schemas.openxmlformats.org/officeDocument/2006/relationships/hyperlink" Target="https://www.cbi.eu/market-information/processed-fruit-vegetables-edible-nuts/dried-mango/market-potential" TargetMode="External"/><Relationship Id="rId8" Type="http://schemas.openxmlformats.org/officeDocument/2006/relationships/hyperlink" Target="https://www.researchgate.net/publication/242642925_The_mango_tree_in_central_and_northern_Benin_Cultivar_inventory_yield_assessment_infested_stages_and_loss_due_to_fruit_flies_Diptera_Tephritidae" TargetMode="Externa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vmlDrawing" Target="../drawings/vmlDrawing5.vml"/><Relationship Id="rId12" Type="http://schemas.openxmlformats.org/officeDocument/2006/relationships/hyperlink" Target="https://www.researchgate.net/publication/376603746_POTENTIAL_AVAILABILITY_OF_MANGO_BY-PRODUCTS_IN_THE_BOBO-DIOULASSO_AND_ORODARA_AREAS_OF_BURKINA_FASO_ASSESSMENT_OF_THE_QUANTITIES_OF_MANGO_BY-PRODUCTS_AND_MANGO_FEED_PRODUCIBLE_FOR_RUMINANTS" TargetMode="External"/><Relationship Id="rId11" Type="http://schemas.openxmlformats.org/officeDocument/2006/relationships/hyperlink" Target="https://thaiscience.info/Journals/Article/SNRU/10997761.pdf" TargetMode="External"/><Relationship Id="rId10" Type="http://schemas.openxmlformats.org/officeDocument/2006/relationships/hyperlink" Target="https://www.gebana.com/eu-en/dried-fruits-mangos-amelie-bio-burkina-faso-quantity" TargetMode="External"/><Relationship Id="rId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9.xml.rels><?xml version="1.0" encoding="UTF-8" standalone="yes"?>
<Relationships xmlns="http://schemas.openxmlformats.org/package/2006/relationships"><Relationship Id="rId8" Type="http://schemas.openxmlformats.org/officeDocument/2006/relationships/hyperlink" Target="https://www.apibf.bf/" TargetMode="External"/><Relationship Id="rId7" Type="http://schemas.openxmlformats.org/officeDocument/2006/relationships/hyperlink" Target="https://cloud.google.com/" TargetMode="External"/><Relationship Id="rId6" Type="http://schemas.openxmlformats.org/officeDocument/2006/relationships/hyperlink" Target="https://huggingface.co/" TargetMode="External"/><Relationship Id="rId5" Type="http://schemas.openxmlformats.org/officeDocument/2006/relationships/hyperlink" Target="https://ai4d.ai/" TargetMode="External"/><Relationship Id="rId4" Type="http://schemas.openxmlformats.org/officeDocument/2006/relationships/hyperlink" Target="https://www.upwork.com/" TargetMode="External"/><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9"/>
  <sheetViews>
    <sheetView topLeftCell="A15" workbookViewId="0">
      <selection activeCell="D87" sqref="D87"/>
    </sheetView>
  </sheetViews>
  <sheetFormatPr defaultColWidth="9" defaultRowHeight="14.4"/>
  <cols>
    <col min="1" max="1" width="49.1388888888889" customWidth="1"/>
    <col min="2" max="2" width="37.5740740740741" customWidth="1"/>
    <col min="3" max="3" width="38.1388888888889" customWidth="1"/>
    <col min="4" max="4" width="38.8518518518519" customWidth="1"/>
    <col min="5" max="5" width="58.8518518518519" customWidth="1"/>
    <col min="6" max="6" width="11.712962962963" customWidth="1"/>
    <col min="8" max="8" width="25.8518518518519" customWidth="1"/>
    <col min="9" max="9" width="14.1388888888889" customWidth="1"/>
  </cols>
  <sheetData>
    <row r="1" ht="15" customHeight="1" spans="1:18">
      <c r="A1" s="723" t="s">
        <v>0</v>
      </c>
      <c r="B1" s="723"/>
      <c r="C1" s="723"/>
      <c r="D1" s="723"/>
      <c r="E1" s="723"/>
      <c r="F1" s="723"/>
      <c r="G1" s="723"/>
      <c r="H1" s="723"/>
      <c r="J1" s="724"/>
      <c r="K1" s="724"/>
      <c r="L1" s="724"/>
      <c r="M1" s="724"/>
      <c r="N1" s="724"/>
      <c r="O1" s="724"/>
      <c r="P1" s="724"/>
      <c r="Q1" s="724"/>
      <c r="R1" s="724"/>
    </row>
    <row r="2" ht="31.5" customHeight="1" spans="1:18">
      <c r="A2" s="723"/>
      <c r="B2" s="723"/>
      <c r="C2" s="723"/>
      <c r="D2" s="723"/>
      <c r="E2" s="723"/>
      <c r="F2" s="723"/>
      <c r="G2" s="723"/>
      <c r="H2" s="723"/>
      <c r="J2" s="724"/>
      <c r="K2" s="724"/>
      <c r="L2" s="724"/>
      <c r="M2" s="724"/>
      <c r="N2" s="724"/>
      <c r="O2" s="724"/>
      <c r="P2" s="724"/>
      <c r="Q2" s="724"/>
      <c r="R2" s="724"/>
    </row>
    <row r="3" spans="1:18">
      <c r="A3" s="54"/>
      <c r="B3" s="54"/>
      <c r="C3" s="54"/>
      <c r="D3" s="54"/>
      <c r="E3" s="54"/>
      <c r="F3" s="724"/>
      <c r="G3" s="724"/>
      <c r="H3" s="724"/>
      <c r="I3" s="724"/>
      <c r="J3" s="724"/>
      <c r="K3" s="724"/>
      <c r="L3" s="724"/>
      <c r="M3" s="724"/>
      <c r="N3" s="724"/>
      <c r="O3" s="724"/>
      <c r="P3" s="724"/>
      <c r="Q3" s="724"/>
      <c r="R3" s="724"/>
    </row>
    <row r="4" spans="1:18">
      <c r="A4" s="54"/>
      <c r="B4" s="54"/>
      <c r="C4" s="54"/>
      <c r="D4" s="54"/>
      <c r="E4" s="54"/>
      <c r="F4" s="724"/>
      <c r="G4" s="724"/>
      <c r="H4" s="724"/>
      <c r="I4" s="724"/>
      <c r="J4" s="724"/>
      <c r="K4" s="724"/>
      <c r="L4" s="724"/>
      <c r="M4" s="724"/>
      <c r="N4" s="724"/>
      <c r="O4" s="724"/>
      <c r="P4" s="724"/>
      <c r="Q4" s="724"/>
      <c r="R4" s="724"/>
    </row>
    <row r="5" spans="1:18">
      <c r="A5" s="54"/>
      <c r="B5" s="54"/>
      <c r="C5" s="54"/>
      <c r="D5" s="54"/>
      <c r="E5" s="54"/>
      <c r="F5" s="724"/>
      <c r="G5" s="724"/>
      <c r="H5" s="724"/>
      <c r="I5" s="724"/>
      <c r="J5" s="724"/>
      <c r="K5" s="724"/>
      <c r="L5" s="724"/>
      <c r="M5" s="724"/>
      <c r="N5" s="724"/>
      <c r="O5" s="724"/>
      <c r="P5" s="724"/>
      <c r="Q5" s="724"/>
      <c r="R5" s="724"/>
    </row>
    <row r="6" spans="1:18">
      <c r="A6" s="54"/>
      <c r="B6" s="54"/>
      <c r="C6" s="54"/>
      <c r="D6" s="54"/>
      <c r="E6" s="54"/>
      <c r="F6" s="724"/>
      <c r="G6" s="724"/>
      <c r="H6" s="724"/>
      <c r="I6" s="724"/>
      <c r="J6" s="724"/>
      <c r="K6" s="724"/>
      <c r="L6" s="724"/>
      <c r="M6" s="724"/>
      <c r="N6" s="724"/>
      <c r="O6" s="724"/>
      <c r="P6" s="724"/>
      <c r="Q6" s="724"/>
      <c r="R6" s="724"/>
    </row>
    <row r="7" ht="18" spans="1:18">
      <c r="A7" s="725" t="s">
        <v>1</v>
      </c>
      <c r="B7" s="725"/>
      <c r="C7" s="726">
        <v>655</v>
      </c>
      <c r="D7" s="1"/>
      <c r="E7" s="1"/>
      <c r="F7" s="724"/>
      <c r="G7" s="724"/>
      <c r="H7" s="724"/>
      <c r="I7" s="724"/>
      <c r="J7" s="724"/>
      <c r="K7" s="724"/>
      <c r="L7" s="724"/>
      <c r="M7" s="724"/>
      <c r="N7" s="724"/>
      <c r="O7" s="724"/>
      <c r="P7" s="724"/>
      <c r="Q7" s="724"/>
      <c r="R7" s="724"/>
    </row>
    <row r="8" ht="18" spans="1:18">
      <c r="A8" s="725"/>
      <c r="B8" s="725"/>
      <c r="C8" s="726"/>
      <c r="D8" s="1"/>
      <c r="E8" s="1"/>
      <c r="F8" s="724"/>
      <c r="G8" s="724"/>
      <c r="H8" s="724"/>
      <c r="I8" s="724"/>
      <c r="J8" s="724"/>
      <c r="K8" s="724"/>
      <c r="L8" s="724"/>
      <c r="M8" s="724"/>
      <c r="N8" s="724"/>
      <c r="O8" s="724"/>
      <c r="P8" s="724"/>
      <c r="Q8" s="724"/>
      <c r="R8" s="724"/>
    </row>
    <row r="9" ht="18" spans="1:18">
      <c r="A9" s="727" t="s">
        <v>2</v>
      </c>
      <c r="B9" s="727"/>
      <c r="C9" s="728">
        <v>1600</v>
      </c>
      <c r="D9" s="1"/>
      <c r="E9" s="1"/>
      <c r="F9" s="724"/>
      <c r="G9" s="724"/>
      <c r="H9" s="724"/>
      <c r="I9" s="724"/>
      <c r="J9" s="724"/>
      <c r="K9" s="724"/>
      <c r="L9" s="724"/>
      <c r="M9" s="724"/>
      <c r="N9" s="724"/>
      <c r="O9" s="724"/>
      <c r="P9" s="724"/>
      <c r="Q9" s="724"/>
      <c r="R9" s="724"/>
    </row>
    <row r="10" ht="18" spans="1:18">
      <c r="A10" s="729"/>
      <c r="B10" s="729"/>
      <c r="C10" s="729"/>
      <c r="D10" s="1"/>
      <c r="E10" s="1"/>
      <c r="F10" s="724"/>
      <c r="G10" s="724"/>
      <c r="H10" s="724"/>
      <c r="I10" s="724"/>
      <c r="J10" s="724"/>
      <c r="K10" s="724"/>
      <c r="L10" s="724"/>
      <c r="M10" s="724"/>
      <c r="N10" s="724"/>
      <c r="O10" s="724"/>
      <c r="P10" s="724"/>
      <c r="Q10" s="724"/>
      <c r="R10" s="724"/>
    </row>
    <row r="11" ht="18" spans="1:18">
      <c r="A11" s="1"/>
      <c r="B11" s="1"/>
      <c r="C11" s="1"/>
      <c r="D11" s="1"/>
      <c r="E11" s="1"/>
      <c r="F11" s="724"/>
      <c r="G11" s="724"/>
      <c r="H11" s="730"/>
      <c r="I11" s="730"/>
      <c r="J11" s="724"/>
      <c r="K11" s="724"/>
      <c r="L11" s="724"/>
      <c r="M11" s="724"/>
      <c r="N11" s="724"/>
      <c r="O11" s="724"/>
      <c r="P11" s="724"/>
      <c r="Q11" s="724"/>
      <c r="R11" s="724"/>
    </row>
    <row r="12" ht="18" spans="1:18">
      <c r="A12" s="1"/>
      <c r="B12" s="1"/>
      <c r="C12" s="1"/>
      <c r="D12" s="1"/>
      <c r="E12" s="1"/>
      <c r="F12" s="724"/>
      <c r="G12" s="724"/>
      <c r="H12" s="724"/>
      <c r="I12" s="724"/>
      <c r="J12" s="724"/>
      <c r="K12" s="724"/>
      <c r="L12" s="724"/>
      <c r="M12" s="724"/>
      <c r="N12" s="724"/>
      <c r="O12" s="724"/>
      <c r="P12" s="724"/>
      <c r="Q12" s="724"/>
      <c r="R12" s="724"/>
    </row>
    <row r="13" ht="15" customHeight="1" spans="1:18">
      <c r="A13" s="1"/>
      <c r="B13" s="731" t="s">
        <v>3</v>
      </c>
      <c r="C13" s="731" t="s">
        <v>4</v>
      </c>
      <c r="D13" s="732"/>
      <c r="E13" s="732"/>
      <c r="F13" s="733"/>
      <c r="G13" s="733"/>
      <c r="H13" s="724"/>
      <c r="I13" s="724"/>
      <c r="J13" s="724"/>
      <c r="K13" s="724"/>
      <c r="L13" s="724"/>
      <c r="M13" s="724"/>
      <c r="N13" s="724"/>
      <c r="O13" s="724"/>
      <c r="P13" s="724"/>
      <c r="Q13" s="724"/>
      <c r="R13" s="724"/>
    </row>
    <row r="14" ht="15" customHeight="1" spans="1:18">
      <c r="A14" s="1"/>
      <c r="B14" s="731"/>
      <c r="C14" s="731"/>
      <c r="D14" s="732"/>
      <c r="E14" s="732"/>
      <c r="F14" s="733"/>
      <c r="G14" s="733"/>
      <c r="H14" s="724"/>
      <c r="I14" s="724"/>
      <c r="J14" s="724"/>
      <c r="K14" s="724"/>
      <c r="L14" s="724"/>
      <c r="M14" s="724"/>
      <c r="N14" s="724"/>
      <c r="O14" s="724"/>
      <c r="P14" s="724"/>
      <c r="Q14" s="724"/>
      <c r="R14" s="724"/>
    </row>
    <row r="15" ht="18" spans="1:18">
      <c r="A15" s="734" t="s">
        <v>5</v>
      </c>
      <c r="B15" s="735" t="s">
        <v>6</v>
      </c>
      <c r="C15" s="200" t="s">
        <v>7</v>
      </c>
      <c r="D15" s="736"/>
      <c r="E15" s="3"/>
      <c r="F15" s="737"/>
      <c r="G15" s="737"/>
      <c r="H15" s="724"/>
      <c r="I15" s="724"/>
      <c r="J15" s="724"/>
      <c r="K15" s="724"/>
      <c r="L15" s="724"/>
      <c r="M15" s="724"/>
      <c r="N15" s="724"/>
      <c r="O15" s="724"/>
      <c r="P15" s="724"/>
      <c r="Q15" s="724"/>
      <c r="R15" s="724"/>
    </row>
    <row r="16" ht="18" spans="1:18">
      <c r="A16" s="734" t="s">
        <v>8</v>
      </c>
      <c r="B16" s="735">
        <v>2</v>
      </c>
      <c r="C16" s="200">
        <v>2</v>
      </c>
      <c r="D16" s="736"/>
      <c r="E16" s="3"/>
      <c r="F16" s="737"/>
      <c r="G16" s="737"/>
      <c r="H16" s="724"/>
      <c r="I16" s="724"/>
      <c r="J16" s="724"/>
      <c r="K16" s="724"/>
      <c r="L16" s="724"/>
      <c r="M16" s="724"/>
      <c r="N16" s="724"/>
      <c r="O16" s="724"/>
      <c r="P16" s="724"/>
      <c r="Q16" s="724"/>
      <c r="R16" s="724"/>
    </row>
    <row r="17" ht="18" spans="1:18">
      <c r="A17" s="738" t="s">
        <v>9</v>
      </c>
      <c r="B17" s="739" t="s">
        <v>10</v>
      </c>
      <c r="C17" s="740">
        <v>65597254</v>
      </c>
      <c r="D17" s="741"/>
      <c r="E17" s="742"/>
      <c r="F17" s="743"/>
      <c r="G17" s="744"/>
      <c r="H17" s="745"/>
      <c r="I17" s="745"/>
      <c r="J17" s="724"/>
      <c r="K17" s="724"/>
      <c r="L17" s="724"/>
      <c r="M17" s="724"/>
      <c r="N17" s="724"/>
      <c r="O17" s="724"/>
      <c r="P17" s="724"/>
      <c r="Q17" s="724"/>
      <c r="R17" s="724"/>
    </row>
    <row r="18" ht="21" customHeight="1" spans="1:18">
      <c r="A18" s="738" t="s">
        <v>11</v>
      </c>
      <c r="B18" s="739" t="s">
        <v>10</v>
      </c>
      <c r="C18" s="740">
        <f>D73+D81+D87+D91+D95+D99+D106</f>
        <v>100059.34</v>
      </c>
      <c r="D18" s="736"/>
      <c r="E18" s="3"/>
      <c r="F18" s="746"/>
      <c r="G18" s="746"/>
      <c r="H18" s="724"/>
      <c r="I18" s="724"/>
      <c r="J18" s="724"/>
      <c r="K18" s="724"/>
      <c r="L18" s="724"/>
      <c r="M18" s="724"/>
      <c r="N18" s="724"/>
      <c r="O18" s="724"/>
      <c r="P18" s="724"/>
      <c r="Q18" s="724"/>
      <c r="R18" s="724"/>
    </row>
    <row r="19" ht="18" spans="1:18">
      <c r="A19" s="747"/>
      <c r="B19" s="1"/>
      <c r="C19" s="1"/>
      <c r="D19" s="1"/>
      <c r="E19" s="1"/>
      <c r="F19" s="724"/>
      <c r="G19" s="724"/>
      <c r="H19" s="724"/>
      <c r="I19" s="724"/>
      <c r="J19" s="724"/>
      <c r="K19" s="724"/>
      <c r="L19" s="724"/>
      <c r="M19" s="724"/>
      <c r="N19" s="724"/>
      <c r="O19" s="724"/>
      <c r="P19" s="724"/>
      <c r="Q19" s="724"/>
      <c r="R19" s="724"/>
    </row>
    <row r="20" ht="18" spans="1:18">
      <c r="A20" s="748" t="s">
        <v>12</v>
      </c>
      <c r="B20" s="1"/>
      <c r="C20" s="1"/>
      <c r="D20" s="1"/>
      <c r="E20" s="1"/>
      <c r="F20" s="724"/>
      <c r="G20" s="724"/>
      <c r="H20" s="724"/>
      <c r="I20" s="724"/>
      <c r="J20" s="724"/>
      <c r="K20" s="724"/>
      <c r="L20" s="724"/>
      <c r="M20" s="724"/>
      <c r="N20" s="783"/>
      <c r="O20" s="783"/>
      <c r="P20" s="783"/>
      <c r="Q20" s="783"/>
      <c r="R20" s="783"/>
    </row>
    <row r="21" ht="18" spans="1:18">
      <c r="A21" s="1"/>
      <c r="B21" s="1"/>
      <c r="C21" s="1"/>
      <c r="D21" s="1"/>
      <c r="E21" s="749"/>
      <c r="F21" s="724"/>
      <c r="G21" s="724"/>
      <c r="H21" s="724"/>
      <c r="I21" s="724"/>
      <c r="J21" s="724"/>
      <c r="K21" s="724"/>
      <c r="L21" s="724"/>
      <c r="M21" s="724"/>
      <c r="N21" s="783"/>
      <c r="O21" s="783"/>
      <c r="P21" s="783"/>
      <c r="Q21" s="783"/>
      <c r="R21" s="783"/>
    </row>
    <row r="22" ht="18" spans="1:18">
      <c r="A22" s="750" t="s">
        <v>3</v>
      </c>
      <c r="B22" s="248" t="s">
        <v>13</v>
      </c>
      <c r="C22" s="248"/>
      <c r="D22" s="248"/>
      <c r="E22" s="248"/>
      <c r="F22" s="745"/>
      <c r="G22" s="745"/>
      <c r="H22" s="745"/>
      <c r="I22" s="745"/>
      <c r="J22" s="745"/>
      <c r="K22" s="745"/>
      <c r="L22" s="745"/>
      <c r="M22" s="745"/>
      <c r="N22" s="783"/>
      <c r="O22" s="783"/>
      <c r="P22" s="783"/>
      <c r="Q22" s="783"/>
      <c r="R22" s="783"/>
    </row>
    <row r="23" ht="18" spans="1:18">
      <c r="A23" s="750" t="s">
        <v>4</v>
      </c>
      <c r="B23" s="248" t="s">
        <v>14</v>
      </c>
      <c r="C23" s="248"/>
      <c r="D23" s="248"/>
      <c r="E23" s="248"/>
      <c r="F23" s="745"/>
      <c r="G23" s="745"/>
      <c r="H23" s="745"/>
      <c r="I23" s="745"/>
      <c r="J23" s="745"/>
      <c r="K23" s="745"/>
      <c r="L23" s="745"/>
      <c r="M23" s="745"/>
      <c r="N23" s="783"/>
      <c r="O23" s="783"/>
      <c r="P23" s="783"/>
      <c r="Q23" s="783"/>
      <c r="R23" s="783"/>
    </row>
    <row r="24" ht="18" spans="1:18">
      <c r="A24" s="747"/>
      <c r="B24" s="1"/>
      <c r="C24" s="1"/>
      <c r="D24" s="1"/>
      <c r="E24" s="1"/>
      <c r="F24" s="724"/>
      <c r="G24" s="724"/>
      <c r="H24" s="724"/>
      <c r="I24" s="724"/>
      <c r="J24" s="724"/>
      <c r="K24" s="724"/>
      <c r="L24" s="724"/>
      <c r="M24" s="724"/>
      <c r="N24" s="724"/>
      <c r="O24" s="724"/>
      <c r="P24" s="724"/>
      <c r="Q24" s="724"/>
      <c r="R24" s="724"/>
    </row>
    <row r="25" ht="18" spans="1:18">
      <c r="A25" s="1"/>
      <c r="B25" s="1"/>
      <c r="C25" s="1"/>
      <c r="D25" s="1"/>
      <c r="E25" s="1"/>
      <c r="F25" s="724"/>
      <c r="G25" s="724"/>
      <c r="H25" s="724"/>
      <c r="I25" s="724"/>
      <c r="J25" s="724"/>
      <c r="K25" s="724"/>
      <c r="L25" s="724"/>
      <c r="M25" s="724"/>
      <c r="N25" s="724"/>
      <c r="O25" s="724"/>
      <c r="P25" s="724"/>
      <c r="Q25" s="724"/>
      <c r="R25" s="724"/>
    </row>
    <row r="26" spans="1:18">
      <c r="A26" s="751" t="s">
        <v>15</v>
      </c>
      <c r="B26" s="751"/>
      <c r="C26" s="751"/>
      <c r="D26" s="751"/>
      <c r="E26" s="751"/>
      <c r="F26" s="752"/>
      <c r="G26" s="752" t="s">
        <v>16</v>
      </c>
      <c r="H26" s="752"/>
      <c r="I26" s="752"/>
      <c r="J26" s="752"/>
      <c r="K26" s="752"/>
      <c r="L26" s="752"/>
      <c r="M26" s="752"/>
      <c r="N26" s="752"/>
      <c r="O26" s="752"/>
      <c r="P26" s="752"/>
      <c r="Q26" s="752"/>
      <c r="R26" s="752"/>
    </row>
    <row r="27" spans="1:18">
      <c r="A27" s="753"/>
      <c r="B27" s="753"/>
      <c r="C27" s="753"/>
      <c r="D27" s="753"/>
      <c r="E27" s="753"/>
      <c r="F27" s="754"/>
      <c r="G27" s="752"/>
      <c r="H27" s="752"/>
      <c r="I27" s="752"/>
      <c r="J27" s="752"/>
      <c r="K27" s="752"/>
      <c r="L27" s="752"/>
      <c r="M27" s="752"/>
      <c r="N27" s="752"/>
      <c r="O27" s="752"/>
      <c r="P27" s="752"/>
      <c r="Q27" s="752"/>
      <c r="R27" s="752"/>
    </row>
    <row r="28" ht="15" spans="1:18">
      <c r="A28" s="250" t="s">
        <v>17</v>
      </c>
      <c r="B28" s="250"/>
      <c r="C28" s="250"/>
      <c r="D28" s="250"/>
      <c r="E28" s="250"/>
      <c r="F28" s="755"/>
      <c r="G28" s="756" t="s">
        <v>18</v>
      </c>
      <c r="H28" s="757"/>
      <c r="I28" s="757"/>
      <c r="J28" s="757"/>
      <c r="K28" s="757"/>
      <c r="L28" s="757"/>
      <c r="M28" s="757"/>
      <c r="N28" s="757"/>
      <c r="O28" s="757"/>
      <c r="P28" s="757"/>
      <c r="Q28" s="757"/>
      <c r="R28" s="757"/>
    </row>
    <row r="29" spans="1:18">
      <c r="A29" s="250"/>
      <c r="B29" s="250"/>
      <c r="C29" s="250"/>
      <c r="D29" s="250"/>
      <c r="E29" s="250"/>
      <c r="F29" s="755"/>
      <c r="G29" s="758" t="s">
        <v>19</v>
      </c>
      <c r="H29" s="759"/>
      <c r="I29" s="759"/>
      <c r="J29" s="759"/>
      <c r="K29" s="759"/>
      <c r="L29" s="759"/>
      <c r="M29" s="759"/>
      <c r="N29" s="759"/>
      <c r="O29" s="759"/>
      <c r="P29" s="759"/>
      <c r="Q29" s="759"/>
      <c r="R29" s="759"/>
    </row>
    <row r="30" ht="18" customHeight="1" spans="1:18">
      <c r="A30" s="250" t="s">
        <v>20</v>
      </c>
      <c r="B30" s="250"/>
      <c r="C30" s="250"/>
      <c r="D30" s="250"/>
      <c r="E30" s="250"/>
      <c r="F30" s="755"/>
      <c r="G30" s="756" t="s">
        <v>21</v>
      </c>
      <c r="H30" s="757"/>
      <c r="I30" s="757"/>
      <c r="J30" s="757"/>
      <c r="K30" s="757"/>
      <c r="L30" s="757"/>
      <c r="M30" s="757"/>
      <c r="N30" s="757"/>
      <c r="O30" s="757"/>
      <c r="P30" s="757"/>
      <c r="Q30" s="757"/>
      <c r="R30" s="757"/>
    </row>
    <row r="31" ht="19.5" customHeight="1" spans="1:18">
      <c r="A31" s="250" t="s">
        <v>22</v>
      </c>
      <c r="B31" s="250"/>
      <c r="C31" s="250"/>
      <c r="D31" s="250"/>
      <c r="E31" s="250"/>
      <c r="F31" s="755"/>
      <c r="G31" s="760" t="s">
        <v>23</v>
      </c>
      <c r="H31" s="761"/>
      <c r="I31" s="761"/>
      <c r="J31" s="761"/>
      <c r="K31" s="761"/>
      <c r="L31" s="761"/>
      <c r="M31" s="761"/>
      <c r="N31" s="761"/>
      <c r="O31" s="761"/>
      <c r="P31" s="761"/>
      <c r="Q31" s="761"/>
      <c r="R31" s="761"/>
    </row>
    <row r="32" ht="15.75" customHeight="1" spans="1:18">
      <c r="A32" s="250" t="s">
        <v>24</v>
      </c>
      <c r="B32" s="250"/>
      <c r="C32" s="250"/>
      <c r="D32" s="250"/>
      <c r="E32" s="250"/>
      <c r="F32" s="755"/>
      <c r="G32" s="762" t="s">
        <v>25</v>
      </c>
      <c r="H32" s="763"/>
      <c r="I32" s="763"/>
      <c r="J32" s="763"/>
      <c r="K32" s="763"/>
      <c r="L32" s="763"/>
      <c r="M32" s="763"/>
      <c r="N32" s="763"/>
      <c r="O32" s="763"/>
      <c r="P32" s="763"/>
      <c r="Q32" s="763"/>
      <c r="R32" s="763"/>
    </row>
    <row r="33" ht="20.25" customHeight="1" spans="1:18">
      <c r="A33" s="250" t="s">
        <v>26</v>
      </c>
      <c r="B33" s="250"/>
      <c r="C33" s="250"/>
      <c r="D33" s="250"/>
      <c r="E33" s="250"/>
      <c r="F33" s="755"/>
      <c r="G33" s="756" t="s">
        <v>27</v>
      </c>
      <c r="H33" s="757"/>
      <c r="I33" s="757"/>
      <c r="J33" s="757"/>
      <c r="K33" s="757"/>
      <c r="L33" s="757"/>
      <c r="M33" s="757"/>
      <c r="N33" s="757"/>
      <c r="O33" s="757"/>
      <c r="P33" s="757"/>
      <c r="Q33" s="757"/>
      <c r="R33" s="757"/>
    </row>
    <row r="34" ht="18" spans="1:18">
      <c r="A34" s="764" t="s">
        <v>28</v>
      </c>
      <c r="B34" s="764"/>
      <c r="C34" s="764"/>
      <c r="D34" s="764"/>
      <c r="E34" s="764"/>
      <c r="F34" s="765"/>
      <c r="G34" s="756" t="s">
        <v>29</v>
      </c>
      <c r="H34" s="757"/>
      <c r="I34" s="757"/>
      <c r="J34" s="757"/>
      <c r="K34" s="757"/>
      <c r="L34" s="757"/>
      <c r="M34" s="757"/>
      <c r="N34" s="757"/>
      <c r="O34" s="757"/>
      <c r="P34" s="757"/>
      <c r="Q34" s="757"/>
      <c r="R34" s="757"/>
    </row>
    <row r="35" ht="18" spans="1:18">
      <c r="A35" s="250" t="s">
        <v>30</v>
      </c>
      <c r="B35" s="250"/>
      <c r="C35" s="250"/>
      <c r="D35" s="250"/>
      <c r="E35" s="250"/>
      <c r="F35" s="755"/>
      <c r="G35" s="756" t="s">
        <v>31</v>
      </c>
      <c r="H35" s="757"/>
      <c r="I35" s="757"/>
      <c r="J35" s="757"/>
      <c r="K35" s="757"/>
      <c r="L35" s="757"/>
      <c r="M35" s="757"/>
      <c r="N35" s="757"/>
      <c r="O35" s="757"/>
      <c r="P35" s="757"/>
      <c r="Q35" s="757"/>
      <c r="R35" s="757"/>
    </row>
    <row r="36" ht="18" spans="1:18">
      <c r="A36" s="1"/>
      <c r="B36" s="1"/>
      <c r="C36" s="766"/>
      <c r="D36" s="766"/>
      <c r="E36" s="766"/>
      <c r="F36" s="767"/>
      <c r="G36" s="767"/>
      <c r="H36" s="724"/>
      <c r="I36" s="724"/>
      <c r="J36" s="724"/>
      <c r="K36" s="724"/>
      <c r="L36" s="724"/>
      <c r="M36" s="724"/>
      <c r="N36" s="724"/>
      <c r="O36" s="724"/>
      <c r="P36" s="724"/>
      <c r="Q36" s="724"/>
      <c r="R36" s="724"/>
    </row>
    <row r="37" ht="18" spans="1:18">
      <c r="A37" s="1"/>
      <c r="B37" s="1"/>
      <c r="C37" s="1"/>
      <c r="D37" s="1"/>
      <c r="E37" s="1"/>
      <c r="F37" s="745"/>
      <c r="G37" s="745"/>
      <c r="H37" s="724"/>
      <c r="I37" s="724"/>
      <c r="J37" s="724"/>
      <c r="K37" s="724"/>
      <c r="L37" s="784"/>
      <c r="M37" s="784"/>
      <c r="N37" s="784"/>
      <c r="O37" s="724"/>
      <c r="P37" s="724"/>
      <c r="Q37" s="724"/>
      <c r="R37" s="724"/>
    </row>
    <row r="38" ht="17.4" spans="1:18">
      <c r="A38" s="751" t="s">
        <v>32</v>
      </c>
      <c r="B38" s="751" t="str">
        <f>A26</f>
        <v>Parts of the Farm</v>
      </c>
      <c r="C38" s="751" t="s">
        <v>33</v>
      </c>
      <c r="D38" s="751"/>
      <c r="E38" s="751" t="str">
        <f>A15</f>
        <v>Location</v>
      </c>
      <c r="F38" s="768"/>
      <c r="G38" s="769"/>
      <c r="H38" s="724"/>
      <c r="I38" s="724"/>
      <c r="J38" s="724"/>
      <c r="K38" s="724"/>
      <c r="L38" s="784"/>
      <c r="M38" s="784"/>
      <c r="N38" s="784"/>
      <c r="O38" s="724"/>
      <c r="P38" s="724"/>
      <c r="Q38" s="724"/>
      <c r="R38" s="724"/>
    </row>
    <row r="39" ht="17.4" spans="1:18">
      <c r="A39" s="751"/>
      <c r="B39" s="751"/>
      <c r="C39" s="751"/>
      <c r="D39" s="751"/>
      <c r="E39" s="751"/>
      <c r="F39" s="768"/>
      <c r="G39" s="769"/>
      <c r="H39" s="724"/>
      <c r="I39" s="724"/>
      <c r="J39" s="724"/>
      <c r="K39" s="724"/>
      <c r="L39" s="785"/>
      <c r="M39" s="785"/>
      <c r="N39" s="785"/>
      <c r="O39" s="724"/>
      <c r="P39" s="724"/>
      <c r="Q39" s="724"/>
      <c r="R39" s="724"/>
    </row>
    <row r="40" ht="15" customHeight="1" spans="1:18">
      <c r="A40" s="770" t="s">
        <v>34</v>
      </c>
      <c r="B40" s="771" t="str">
        <f>A28</f>
        <v>Energy Supply system (Solar PV power plant,Solar Tracking)</v>
      </c>
      <c r="C40" s="772" t="s">
        <v>35</v>
      </c>
      <c r="D40" s="773" t="s">
        <v>10</v>
      </c>
      <c r="E40" s="774" t="s">
        <v>6</v>
      </c>
      <c r="F40" s="775"/>
      <c r="G40" s="724"/>
      <c r="H40" s="724"/>
      <c r="I40" s="724"/>
      <c r="J40" s="724"/>
      <c r="K40" s="724"/>
      <c r="L40" s="785"/>
      <c r="M40" s="785"/>
      <c r="N40" s="785"/>
      <c r="O40" s="724"/>
      <c r="P40" s="724"/>
      <c r="Q40" s="724"/>
      <c r="R40" s="724"/>
    </row>
    <row r="41" ht="15" customHeight="1" spans="1:18">
      <c r="A41" s="776"/>
      <c r="B41" s="777"/>
      <c r="C41" s="200" t="s">
        <v>36</v>
      </c>
      <c r="D41" s="200" t="s">
        <v>37</v>
      </c>
      <c r="E41" s="778"/>
      <c r="F41" s="775"/>
      <c r="G41" s="724"/>
      <c r="H41" s="724"/>
      <c r="I41" s="724"/>
      <c r="J41" s="724"/>
      <c r="K41" s="724"/>
      <c r="L41" s="785"/>
      <c r="M41" s="785"/>
      <c r="N41" s="785"/>
      <c r="O41" s="724"/>
      <c r="P41" s="724"/>
      <c r="Q41" s="724"/>
      <c r="R41" s="724"/>
    </row>
    <row r="42" ht="15" customHeight="1" spans="1:18">
      <c r="A42" s="776"/>
      <c r="B42" s="777"/>
      <c r="C42" s="200" t="s">
        <v>38</v>
      </c>
      <c r="D42" s="200" t="s">
        <v>39</v>
      </c>
      <c r="E42" s="778"/>
      <c r="F42" s="775"/>
      <c r="G42" s="724"/>
      <c r="H42" s="724"/>
      <c r="I42" s="724"/>
      <c r="J42" s="724"/>
      <c r="K42" s="724"/>
      <c r="L42" s="785"/>
      <c r="M42" s="785"/>
      <c r="N42" s="785"/>
      <c r="O42" s="724"/>
      <c r="P42" s="724"/>
      <c r="Q42" s="724"/>
      <c r="R42" s="724"/>
    </row>
    <row r="43" ht="18" spans="1:18">
      <c r="A43" s="776"/>
      <c r="B43" s="777"/>
      <c r="C43" s="664" t="s">
        <v>40</v>
      </c>
      <c r="D43" s="200" t="s">
        <v>41</v>
      </c>
      <c r="E43" s="778"/>
      <c r="F43" s="775"/>
      <c r="G43" s="724"/>
      <c r="H43" s="724"/>
      <c r="I43" s="724"/>
      <c r="J43" s="724"/>
      <c r="K43" s="724"/>
      <c r="L43" s="785"/>
      <c r="M43" s="785"/>
      <c r="N43" s="785"/>
      <c r="O43" s="724"/>
      <c r="P43" s="724"/>
      <c r="Q43" s="724"/>
      <c r="R43" s="724"/>
    </row>
    <row r="44" ht="18" spans="1:18">
      <c r="A44" s="776"/>
      <c r="B44" s="777"/>
      <c r="C44" s="664"/>
      <c r="D44" s="200" t="s">
        <v>42</v>
      </c>
      <c r="E44" s="778"/>
      <c r="F44" s="775"/>
      <c r="G44" s="724"/>
      <c r="H44" s="724"/>
      <c r="I44" s="724"/>
      <c r="J44" s="724"/>
      <c r="K44" s="724"/>
      <c r="L44" s="785"/>
      <c r="M44" s="785"/>
      <c r="N44" s="785"/>
      <c r="O44" s="724"/>
      <c r="P44" s="724"/>
      <c r="Q44" s="724"/>
      <c r="R44" s="724"/>
    </row>
    <row r="45" ht="18" spans="1:18">
      <c r="A45" s="776"/>
      <c r="B45" s="777"/>
      <c r="C45" s="664"/>
      <c r="D45" s="200" t="s">
        <v>43</v>
      </c>
      <c r="E45" s="778"/>
      <c r="F45" s="775"/>
      <c r="G45" s="724"/>
      <c r="H45" s="724"/>
      <c r="I45" s="724"/>
      <c r="J45" s="724"/>
      <c r="K45" s="724"/>
      <c r="L45" s="785"/>
      <c r="M45" s="785"/>
      <c r="N45" s="785"/>
      <c r="O45" s="724"/>
      <c r="P45" s="724"/>
      <c r="Q45" s="724"/>
      <c r="R45" s="724"/>
    </row>
    <row r="46" ht="18" spans="1:18">
      <c r="A46" s="776"/>
      <c r="B46" s="777"/>
      <c r="C46" s="664"/>
      <c r="D46" s="200" t="s">
        <v>44</v>
      </c>
      <c r="E46" s="778"/>
      <c r="F46" s="775"/>
      <c r="G46" s="724"/>
      <c r="H46" s="724"/>
      <c r="I46" s="724"/>
      <c r="J46" s="724"/>
      <c r="K46" s="724"/>
      <c r="L46" s="785"/>
      <c r="M46" s="785"/>
      <c r="N46" s="785"/>
      <c r="O46" s="724"/>
      <c r="P46" s="724"/>
      <c r="Q46" s="724"/>
      <c r="R46" s="724"/>
    </row>
    <row r="47" ht="18" spans="1:18">
      <c r="A47" s="776"/>
      <c r="B47" s="777"/>
      <c r="C47" s="664"/>
      <c r="D47" s="200" t="s">
        <v>45</v>
      </c>
      <c r="E47" s="778"/>
      <c r="F47" s="775"/>
      <c r="G47" s="724"/>
      <c r="H47" s="724"/>
      <c r="I47" s="724"/>
      <c r="J47" s="724"/>
      <c r="K47" s="724"/>
      <c r="L47" s="785"/>
      <c r="M47" s="785"/>
      <c r="N47" s="785"/>
      <c r="O47" s="724"/>
      <c r="P47" s="724"/>
      <c r="Q47" s="724"/>
      <c r="R47" s="724"/>
    </row>
    <row r="48" ht="15" customHeight="1" spans="1:18">
      <c r="A48" s="776"/>
      <c r="B48" s="664" t="str">
        <f>A30</f>
        <v>Irrigation system</v>
      </c>
      <c r="C48" s="200" t="s">
        <v>35</v>
      </c>
      <c r="D48" s="779" t="s">
        <v>10</v>
      </c>
      <c r="E48" s="778"/>
      <c r="F48" s="737"/>
      <c r="G48" s="724"/>
      <c r="H48" s="724"/>
      <c r="I48" s="724"/>
      <c r="J48" s="724"/>
      <c r="K48" s="724"/>
      <c r="L48" s="785"/>
      <c r="M48" s="785"/>
      <c r="N48" s="785"/>
      <c r="O48" s="724"/>
      <c r="P48" s="724"/>
      <c r="Q48" s="724"/>
      <c r="R48" s="724"/>
    </row>
    <row r="49" ht="15" customHeight="1" spans="1:18">
      <c r="A49" s="776"/>
      <c r="B49" s="664"/>
      <c r="C49" s="200" t="s">
        <v>36</v>
      </c>
      <c r="D49" s="200" t="s">
        <v>46</v>
      </c>
      <c r="E49" s="778"/>
      <c r="F49" s="737"/>
      <c r="G49" s="724"/>
      <c r="H49" s="724"/>
      <c r="I49" s="724"/>
      <c r="J49" s="724"/>
      <c r="K49" s="724"/>
      <c r="L49" s="724"/>
      <c r="M49" s="724"/>
      <c r="N49" s="724"/>
      <c r="O49" s="724"/>
      <c r="P49" s="724"/>
      <c r="Q49" s="724"/>
      <c r="R49" s="724"/>
    </row>
    <row r="50" ht="15" customHeight="1" spans="1:18">
      <c r="A50" s="776"/>
      <c r="B50" s="664"/>
      <c r="C50" s="200" t="s">
        <v>38</v>
      </c>
      <c r="D50" s="200" t="s">
        <v>47</v>
      </c>
      <c r="E50" s="778"/>
      <c r="F50" s="737"/>
      <c r="G50" s="724"/>
      <c r="H50" s="724"/>
      <c r="I50" s="724"/>
      <c r="J50" s="724"/>
      <c r="K50" s="724"/>
      <c r="L50" s="724"/>
      <c r="M50" s="724"/>
      <c r="N50" s="724"/>
      <c r="O50" s="724"/>
      <c r="P50" s="724"/>
      <c r="Q50" s="724"/>
      <c r="R50" s="724"/>
    </row>
    <row r="51" ht="15" customHeight="1" spans="1:18">
      <c r="A51" s="776"/>
      <c r="B51" s="664"/>
      <c r="C51" s="780" t="s">
        <v>40</v>
      </c>
      <c r="D51" s="200" t="s">
        <v>48</v>
      </c>
      <c r="E51" s="778"/>
      <c r="F51" s="737"/>
      <c r="G51" s="724"/>
      <c r="H51" s="724"/>
      <c r="I51" s="724"/>
      <c r="J51" s="724"/>
      <c r="K51" s="724"/>
      <c r="L51" s="724"/>
      <c r="M51" s="724"/>
      <c r="N51" s="724"/>
      <c r="O51" s="724"/>
      <c r="P51" s="724"/>
      <c r="Q51" s="724"/>
      <c r="R51" s="724"/>
    </row>
    <row r="52" ht="15" customHeight="1" spans="1:18">
      <c r="A52" s="776"/>
      <c r="B52" s="664"/>
      <c r="C52" s="780"/>
      <c r="D52" s="200" t="s">
        <v>49</v>
      </c>
      <c r="E52" s="778"/>
      <c r="F52" s="737"/>
      <c r="G52" s="724"/>
      <c r="H52" s="724"/>
      <c r="I52" s="724"/>
      <c r="J52" s="724"/>
      <c r="K52" s="724"/>
      <c r="L52" s="724"/>
      <c r="M52" s="724"/>
      <c r="N52" s="724"/>
      <c r="O52" s="724"/>
      <c r="P52" s="724"/>
      <c r="Q52" s="724"/>
      <c r="R52" s="724"/>
    </row>
    <row r="53" ht="15" customHeight="1" spans="1:18">
      <c r="A53" s="776"/>
      <c r="B53" s="664"/>
      <c r="C53" s="780"/>
      <c r="D53" s="200" t="s">
        <v>50</v>
      </c>
      <c r="E53" s="778"/>
      <c r="F53" s="737"/>
      <c r="G53" s="724"/>
      <c r="H53" s="724"/>
      <c r="I53" s="724"/>
      <c r="J53" s="724"/>
      <c r="K53" s="724"/>
      <c r="L53" s="724"/>
      <c r="M53" s="724"/>
      <c r="N53" s="724"/>
      <c r="O53" s="724"/>
      <c r="P53" s="724"/>
      <c r="Q53" s="724"/>
      <c r="R53" s="724"/>
    </row>
    <row r="54" ht="15" customHeight="1" spans="1:18">
      <c r="A54" s="776"/>
      <c r="B54" s="664" t="str">
        <f t="shared" ref="B54" si="0">A31</f>
        <v>Crop Storage (Smart Dryer)</v>
      </c>
      <c r="C54" s="200" t="s">
        <v>51</v>
      </c>
      <c r="D54" s="779" t="s">
        <v>10</v>
      </c>
      <c r="E54" s="778"/>
      <c r="F54" s="781"/>
      <c r="G54" s="724"/>
      <c r="H54" s="724"/>
      <c r="I54" s="724"/>
      <c r="J54" s="724"/>
      <c r="K54" s="724"/>
      <c r="L54" s="724"/>
      <c r="M54" s="724"/>
      <c r="N54" s="724"/>
      <c r="O54" s="724"/>
      <c r="P54" s="724"/>
      <c r="Q54" s="724"/>
      <c r="R54" s="724"/>
    </row>
    <row r="55" ht="15" customHeight="1" spans="1:18">
      <c r="A55" s="776"/>
      <c r="B55" s="664"/>
      <c r="C55" s="200" t="s">
        <v>36</v>
      </c>
      <c r="D55" s="200" t="s">
        <v>52</v>
      </c>
      <c r="E55" s="778"/>
      <c r="F55" s="781"/>
      <c r="G55" s="724"/>
      <c r="H55" s="724"/>
      <c r="I55" s="724"/>
      <c r="J55" s="724"/>
      <c r="K55" s="724"/>
      <c r="L55" s="724"/>
      <c r="M55" s="724"/>
      <c r="N55" s="724"/>
      <c r="O55" s="724"/>
      <c r="P55" s="724"/>
      <c r="Q55" s="724"/>
      <c r="R55" s="724"/>
    </row>
    <row r="56" ht="15" customHeight="1" spans="1:18">
      <c r="A56" s="776"/>
      <c r="B56" s="664"/>
      <c r="C56" s="200" t="s">
        <v>38</v>
      </c>
      <c r="D56" s="200" t="s">
        <v>53</v>
      </c>
      <c r="E56" s="778"/>
      <c r="F56" s="781"/>
      <c r="G56" s="724"/>
      <c r="H56" s="724"/>
      <c r="I56" s="724"/>
      <c r="J56" s="724"/>
      <c r="K56" s="724"/>
      <c r="L56" s="724"/>
      <c r="M56" s="724"/>
      <c r="N56" s="724"/>
      <c r="O56" s="724"/>
      <c r="P56" s="724"/>
      <c r="Q56" s="724"/>
      <c r="R56" s="724"/>
    </row>
    <row r="57" ht="15" customHeight="1" spans="1:18">
      <c r="A57" s="776"/>
      <c r="B57" s="664"/>
      <c r="C57" s="200" t="s">
        <v>40</v>
      </c>
      <c r="D57" s="200" t="s">
        <v>10</v>
      </c>
      <c r="E57" s="778"/>
      <c r="F57" s="781"/>
      <c r="G57" s="724"/>
      <c r="H57" s="724"/>
      <c r="I57" s="724"/>
      <c r="J57" s="724"/>
      <c r="K57" s="724"/>
      <c r="L57" s="724"/>
      <c r="M57" s="724"/>
      <c r="N57" s="724"/>
      <c r="O57" s="724"/>
      <c r="P57" s="724"/>
      <c r="Q57" s="724"/>
      <c r="R57" s="724"/>
    </row>
    <row r="58" ht="15" customHeight="1" spans="1:18">
      <c r="A58" s="776"/>
      <c r="B58" s="777" t="str">
        <f>A32</f>
        <v>Fencing and Security (Face Recognition)</v>
      </c>
      <c r="C58" s="200" t="s">
        <v>51</v>
      </c>
      <c r="D58" s="779" t="s">
        <v>10</v>
      </c>
      <c r="E58" s="778"/>
      <c r="F58" s="775"/>
      <c r="G58" s="724"/>
      <c r="H58" s="724"/>
      <c r="I58" s="724"/>
      <c r="J58" s="724"/>
      <c r="K58" s="724"/>
      <c r="L58" s="724"/>
      <c r="M58" s="724"/>
      <c r="N58" s="724"/>
      <c r="O58" s="724"/>
      <c r="P58" s="724"/>
      <c r="Q58" s="724"/>
      <c r="R58" s="724"/>
    </row>
    <row r="59" ht="15" customHeight="1" spans="1:18">
      <c r="A59" s="776"/>
      <c r="B59" s="777"/>
      <c r="C59" s="200" t="s">
        <v>36</v>
      </c>
      <c r="D59" s="200" t="s">
        <v>54</v>
      </c>
      <c r="E59" s="778"/>
      <c r="F59" s="775"/>
      <c r="G59" s="724"/>
      <c r="H59" s="724"/>
      <c r="I59" s="724"/>
      <c r="J59" s="724"/>
      <c r="K59" s="724"/>
      <c r="L59" s="724"/>
      <c r="M59" s="724"/>
      <c r="N59" s="724"/>
      <c r="O59" s="724"/>
      <c r="P59" s="724"/>
      <c r="Q59" s="724"/>
      <c r="R59" s="724"/>
    </row>
    <row r="60" ht="15" customHeight="1" spans="1:18">
      <c r="A60" s="776"/>
      <c r="B60" s="777"/>
      <c r="C60" s="200" t="s">
        <v>38</v>
      </c>
      <c r="D60" s="200" t="s">
        <v>55</v>
      </c>
      <c r="E60" s="778"/>
      <c r="F60" s="775"/>
      <c r="G60" s="724"/>
      <c r="H60" s="724"/>
      <c r="I60" s="724"/>
      <c r="J60" s="724"/>
      <c r="K60" s="724"/>
      <c r="L60" s="724"/>
      <c r="M60" s="724"/>
      <c r="N60" s="724"/>
      <c r="O60" s="724"/>
      <c r="P60" s="724"/>
      <c r="Q60" s="724"/>
      <c r="R60" s="724"/>
    </row>
    <row r="61" ht="15" customHeight="1" spans="1:18">
      <c r="A61" s="776"/>
      <c r="B61" s="777"/>
      <c r="C61" s="200" t="s">
        <v>40</v>
      </c>
      <c r="D61" s="200" t="s">
        <v>56</v>
      </c>
      <c r="E61" s="778"/>
      <c r="F61" s="775"/>
      <c r="G61" s="724"/>
      <c r="H61" s="724"/>
      <c r="I61" s="724"/>
      <c r="J61" s="724"/>
      <c r="K61" s="724"/>
      <c r="L61" s="724"/>
      <c r="M61" s="724"/>
      <c r="N61" s="724"/>
      <c r="O61" s="724"/>
      <c r="P61" s="724"/>
      <c r="Q61" s="724"/>
      <c r="R61" s="724"/>
    </row>
    <row r="62" ht="15" customHeight="1" spans="1:18">
      <c r="A62" s="776"/>
      <c r="B62" s="664" t="str">
        <f>A33</f>
        <v>Visitors Management (No Reesa)</v>
      </c>
      <c r="C62" s="200" t="s">
        <v>51</v>
      </c>
      <c r="D62" s="782" t="s">
        <v>10</v>
      </c>
      <c r="E62" s="778"/>
      <c r="F62" s="775"/>
      <c r="G62" s="724"/>
      <c r="H62" s="724"/>
      <c r="I62" s="724"/>
      <c r="J62" s="724"/>
      <c r="K62" s="724"/>
      <c r="L62" s="724"/>
      <c r="M62" s="724"/>
      <c r="N62" s="724"/>
      <c r="O62" s="724"/>
      <c r="P62" s="724"/>
      <c r="Q62" s="724"/>
      <c r="R62" s="724"/>
    </row>
    <row r="63" ht="15" customHeight="1" spans="1:18">
      <c r="A63" s="776"/>
      <c r="B63" s="664"/>
      <c r="C63" s="200" t="s">
        <v>36</v>
      </c>
      <c r="D63" s="200" t="s">
        <v>57</v>
      </c>
      <c r="E63" s="778"/>
      <c r="F63" s="775"/>
      <c r="G63" s="724"/>
      <c r="H63" s="724"/>
      <c r="I63" s="724"/>
      <c r="J63" s="724"/>
      <c r="K63" s="724"/>
      <c r="L63" s="724"/>
      <c r="M63" s="724"/>
      <c r="N63" s="724"/>
      <c r="O63" s="724"/>
      <c r="P63" s="724"/>
      <c r="Q63" s="724"/>
      <c r="R63" s="724"/>
    </row>
    <row r="64" ht="15" customHeight="1" spans="1:18">
      <c r="A64" s="776"/>
      <c r="B64" s="664"/>
      <c r="C64" s="200" t="s">
        <v>38</v>
      </c>
      <c r="D64" s="200" t="s">
        <v>58</v>
      </c>
      <c r="E64" s="778"/>
      <c r="F64" s="775"/>
      <c r="G64" s="724"/>
      <c r="H64" s="724"/>
      <c r="I64" s="724"/>
      <c r="J64" s="724"/>
      <c r="K64" s="724"/>
      <c r="L64" s="724"/>
      <c r="M64" s="724"/>
      <c r="N64" s="724"/>
      <c r="O64" s="724"/>
      <c r="P64" s="724"/>
      <c r="Q64" s="724"/>
      <c r="R64" s="724"/>
    </row>
    <row r="65" ht="15" customHeight="1" spans="1:18">
      <c r="A65" s="776"/>
      <c r="B65" s="664"/>
      <c r="C65" s="200" t="s">
        <v>40</v>
      </c>
      <c r="D65" s="200" t="s">
        <v>59</v>
      </c>
      <c r="E65" s="778"/>
      <c r="F65" s="775"/>
      <c r="G65" s="724"/>
      <c r="H65" s="724"/>
      <c r="I65" s="724"/>
      <c r="J65" s="724"/>
      <c r="K65" s="724"/>
      <c r="L65" s="724"/>
      <c r="M65" s="724"/>
      <c r="N65" s="724"/>
      <c r="O65" s="724"/>
      <c r="P65" s="724"/>
      <c r="Q65" s="724"/>
      <c r="R65" s="724"/>
    </row>
    <row r="66" ht="15" customHeight="1" spans="1:18">
      <c r="A66" s="776"/>
      <c r="B66" s="777" t="str">
        <f>A34</f>
        <v>Processing Machines</v>
      </c>
      <c r="C66" s="200" t="s">
        <v>51</v>
      </c>
      <c r="D66" s="782" t="s">
        <v>10</v>
      </c>
      <c r="E66" s="778"/>
      <c r="F66" s="775"/>
      <c r="G66" s="724"/>
      <c r="H66" s="724"/>
      <c r="I66" s="724"/>
      <c r="J66" s="724"/>
      <c r="K66" s="724"/>
      <c r="L66" s="724"/>
      <c r="M66" s="724"/>
      <c r="N66" s="724"/>
      <c r="O66" s="724"/>
      <c r="P66" s="724"/>
      <c r="Q66" s="724"/>
      <c r="R66" s="724"/>
    </row>
    <row r="67" ht="15" customHeight="1" spans="1:18">
      <c r="A67" s="776"/>
      <c r="B67" s="777"/>
      <c r="C67" s="200" t="s">
        <v>36</v>
      </c>
      <c r="D67" s="200" t="s">
        <v>52</v>
      </c>
      <c r="E67" s="778"/>
      <c r="F67" s="775"/>
      <c r="G67" s="724"/>
      <c r="H67" s="724"/>
      <c r="I67" s="724"/>
      <c r="J67" s="724"/>
      <c r="K67" s="724"/>
      <c r="L67" s="724"/>
      <c r="M67" s="724"/>
      <c r="N67" s="724"/>
      <c r="O67" s="724"/>
      <c r="P67" s="724"/>
      <c r="Q67" s="724"/>
      <c r="R67" s="724"/>
    </row>
    <row r="68" ht="15" customHeight="1" spans="1:18">
      <c r="A68" s="776"/>
      <c r="B68" s="777"/>
      <c r="C68" s="200" t="s">
        <v>38</v>
      </c>
      <c r="D68" s="200" t="s">
        <v>53</v>
      </c>
      <c r="E68" s="778"/>
      <c r="F68" s="775"/>
      <c r="G68" s="724"/>
      <c r="H68" s="724"/>
      <c r="I68" s="724"/>
      <c r="J68" s="724"/>
      <c r="K68" s="724"/>
      <c r="L68" s="724"/>
      <c r="M68" s="724"/>
      <c r="N68" s="724"/>
      <c r="O68" s="724"/>
      <c r="P68" s="724"/>
      <c r="Q68" s="724"/>
      <c r="R68" s="724"/>
    </row>
    <row r="69" ht="15" customHeight="1" spans="1:18">
      <c r="A69" s="776"/>
      <c r="B69" s="777"/>
      <c r="C69" s="664" t="s">
        <v>40</v>
      </c>
      <c r="D69" s="200" t="s">
        <v>60</v>
      </c>
      <c r="E69" s="778"/>
      <c r="F69" s="775"/>
      <c r="G69" s="724"/>
      <c r="H69" s="724"/>
      <c r="I69" s="724"/>
      <c r="J69" s="724"/>
      <c r="K69" s="724"/>
      <c r="L69" s="724"/>
      <c r="M69" s="724"/>
      <c r="N69" s="724"/>
      <c r="O69" s="724"/>
      <c r="P69" s="724"/>
      <c r="Q69" s="724"/>
      <c r="R69" s="724"/>
    </row>
    <row r="70" ht="15" customHeight="1" spans="1:18">
      <c r="A70" s="776"/>
      <c r="B70" s="777"/>
      <c r="C70" s="664"/>
      <c r="D70" s="200" t="s">
        <v>61</v>
      </c>
      <c r="E70" s="778"/>
      <c r="F70" s="775"/>
      <c r="G70" s="724"/>
      <c r="H70" s="724"/>
      <c r="I70" s="724"/>
      <c r="J70" s="724"/>
      <c r="K70" s="724"/>
      <c r="L70" s="724"/>
      <c r="M70" s="724"/>
      <c r="N70" s="724"/>
      <c r="O70" s="724"/>
      <c r="P70" s="724"/>
      <c r="Q70" s="724"/>
      <c r="R70" s="724"/>
    </row>
    <row r="71" ht="15" customHeight="1" spans="1:18">
      <c r="A71" s="776"/>
      <c r="B71" s="777"/>
      <c r="C71" s="664"/>
      <c r="D71" s="200" t="s">
        <v>62</v>
      </c>
      <c r="E71" s="778"/>
      <c r="F71" s="775"/>
      <c r="G71" s="724"/>
      <c r="H71" s="724"/>
      <c r="I71" s="724"/>
      <c r="J71" s="724"/>
      <c r="K71" s="724"/>
      <c r="L71" s="724"/>
      <c r="M71" s="724"/>
      <c r="N71" s="724"/>
      <c r="O71" s="724"/>
      <c r="P71" s="724"/>
      <c r="Q71" s="724"/>
      <c r="R71" s="724"/>
    </row>
    <row r="72" ht="15" customHeight="1" spans="1:18">
      <c r="A72" s="776"/>
      <c r="B72" s="777"/>
      <c r="C72" s="664"/>
      <c r="D72" s="200" t="s">
        <v>63</v>
      </c>
      <c r="E72" s="786"/>
      <c r="F72" s="775"/>
      <c r="G72" s="724"/>
      <c r="H72" s="724"/>
      <c r="I72" s="724"/>
      <c r="J72" s="724"/>
      <c r="K72" s="724"/>
      <c r="L72" s="724"/>
      <c r="M72" s="724"/>
      <c r="N72" s="724"/>
      <c r="O72" s="724"/>
      <c r="P72" s="724"/>
      <c r="Q72" s="724"/>
      <c r="R72" s="724"/>
    </row>
    <row r="73" ht="15" customHeight="1" spans="1:18">
      <c r="A73" s="787" t="s">
        <v>64</v>
      </c>
      <c r="B73" s="771" t="s">
        <v>17</v>
      </c>
      <c r="C73" s="772" t="s">
        <v>65</v>
      </c>
      <c r="D73" s="788">
        <f>'Solar tracking(Narcisse)'!H73</f>
        <v>42850</v>
      </c>
      <c r="E73" s="789" t="s">
        <v>7</v>
      </c>
      <c r="F73" s="775"/>
      <c r="G73" s="724"/>
      <c r="H73" s="724"/>
      <c r="I73" s="724"/>
      <c r="J73" s="724"/>
      <c r="K73" s="724"/>
      <c r="L73" s="724"/>
      <c r="M73" s="724"/>
      <c r="N73" s="724"/>
      <c r="O73" s="724"/>
      <c r="P73" s="724"/>
      <c r="Q73" s="724"/>
      <c r="R73" s="724"/>
    </row>
    <row r="74" ht="15" customHeight="1" spans="1:18">
      <c r="A74" s="790"/>
      <c r="B74" s="777"/>
      <c r="C74" s="200" t="s">
        <v>36</v>
      </c>
      <c r="D74" s="791" t="s">
        <v>37</v>
      </c>
      <c r="E74" s="792"/>
      <c r="F74" s="775"/>
      <c r="G74" s="724"/>
      <c r="H74" s="724"/>
      <c r="I74" s="724"/>
      <c r="J74" s="724"/>
      <c r="K74" s="724"/>
      <c r="L74" s="724"/>
      <c r="M74" s="724"/>
      <c r="N74" s="724"/>
      <c r="O74" s="724"/>
      <c r="P74" s="724"/>
      <c r="Q74" s="724"/>
      <c r="R74" s="724"/>
    </row>
    <row r="75" ht="15" customHeight="1" spans="1:18">
      <c r="A75" s="790"/>
      <c r="B75" s="777"/>
      <c r="C75" s="200" t="s">
        <v>38</v>
      </c>
      <c r="D75" s="791" t="s">
        <v>39</v>
      </c>
      <c r="E75" s="792"/>
      <c r="F75" s="775"/>
      <c r="G75" s="724"/>
      <c r="H75" s="724"/>
      <c r="I75" s="724"/>
      <c r="J75" s="724"/>
      <c r="K75" s="724"/>
      <c r="L75" s="724"/>
      <c r="M75" s="724"/>
      <c r="N75" s="724"/>
      <c r="O75" s="724"/>
      <c r="P75" s="724"/>
      <c r="Q75" s="724"/>
      <c r="R75" s="724"/>
    </row>
    <row r="76" ht="15" customHeight="1" spans="1:18">
      <c r="A76" s="790"/>
      <c r="B76" s="777"/>
      <c r="C76" s="664" t="s">
        <v>40</v>
      </c>
      <c r="D76" s="791" t="s">
        <v>41</v>
      </c>
      <c r="E76" s="792"/>
      <c r="F76" s="775"/>
      <c r="G76" s="724"/>
      <c r="H76" s="724"/>
      <c r="I76" s="724"/>
      <c r="J76" s="724"/>
      <c r="K76" s="724"/>
      <c r="L76" s="724"/>
      <c r="M76" s="724"/>
      <c r="N76" s="724"/>
      <c r="O76" s="724"/>
      <c r="P76" s="724"/>
      <c r="Q76" s="724"/>
      <c r="R76" s="724"/>
    </row>
    <row r="77" ht="15" customHeight="1" spans="1:18">
      <c r="A77" s="790"/>
      <c r="B77" s="777"/>
      <c r="C77" s="664"/>
      <c r="D77" s="791" t="s">
        <v>42</v>
      </c>
      <c r="E77" s="792"/>
      <c r="F77" s="775"/>
      <c r="G77" s="724"/>
      <c r="H77" s="724"/>
      <c r="I77" s="724"/>
      <c r="J77" s="724"/>
      <c r="K77" s="724"/>
      <c r="L77" s="724"/>
      <c r="M77" s="724"/>
      <c r="N77" s="724"/>
      <c r="O77" s="724"/>
      <c r="P77" s="724"/>
      <c r="Q77" s="724"/>
      <c r="R77" s="724"/>
    </row>
    <row r="78" ht="15" customHeight="1" spans="1:18">
      <c r="A78" s="790"/>
      <c r="B78" s="777"/>
      <c r="C78" s="664"/>
      <c r="D78" s="791" t="s">
        <v>43</v>
      </c>
      <c r="E78" s="792"/>
      <c r="F78" s="775"/>
      <c r="G78" s="724"/>
      <c r="H78" s="724"/>
      <c r="I78" s="724"/>
      <c r="J78" s="724"/>
      <c r="K78" s="724"/>
      <c r="L78" s="724"/>
      <c r="M78" s="724"/>
      <c r="N78" s="724"/>
      <c r="O78" s="724"/>
      <c r="P78" s="724"/>
      <c r="Q78" s="724"/>
      <c r="R78" s="724"/>
    </row>
    <row r="79" ht="15" customHeight="1" spans="1:18">
      <c r="A79" s="790"/>
      <c r="B79" s="777"/>
      <c r="C79" s="664"/>
      <c r="D79" s="791" t="s">
        <v>44</v>
      </c>
      <c r="E79" s="792"/>
      <c r="F79" s="775"/>
      <c r="G79" s="724"/>
      <c r="H79" s="724"/>
      <c r="I79" s="724"/>
      <c r="J79" s="724"/>
      <c r="K79" s="724"/>
      <c r="L79" s="724"/>
      <c r="M79" s="724"/>
      <c r="N79" s="724"/>
      <c r="O79" s="724"/>
      <c r="P79" s="724"/>
      <c r="Q79" s="724"/>
      <c r="R79" s="724"/>
    </row>
    <row r="80" ht="15" customHeight="1" spans="1:18">
      <c r="A80" s="790"/>
      <c r="B80" s="777"/>
      <c r="C80" s="664"/>
      <c r="D80" s="791" t="s">
        <v>45</v>
      </c>
      <c r="E80" s="792"/>
      <c r="F80" s="775"/>
      <c r="G80" s="724"/>
      <c r="H80" s="724"/>
      <c r="I80" s="724"/>
      <c r="J80" s="724"/>
      <c r="K80" s="724"/>
      <c r="L80" s="724"/>
      <c r="M80" s="724"/>
      <c r="N80" s="724"/>
      <c r="O80" s="724"/>
      <c r="P80" s="724"/>
      <c r="Q80" s="724"/>
      <c r="R80" s="724"/>
    </row>
    <row r="81" ht="15" customHeight="1" spans="1:18">
      <c r="A81" s="790"/>
      <c r="B81" s="664" t="s">
        <v>20</v>
      </c>
      <c r="C81" s="200" t="s">
        <v>65</v>
      </c>
      <c r="D81" s="793">
        <f>'Irrigation System(Arcus)'!H38</f>
        <v>9220</v>
      </c>
      <c r="E81" s="792"/>
      <c r="F81" s="737"/>
      <c r="G81" s="724"/>
      <c r="H81" s="724"/>
      <c r="I81" s="724"/>
      <c r="J81" s="724"/>
      <c r="K81" s="724"/>
      <c r="L81" s="724"/>
      <c r="M81" s="724"/>
      <c r="N81" s="724"/>
      <c r="O81" s="724"/>
      <c r="P81" s="724"/>
      <c r="Q81" s="724"/>
      <c r="R81" s="724"/>
    </row>
    <row r="82" ht="15" customHeight="1" spans="1:18">
      <c r="A82" s="790"/>
      <c r="B82" s="664"/>
      <c r="C82" s="200" t="s">
        <v>36</v>
      </c>
      <c r="D82" s="791" t="s">
        <v>46</v>
      </c>
      <c r="E82" s="792"/>
      <c r="F82" s="737"/>
      <c r="G82" s="724"/>
      <c r="H82" s="724"/>
      <c r="I82" s="724"/>
      <c r="J82" s="724"/>
      <c r="K82" s="724"/>
      <c r="L82" s="724"/>
      <c r="M82" s="724"/>
      <c r="N82" s="724"/>
      <c r="O82" s="724"/>
      <c r="P82" s="724"/>
      <c r="Q82" s="724"/>
      <c r="R82" s="724"/>
    </row>
    <row r="83" ht="15" customHeight="1" spans="1:18">
      <c r="A83" s="790"/>
      <c r="B83" s="664"/>
      <c r="C83" s="200" t="s">
        <v>38</v>
      </c>
      <c r="D83" s="791" t="s">
        <v>47</v>
      </c>
      <c r="E83" s="792"/>
      <c r="F83" s="737"/>
      <c r="G83" s="724"/>
      <c r="H83" s="724"/>
      <c r="I83" s="724"/>
      <c r="J83" s="724"/>
      <c r="K83" s="724"/>
      <c r="L83" s="724"/>
      <c r="M83" s="724"/>
      <c r="N83" s="724"/>
      <c r="O83" s="724"/>
      <c r="P83" s="724"/>
      <c r="Q83" s="724"/>
      <c r="R83" s="724"/>
    </row>
    <row r="84" ht="15" customHeight="1" spans="1:18">
      <c r="A84" s="790"/>
      <c r="B84" s="664"/>
      <c r="C84" s="780" t="s">
        <v>40</v>
      </c>
      <c r="D84" s="791" t="s">
        <v>48</v>
      </c>
      <c r="E84" s="792"/>
      <c r="F84" s="737"/>
      <c r="G84" s="724"/>
      <c r="H84" s="724"/>
      <c r="I84" s="724"/>
      <c r="J84" s="724"/>
      <c r="K84" s="724"/>
      <c r="L84" s="724"/>
      <c r="M84" s="724"/>
      <c r="N84" s="724"/>
      <c r="O84" s="724"/>
      <c r="P84" s="724"/>
      <c r="Q84" s="724"/>
      <c r="R84" s="724"/>
    </row>
    <row r="85" ht="15" customHeight="1" spans="1:18">
      <c r="A85" s="790"/>
      <c r="B85" s="664"/>
      <c r="C85" s="780"/>
      <c r="D85" s="791" t="s">
        <v>49</v>
      </c>
      <c r="E85" s="792"/>
      <c r="F85" s="737"/>
      <c r="G85" s="724"/>
      <c r="H85" s="724"/>
      <c r="I85" s="724"/>
      <c r="J85" s="724"/>
      <c r="K85" s="724"/>
      <c r="L85" s="724"/>
      <c r="M85" s="724"/>
      <c r="N85" s="724"/>
      <c r="O85" s="724"/>
      <c r="P85" s="724"/>
      <c r="Q85" s="724"/>
      <c r="R85" s="724"/>
    </row>
    <row r="86" ht="15" customHeight="1" spans="1:18">
      <c r="A86" s="790"/>
      <c r="B86" s="664"/>
      <c r="C86" s="780"/>
      <c r="D86" s="791" t="s">
        <v>50</v>
      </c>
      <c r="E86" s="792"/>
      <c r="F86" s="737"/>
      <c r="G86" s="724"/>
      <c r="H86" s="724"/>
      <c r="I86" s="724"/>
      <c r="J86" s="724"/>
      <c r="K86" s="724"/>
      <c r="L86" s="724"/>
      <c r="M86" s="724"/>
      <c r="N86" s="724"/>
      <c r="O86" s="724"/>
      <c r="P86" s="724"/>
      <c r="Q86" s="724"/>
      <c r="R86" s="724"/>
    </row>
    <row r="87" ht="15" customHeight="1" spans="1:18">
      <c r="A87" s="790"/>
      <c r="B87" s="664" t="s">
        <v>22</v>
      </c>
      <c r="C87" s="200" t="s">
        <v>66</v>
      </c>
      <c r="D87" s="794">
        <f>'Smart Dryer(Cedric)'!B49</f>
        <v>8861</v>
      </c>
      <c r="E87" s="792"/>
      <c r="F87" s="781"/>
      <c r="G87" s="724"/>
      <c r="H87" s="724"/>
      <c r="I87" s="724"/>
      <c r="J87" s="724"/>
      <c r="K87" s="724"/>
      <c r="L87" s="724"/>
      <c r="M87" s="724"/>
      <c r="N87" s="724"/>
      <c r="O87" s="724"/>
      <c r="P87" s="724"/>
      <c r="Q87" s="724"/>
      <c r="R87" s="724"/>
    </row>
    <row r="88" ht="15" customHeight="1" spans="1:18">
      <c r="A88" s="790"/>
      <c r="B88" s="664"/>
      <c r="C88" s="200" t="s">
        <v>36</v>
      </c>
      <c r="D88" s="791" t="s">
        <v>52</v>
      </c>
      <c r="E88" s="792"/>
      <c r="F88" s="781"/>
      <c r="G88" s="724"/>
      <c r="H88" s="724"/>
      <c r="I88" s="724"/>
      <c r="J88" s="724"/>
      <c r="K88" s="724"/>
      <c r="L88" s="724"/>
      <c r="M88" s="724"/>
      <c r="N88" s="724"/>
      <c r="O88" s="724"/>
      <c r="P88" s="724"/>
      <c r="Q88" s="724"/>
      <c r="R88" s="724"/>
    </row>
    <row r="89" ht="15" customHeight="1" spans="1:18">
      <c r="A89" s="790"/>
      <c r="B89" s="664"/>
      <c r="C89" s="200" t="s">
        <v>38</v>
      </c>
      <c r="D89" s="791" t="s">
        <v>53</v>
      </c>
      <c r="E89" s="792"/>
      <c r="F89" s="781"/>
      <c r="G89" s="724"/>
      <c r="H89" s="724"/>
      <c r="I89" s="724"/>
      <c r="J89" s="724"/>
      <c r="K89" s="724"/>
      <c r="L89" s="724"/>
      <c r="M89" s="724"/>
      <c r="N89" s="724"/>
      <c r="O89" s="724"/>
      <c r="P89" s="724"/>
      <c r="Q89" s="724"/>
      <c r="R89" s="724"/>
    </row>
    <row r="90" ht="15" customHeight="1" spans="1:18">
      <c r="A90" s="790"/>
      <c r="B90" s="664"/>
      <c r="C90" s="200" t="s">
        <v>40</v>
      </c>
      <c r="D90" s="791" t="s">
        <v>10</v>
      </c>
      <c r="E90" s="792"/>
      <c r="F90" s="781"/>
      <c r="G90" s="724"/>
      <c r="H90" s="724"/>
      <c r="I90" s="724"/>
      <c r="J90" s="724"/>
      <c r="K90" s="724"/>
      <c r="L90" s="724"/>
      <c r="M90" s="724"/>
      <c r="N90" s="724"/>
      <c r="O90" s="724"/>
      <c r="P90" s="724"/>
      <c r="Q90" s="724"/>
      <c r="R90" s="724"/>
    </row>
    <row r="91" ht="15" customHeight="1" spans="1:18">
      <c r="A91" s="790"/>
      <c r="B91" s="777" t="s">
        <v>24</v>
      </c>
      <c r="C91" s="200" t="s">
        <v>67</v>
      </c>
      <c r="D91" s="795">
        <f>'Face Recognition(Yanick)'!B53</f>
        <v>11770</v>
      </c>
      <c r="E91" s="792"/>
      <c r="F91" s="775"/>
      <c r="G91" s="724"/>
      <c r="H91" s="724"/>
      <c r="I91" s="724"/>
      <c r="J91" s="724"/>
      <c r="K91" s="724"/>
      <c r="L91" s="724"/>
      <c r="M91" s="724"/>
      <c r="N91" s="724"/>
      <c r="O91" s="724"/>
      <c r="P91" s="724"/>
      <c r="Q91" s="724"/>
      <c r="R91" s="724"/>
    </row>
    <row r="92" ht="15" customHeight="1" spans="1:18">
      <c r="A92" s="790"/>
      <c r="B92" s="777"/>
      <c r="C92" s="200" t="s">
        <v>36</v>
      </c>
      <c r="D92" s="791" t="s">
        <v>54</v>
      </c>
      <c r="E92" s="792"/>
      <c r="F92" s="775"/>
      <c r="G92" s="724"/>
      <c r="H92" s="724"/>
      <c r="I92" s="724"/>
      <c r="J92" s="724"/>
      <c r="K92" s="724"/>
      <c r="L92" s="724"/>
      <c r="M92" s="724"/>
      <c r="N92" s="724"/>
      <c r="O92" s="724"/>
      <c r="P92" s="724"/>
      <c r="Q92" s="724"/>
      <c r="R92" s="724"/>
    </row>
    <row r="93" ht="15" customHeight="1" spans="1:18">
      <c r="A93" s="790"/>
      <c r="B93" s="777"/>
      <c r="C93" s="200" t="s">
        <v>38</v>
      </c>
      <c r="D93" s="791" t="s">
        <v>55</v>
      </c>
      <c r="E93" s="792"/>
      <c r="F93" s="775"/>
      <c r="G93" s="724"/>
      <c r="H93" s="724"/>
      <c r="I93" s="724"/>
      <c r="J93" s="724"/>
      <c r="K93" s="724"/>
      <c r="L93" s="724"/>
      <c r="M93" s="724"/>
      <c r="N93" s="724"/>
      <c r="O93" s="724"/>
      <c r="P93" s="724"/>
      <c r="Q93" s="724"/>
      <c r="R93" s="724"/>
    </row>
    <row r="94" ht="15" customHeight="1" spans="1:18">
      <c r="A94" s="790"/>
      <c r="B94" s="777"/>
      <c r="C94" s="200" t="s">
        <v>40</v>
      </c>
      <c r="D94" s="791" t="s">
        <v>56</v>
      </c>
      <c r="E94" s="792"/>
      <c r="F94" s="775"/>
      <c r="G94" s="724"/>
      <c r="H94" s="724"/>
      <c r="I94" s="724"/>
      <c r="J94" s="724"/>
      <c r="K94" s="724"/>
      <c r="L94" s="724"/>
      <c r="M94" s="724"/>
      <c r="N94" s="724"/>
      <c r="O94" s="724"/>
      <c r="P94" s="724"/>
      <c r="Q94" s="724"/>
      <c r="R94" s="724"/>
    </row>
    <row r="95" ht="15" customHeight="1" spans="1:18">
      <c r="A95" s="790"/>
      <c r="B95" s="664" t="s">
        <v>26</v>
      </c>
      <c r="C95" s="200" t="s">
        <v>66</v>
      </c>
      <c r="D95" s="796">
        <f>'No Reesa(Afiatou)'!C26</f>
        <v>8.473</v>
      </c>
      <c r="E95" s="792"/>
      <c r="F95" s="775"/>
      <c r="G95" s="724"/>
      <c r="H95" s="724"/>
      <c r="I95" s="724"/>
      <c r="J95" s="724"/>
      <c r="K95" s="724"/>
      <c r="L95" s="724"/>
      <c r="M95" s="724"/>
      <c r="N95" s="724"/>
      <c r="O95" s="724"/>
      <c r="P95" s="724"/>
      <c r="Q95" s="724"/>
      <c r="R95" s="724"/>
    </row>
    <row r="96" ht="15" customHeight="1" spans="1:18">
      <c r="A96" s="790"/>
      <c r="B96" s="664"/>
      <c r="C96" s="200" t="s">
        <v>36</v>
      </c>
      <c r="D96" s="791" t="s">
        <v>68</v>
      </c>
      <c r="E96" s="792"/>
      <c r="F96" s="775"/>
      <c r="G96" s="724"/>
      <c r="H96" s="724"/>
      <c r="I96" s="724"/>
      <c r="J96" s="724"/>
      <c r="K96" s="724"/>
      <c r="L96" s="724"/>
      <c r="M96" s="724"/>
      <c r="N96" s="724"/>
      <c r="O96" s="724"/>
      <c r="P96" s="724"/>
      <c r="Q96" s="724"/>
      <c r="R96" s="724"/>
    </row>
    <row r="97" ht="15" customHeight="1" spans="1:18">
      <c r="A97" s="790"/>
      <c r="B97" s="664"/>
      <c r="C97" s="200" t="s">
        <v>38</v>
      </c>
      <c r="D97" s="791" t="s">
        <v>69</v>
      </c>
      <c r="E97" s="792"/>
      <c r="F97" s="775"/>
      <c r="G97" s="724"/>
      <c r="H97" s="724"/>
      <c r="I97" s="724"/>
      <c r="J97" s="724"/>
      <c r="K97" s="724"/>
      <c r="L97" s="724"/>
      <c r="M97" s="724"/>
      <c r="N97" s="724"/>
      <c r="O97" s="724"/>
      <c r="P97" s="724"/>
      <c r="Q97" s="724"/>
      <c r="R97" s="724"/>
    </row>
    <row r="98" ht="15" customHeight="1" spans="1:18">
      <c r="A98" s="790"/>
      <c r="B98" s="664"/>
      <c r="C98" s="200" t="s">
        <v>40</v>
      </c>
      <c r="D98" s="791" t="s">
        <v>10</v>
      </c>
      <c r="E98" s="792"/>
      <c r="F98" s="775"/>
      <c r="G98" s="724"/>
      <c r="H98" s="724"/>
      <c r="I98" s="724"/>
      <c r="J98" s="724"/>
      <c r="K98" s="724"/>
      <c r="L98" s="724"/>
      <c r="M98" s="724"/>
      <c r="N98" s="724"/>
      <c r="O98" s="724"/>
      <c r="P98" s="724"/>
      <c r="Q98" s="724"/>
      <c r="R98" s="724"/>
    </row>
    <row r="99" ht="15" customHeight="1" spans="1:18">
      <c r="A99" s="790"/>
      <c r="B99" s="777" t="s">
        <v>70</v>
      </c>
      <c r="C99" s="200" t="s">
        <v>66</v>
      </c>
      <c r="D99" s="797">
        <v>27300</v>
      </c>
      <c r="E99" s="792"/>
      <c r="F99" s="775"/>
      <c r="G99" s="724"/>
      <c r="H99" s="724"/>
      <c r="I99" s="724"/>
      <c r="J99" s="724"/>
      <c r="K99" s="724"/>
      <c r="L99" s="724"/>
      <c r="M99" s="724"/>
      <c r="N99" s="724"/>
      <c r="O99" s="724"/>
      <c r="P99" s="724"/>
      <c r="Q99" s="724"/>
      <c r="R99" s="724"/>
    </row>
    <row r="100" ht="15" customHeight="1" spans="1:18">
      <c r="A100" s="790"/>
      <c r="B100" s="777"/>
      <c r="C100" s="200" t="s">
        <v>36</v>
      </c>
      <c r="D100" s="791" t="s">
        <v>52</v>
      </c>
      <c r="E100" s="792"/>
      <c r="F100" s="775"/>
      <c r="G100" s="724"/>
      <c r="H100" s="724"/>
      <c r="I100" s="724"/>
      <c r="J100" s="724"/>
      <c r="K100" s="724"/>
      <c r="L100" s="724"/>
      <c r="M100" s="724"/>
      <c r="N100" s="724"/>
      <c r="O100" s="724"/>
      <c r="P100" s="724"/>
      <c r="Q100" s="724"/>
      <c r="R100" s="724"/>
    </row>
    <row r="101" ht="15" customHeight="1" spans="1:18">
      <c r="A101" s="790"/>
      <c r="B101" s="777"/>
      <c r="C101" s="200" t="s">
        <v>38</v>
      </c>
      <c r="D101" s="791" t="s">
        <v>53</v>
      </c>
      <c r="E101" s="792"/>
      <c r="F101" s="775"/>
      <c r="G101" s="724"/>
      <c r="H101" s="724"/>
      <c r="I101" s="724"/>
      <c r="J101" s="724"/>
      <c r="K101" s="724"/>
      <c r="L101" s="724"/>
      <c r="M101" s="724"/>
      <c r="N101" s="724"/>
      <c r="O101" s="724"/>
      <c r="P101" s="724"/>
      <c r="Q101" s="724"/>
      <c r="R101" s="724"/>
    </row>
    <row r="102" ht="15" customHeight="1" spans="1:18">
      <c r="A102" s="790"/>
      <c r="B102" s="777"/>
      <c r="C102" s="664" t="s">
        <v>40</v>
      </c>
      <c r="D102" s="791" t="s">
        <v>60</v>
      </c>
      <c r="E102" s="792"/>
      <c r="F102" s="775"/>
      <c r="G102" s="724"/>
      <c r="H102" s="724"/>
      <c r="I102" s="724"/>
      <c r="J102" s="724"/>
      <c r="K102" s="724"/>
      <c r="L102" s="724"/>
      <c r="M102" s="724"/>
      <c r="N102" s="724"/>
      <c r="O102" s="724"/>
      <c r="P102" s="724"/>
      <c r="Q102" s="724"/>
      <c r="R102" s="724"/>
    </row>
    <row r="103" ht="15" customHeight="1" spans="1:18">
      <c r="A103" s="790"/>
      <c r="B103" s="777"/>
      <c r="C103" s="664"/>
      <c r="D103" s="791" t="s">
        <v>61</v>
      </c>
      <c r="E103" s="792"/>
      <c r="F103" s="775"/>
      <c r="G103" s="724"/>
      <c r="H103" s="724"/>
      <c r="I103" s="724"/>
      <c r="J103" s="724"/>
      <c r="K103" s="724"/>
      <c r="L103" s="724"/>
      <c r="M103" s="724"/>
      <c r="N103" s="724"/>
      <c r="O103" s="724"/>
      <c r="P103" s="724"/>
      <c r="Q103" s="724"/>
      <c r="R103" s="724"/>
    </row>
    <row r="104" ht="15" customHeight="1" spans="1:18">
      <c r="A104" s="790"/>
      <c r="B104" s="777"/>
      <c r="C104" s="664"/>
      <c r="D104" s="791" t="s">
        <v>62</v>
      </c>
      <c r="E104" s="792"/>
      <c r="F104" s="775"/>
      <c r="G104" s="724"/>
      <c r="H104" s="724"/>
      <c r="I104" s="724"/>
      <c r="J104" s="724"/>
      <c r="K104" s="724"/>
      <c r="L104" s="724"/>
      <c r="M104" s="724"/>
      <c r="N104" s="724"/>
      <c r="O104" s="724"/>
      <c r="P104" s="724"/>
      <c r="Q104" s="724"/>
      <c r="R104" s="724"/>
    </row>
    <row r="105" ht="15" customHeight="1" spans="1:18">
      <c r="A105" s="790"/>
      <c r="B105" s="777"/>
      <c r="C105" s="664"/>
      <c r="D105" s="791" t="s">
        <v>63</v>
      </c>
      <c r="E105" s="792"/>
      <c r="F105" s="775"/>
      <c r="G105" s="724"/>
      <c r="H105" s="724"/>
      <c r="I105" s="724"/>
      <c r="J105" s="724"/>
      <c r="K105" s="724"/>
      <c r="L105" s="724"/>
      <c r="M105" s="724"/>
      <c r="N105" s="724"/>
      <c r="O105" s="724"/>
      <c r="P105" s="724"/>
      <c r="Q105" s="724"/>
      <c r="R105" s="724"/>
    </row>
    <row r="106" ht="18" spans="1:5">
      <c r="A106" s="790"/>
      <c r="B106" s="777" t="s">
        <v>30</v>
      </c>
      <c r="C106" s="798" t="s">
        <v>66</v>
      </c>
      <c r="D106" s="9">
        <v>49.867</v>
      </c>
      <c r="E106" s="792"/>
    </row>
    <row r="107" ht="18" spans="1:5">
      <c r="A107" s="790"/>
      <c r="B107" s="777"/>
      <c r="C107" s="200" t="s">
        <v>36</v>
      </c>
      <c r="D107" s="791" t="s">
        <v>71</v>
      </c>
      <c r="E107" s="792"/>
    </row>
    <row r="108" ht="18" spans="1:5">
      <c r="A108" s="790"/>
      <c r="B108" s="777"/>
      <c r="C108" s="200" t="s">
        <v>38</v>
      </c>
      <c r="D108" s="791" t="s">
        <v>52</v>
      </c>
      <c r="E108" s="792"/>
    </row>
    <row r="109" ht="18" spans="1:5">
      <c r="A109" s="790"/>
      <c r="B109" s="777"/>
      <c r="C109" s="664" t="s">
        <v>40</v>
      </c>
      <c r="D109" s="791" t="s">
        <v>60</v>
      </c>
      <c r="E109" s="792"/>
    </row>
    <row r="110" ht="18" spans="1:5">
      <c r="A110" s="790"/>
      <c r="B110" s="777"/>
      <c r="C110" s="664"/>
      <c r="D110" s="791" t="s">
        <v>61</v>
      </c>
      <c r="E110" s="792"/>
    </row>
    <row r="111" ht="18" spans="1:5">
      <c r="A111" s="790"/>
      <c r="B111" s="777"/>
      <c r="C111" s="664"/>
      <c r="D111" s="791" t="s">
        <v>72</v>
      </c>
      <c r="E111" s="792"/>
    </row>
    <row r="112" ht="18" spans="1:5">
      <c r="A112" s="790"/>
      <c r="B112" s="777"/>
      <c r="C112" s="664"/>
      <c r="D112" s="791" t="s">
        <v>73</v>
      </c>
      <c r="E112" s="799"/>
    </row>
    <row r="113" ht="18" spans="1:5">
      <c r="A113" s="1"/>
      <c r="B113" s="1"/>
      <c r="C113" s="1"/>
      <c r="D113" s="1"/>
      <c r="E113" s="1"/>
    </row>
    <row r="114" ht="18" spans="1:5">
      <c r="A114" s="1"/>
      <c r="B114" s="1"/>
      <c r="C114" s="1"/>
      <c r="D114" s="1"/>
      <c r="E114" s="1"/>
    </row>
    <row r="115" ht="18" spans="1:5">
      <c r="A115" s="1"/>
      <c r="B115" s="1"/>
      <c r="C115" s="1"/>
      <c r="D115" s="1"/>
      <c r="E115" s="1"/>
    </row>
    <row r="116" ht="18" spans="1:5">
      <c r="A116" s="1"/>
      <c r="B116" s="1"/>
      <c r="C116" s="1"/>
      <c r="D116" s="1"/>
      <c r="E116" s="1"/>
    </row>
    <row r="117" ht="18" spans="1:5">
      <c r="A117" s="1"/>
      <c r="B117" s="1"/>
      <c r="C117" s="1"/>
      <c r="D117" s="1"/>
      <c r="E117" s="1"/>
    </row>
    <row r="118" ht="36" customHeight="1" spans="1:5">
      <c r="A118" s="800" t="s">
        <v>74</v>
      </c>
      <c r="B118" s="800"/>
      <c r="C118" s="800"/>
      <c r="D118" s="800"/>
      <c r="E118" s="800"/>
    </row>
    <row r="119" ht="17.4" spans="1:5">
      <c r="A119" s="239" t="s">
        <v>75</v>
      </c>
      <c r="B119" s="239" t="s">
        <v>76</v>
      </c>
      <c r="C119" s="239" t="s">
        <v>77</v>
      </c>
      <c r="D119" s="239" t="s">
        <v>78</v>
      </c>
      <c r="E119" s="239" t="s">
        <v>79</v>
      </c>
    </row>
    <row r="120" ht="18" spans="1:5">
      <c r="A120" s="801" t="s">
        <v>80</v>
      </c>
      <c r="B120" s="801" t="s">
        <v>81</v>
      </c>
      <c r="C120" s="801" t="s">
        <v>82</v>
      </c>
      <c r="D120" s="801" t="s">
        <v>83</v>
      </c>
      <c r="E120" s="801" t="s">
        <v>84</v>
      </c>
    </row>
    <row r="121" ht="18" spans="1:5">
      <c r="A121" s="801" t="s">
        <v>85</v>
      </c>
      <c r="B121" s="801" t="s">
        <v>86</v>
      </c>
      <c r="C121" s="801" t="s">
        <v>87</v>
      </c>
      <c r="D121" s="801" t="s">
        <v>87</v>
      </c>
      <c r="E121" s="801" t="s">
        <v>88</v>
      </c>
    </row>
    <row r="122" ht="18" spans="1:5">
      <c r="A122" s="801" t="s">
        <v>89</v>
      </c>
      <c r="B122" s="801" t="s">
        <v>90</v>
      </c>
      <c r="C122" s="801" t="s">
        <v>90</v>
      </c>
      <c r="D122" s="801" t="s">
        <v>90</v>
      </c>
      <c r="E122" s="801" t="s">
        <v>91</v>
      </c>
    </row>
    <row r="123" ht="18" spans="1:5">
      <c r="A123" s="801" t="s">
        <v>92</v>
      </c>
      <c r="B123" s="801" t="s">
        <v>93</v>
      </c>
      <c r="C123" s="801" t="s">
        <v>94</v>
      </c>
      <c r="D123" s="801" t="s">
        <v>94</v>
      </c>
      <c r="E123" s="801" t="s">
        <v>95</v>
      </c>
    </row>
    <row r="124" ht="18" spans="1:5">
      <c r="A124" s="801" t="s">
        <v>96</v>
      </c>
      <c r="B124" s="801" t="s">
        <v>90</v>
      </c>
      <c r="C124" s="801" t="s">
        <v>90</v>
      </c>
      <c r="D124" s="801" t="s">
        <v>90</v>
      </c>
      <c r="E124" s="801" t="s">
        <v>91</v>
      </c>
    </row>
    <row r="125" ht="18" spans="1:5">
      <c r="A125" s="801" t="s">
        <v>97</v>
      </c>
      <c r="B125" s="801" t="s">
        <v>87</v>
      </c>
      <c r="C125" s="801" t="s">
        <v>87</v>
      </c>
      <c r="D125" s="801" t="s">
        <v>87</v>
      </c>
      <c r="E125" s="801" t="s">
        <v>91</v>
      </c>
    </row>
    <row r="126" ht="18" hidden="1" spans="1:5">
      <c r="A126" s="801" t="s">
        <v>98</v>
      </c>
      <c r="B126" s="801" t="s">
        <v>99</v>
      </c>
      <c r="C126" s="801" t="s">
        <v>86</v>
      </c>
      <c r="D126" s="801" t="s">
        <v>100</v>
      </c>
      <c r="E126" s="801" t="s">
        <v>101</v>
      </c>
    </row>
    <row r="127" ht="18" spans="1:5">
      <c r="A127" s="801" t="s">
        <v>102</v>
      </c>
      <c r="B127" s="801" t="s">
        <v>100</v>
      </c>
      <c r="C127" s="801" t="s">
        <v>87</v>
      </c>
      <c r="D127" s="801" t="s">
        <v>87</v>
      </c>
      <c r="E127" s="802" t="s">
        <v>103</v>
      </c>
    </row>
    <row r="128" ht="19.5" customHeight="1" spans="1:5">
      <c r="A128" s="801" t="s">
        <v>104</v>
      </c>
      <c r="B128" s="801" t="s">
        <v>100</v>
      </c>
      <c r="C128" s="801" t="s">
        <v>100</v>
      </c>
      <c r="D128" s="803" t="s">
        <v>100</v>
      </c>
      <c r="E128" s="804" t="s">
        <v>91</v>
      </c>
    </row>
    <row r="129" ht="34.8" spans="1:5">
      <c r="A129" s="805" t="s">
        <v>105</v>
      </c>
      <c r="B129" s="806">
        <v>0.85</v>
      </c>
      <c r="C129" s="807" t="s">
        <v>106</v>
      </c>
      <c r="D129" s="806">
        <v>0.88</v>
      </c>
      <c r="E129" s="808" t="s">
        <v>107</v>
      </c>
    </row>
  </sheetData>
  <mergeCells count="87">
    <mergeCell ref="A9:B9"/>
    <mergeCell ref="H11:I11"/>
    <mergeCell ref="F15:G15"/>
    <mergeCell ref="F16:G16"/>
    <mergeCell ref="F18:G18"/>
    <mergeCell ref="B22:E22"/>
    <mergeCell ref="B23:E23"/>
    <mergeCell ref="G28:R28"/>
    <mergeCell ref="G29:R29"/>
    <mergeCell ref="A30:F30"/>
    <mergeCell ref="G30:R30"/>
    <mergeCell ref="A31:F31"/>
    <mergeCell ref="G31:R31"/>
    <mergeCell ref="A32:F32"/>
    <mergeCell ref="G32:R32"/>
    <mergeCell ref="A33:F33"/>
    <mergeCell ref="G33:R33"/>
    <mergeCell ref="A34:F34"/>
    <mergeCell ref="G34:R34"/>
    <mergeCell ref="A35:F35"/>
    <mergeCell ref="G35:R35"/>
    <mergeCell ref="C36:E36"/>
    <mergeCell ref="F36:G36"/>
    <mergeCell ref="L39:N39"/>
    <mergeCell ref="L40:N40"/>
    <mergeCell ref="L41:N41"/>
    <mergeCell ref="L42:N42"/>
    <mergeCell ref="L43:N43"/>
    <mergeCell ref="L44:N44"/>
    <mergeCell ref="L45:N45"/>
    <mergeCell ref="L46:N46"/>
    <mergeCell ref="L47:N47"/>
    <mergeCell ref="L48:N48"/>
    <mergeCell ref="A118:E118"/>
    <mergeCell ref="A38:A39"/>
    <mergeCell ref="A40:A72"/>
    <mergeCell ref="A73:A112"/>
    <mergeCell ref="B13:B14"/>
    <mergeCell ref="B38:B39"/>
    <mergeCell ref="B40:B47"/>
    <mergeCell ref="B48:B53"/>
    <mergeCell ref="B54:B57"/>
    <mergeCell ref="B58:B61"/>
    <mergeCell ref="B62:B65"/>
    <mergeCell ref="B66:B72"/>
    <mergeCell ref="B73:B80"/>
    <mergeCell ref="B81:B86"/>
    <mergeCell ref="B87:B90"/>
    <mergeCell ref="B91:B94"/>
    <mergeCell ref="B95:B98"/>
    <mergeCell ref="B99:B105"/>
    <mergeCell ref="B106:B112"/>
    <mergeCell ref="C7:C8"/>
    <mergeCell ref="C13:C14"/>
    <mergeCell ref="C43:C47"/>
    <mergeCell ref="C51:C53"/>
    <mergeCell ref="C69:C72"/>
    <mergeCell ref="C76:C80"/>
    <mergeCell ref="C84:C86"/>
    <mergeCell ref="C102:C105"/>
    <mergeCell ref="C109:C112"/>
    <mergeCell ref="D13:D14"/>
    <mergeCell ref="E13:E14"/>
    <mergeCell ref="E38:E39"/>
    <mergeCell ref="E40:E72"/>
    <mergeCell ref="E73:E112"/>
    <mergeCell ref="F38:F39"/>
    <mergeCell ref="F40:F47"/>
    <mergeCell ref="F48:F53"/>
    <mergeCell ref="F54:F57"/>
    <mergeCell ref="F58:F61"/>
    <mergeCell ref="F62:F65"/>
    <mergeCell ref="F66:F72"/>
    <mergeCell ref="F73:F80"/>
    <mergeCell ref="F81:F86"/>
    <mergeCell ref="F87:F90"/>
    <mergeCell ref="F91:F94"/>
    <mergeCell ref="F95:F98"/>
    <mergeCell ref="F99:F105"/>
    <mergeCell ref="L37:N38"/>
    <mergeCell ref="C38:D39"/>
    <mergeCell ref="A28:F29"/>
    <mergeCell ref="A7:B8"/>
    <mergeCell ref="A1:H2"/>
    <mergeCell ref="F13:G14"/>
    <mergeCell ref="A26:F27"/>
    <mergeCell ref="G26:R27"/>
  </mergeCell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2"/>
  <sheetViews>
    <sheetView tabSelected="1" workbookViewId="0">
      <selection activeCell="B28" sqref="B28"/>
    </sheetView>
  </sheetViews>
  <sheetFormatPr defaultColWidth="9" defaultRowHeight="18"/>
  <cols>
    <col min="1" max="2" width="37.8518518518519" style="1" customWidth="1"/>
    <col min="3" max="3" width="40.8518518518519" style="1" customWidth="1"/>
    <col min="4" max="4" width="33.5740740740741" style="9" customWidth="1"/>
    <col min="5" max="5" width="66" style="9" customWidth="1"/>
    <col min="6" max="6" width="26.287037037037" style="1" customWidth="1"/>
    <col min="7" max="7" width="44.1388888888889" style="1" customWidth="1"/>
    <col min="8" max="8" width="28.5740740740741" style="1" customWidth="1"/>
    <col min="9" max="9" width="23.287037037037" style="1" customWidth="1"/>
    <col min="10" max="10" width="15.4259259259259" style="1" customWidth="1"/>
    <col min="11" max="11" width="39.4259259259259" style="1" customWidth="1"/>
    <col min="12" max="12" width="32.287037037037" style="1" customWidth="1"/>
    <col min="13" max="13" width="21" style="1" customWidth="1"/>
    <col min="14" max="14" width="17.1388888888889" style="1" customWidth="1"/>
    <col min="15" max="15" width="22.1388888888889" style="1" customWidth="1"/>
    <col min="16" max="16" width="19.1388888888889" style="1" customWidth="1"/>
    <col min="17" max="17" width="36.8518518518519" style="1" customWidth="1"/>
    <col min="18" max="18" width="31.5740740740741" style="1" customWidth="1"/>
    <col min="19" max="19" width="31.1388888888889" style="1" customWidth="1"/>
    <col min="20" max="16384" width="9.13888888888889" style="1"/>
  </cols>
  <sheetData>
    <row r="1" ht="26.25" customHeight="1" spans="1:19">
      <c r="A1" s="517" t="s">
        <v>108</v>
      </c>
      <c r="B1" s="518"/>
      <c r="C1" s="518"/>
      <c r="D1" s="519"/>
      <c r="P1" s="633" t="s">
        <v>109</v>
      </c>
      <c r="Q1" s="633"/>
      <c r="R1" s="633"/>
      <c r="S1" s="633"/>
    </row>
    <row r="2" ht="36" customHeight="1" spans="1:19">
      <c r="A2" s="520" t="s">
        <v>110</v>
      </c>
      <c r="B2" s="520" t="s">
        <v>111</v>
      </c>
      <c r="C2" s="520" t="s">
        <v>112</v>
      </c>
      <c r="D2" s="520" t="s">
        <v>113</v>
      </c>
      <c r="P2" s="672" t="s">
        <v>114</v>
      </c>
      <c r="Q2" s="692" t="s">
        <v>115</v>
      </c>
      <c r="R2" s="692" t="s">
        <v>116</v>
      </c>
      <c r="S2" s="693" t="s">
        <v>117</v>
      </c>
    </row>
    <row r="3" ht="26.25" customHeight="1" spans="1:19">
      <c r="A3" s="521" t="s">
        <v>118</v>
      </c>
      <c r="B3" s="521">
        <v>200</v>
      </c>
      <c r="C3" s="521" t="s">
        <v>119</v>
      </c>
      <c r="D3" s="522">
        <v>40000</v>
      </c>
      <c r="P3" s="673">
        <v>1</v>
      </c>
      <c r="Q3" s="694">
        <f t="shared" ref="Q3:Q12" si="0">$R$20</f>
        <v>33210.8</v>
      </c>
      <c r="R3" s="695">
        <f t="shared" ref="R3:R12" si="1">1/(1+$R$21)^P3</f>
        <v>0.925925925925926</v>
      </c>
      <c r="S3" s="696">
        <f t="shared" ref="S3:S12" si="2">Q3*R3</f>
        <v>30750.7407407407</v>
      </c>
    </row>
    <row r="4" ht="20.25" customHeight="1" spans="1:19">
      <c r="A4" s="523" t="s">
        <v>120</v>
      </c>
      <c r="B4" s="523">
        <v>200</v>
      </c>
      <c r="C4" s="523" t="s">
        <v>119</v>
      </c>
      <c r="D4" s="524">
        <v>44000</v>
      </c>
      <c r="P4" s="673">
        <v>2</v>
      </c>
      <c r="Q4" s="694">
        <f t="shared" si="0"/>
        <v>33210.8</v>
      </c>
      <c r="R4" s="695">
        <f t="shared" si="1"/>
        <v>0.857338820301783</v>
      </c>
      <c r="S4" s="696">
        <f t="shared" si="2"/>
        <v>28472.9080932785</v>
      </c>
    </row>
    <row r="5" ht="15" customHeight="1" spans="1:19">
      <c r="A5" s="525" t="s">
        <v>121</v>
      </c>
      <c r="B5" s="525">
        <v>200</v>
      </c>
      <c r="C5" s="525" t="s">
        <v>119</v>
      </c>
      <c r="D5" s="526">
        <v>32000</v>
      </c>
      <c r="P5" s="673">
        <v>3</v>
      </c>
      <c r="Q5" s="694">
        <f t="shared" si="0"/>
        <v>33210.8</v>
      </c>
      <c r="R5" s="695">
        <f t="shared" si="1"/>
        <v>0.79383224102017</v>
      </c>
      <c r="S5" s="696">
        <f t="shared" si="2"/>
        <v>26363.8037900726</v>
      </c>
    </row>
    <row r="6" ht="19.5" customHeight="1" spans="1:19">
      <c r="A6" s="527"/>
      <c r="B6" s="527"/>
      <c r="C6" s="527"/>
      <c r="D6" s="528"/>
      <c r="P6" s="673">
        <v>4</v>
      </c>
      <c r="Q6" s="694">
        <f t="shared" si="0"/>
        <v>33210.8</v>
      </c>
      <c r="R6" s="695">
        <f t="shared" si="1"/>
        <v>0.735029852796453</v>
      </c>
      <c r="S6" s="696">
        <f t="shared" si="2"/>
        <v>24410.9294352525</v>
      </c>
    </row>
    <row r="7" ht="20.25" customHeight="1" spans="1:19">
      <c r="A7" s="529"/>
      <c r="B7" s="529"/>
      <c r="C7" s="529"/>
      <c r="D7" s="528"/>
      <c r="O7" s="1" t="s">
        <v>122</v>
      </c>
      <c r="P7" s="673">
        <v>5</v>
      </c>
      <c r="Q7" s="694">
        <f t="shared" si="0"/>
        <v>33210.8</v>
      </c>
      <c r="R7" s="695">
        <f t="shared" si="1"/>
        <v>0.680583197033753</v>
      </c>
      <c r="S7" s="696">
        <f t="shared" si="2"/>
        <v>22602.7124400486</v>
      </c>
    </row>
    <row r="8" ht="22.5" customHeight="1" spans="1:19">
      <c r="A8" s="530"/>
      <c r="B8" s="531"/>
      <c r="C8" s="531"/>
      <c r="D8" s="528"/>
      <c r="F8" s="532" t="s">
        <v>123</v>
      </c>
      <c r="G8" s="533"/>
      <c r="H8" s="534"/>
      <c r="I8" s="560"/>
      <c r="P8" s="673">
        <v>6</v>
      </c>
      <c r="Q8" s="694">
        <f t="shared" si="0"/>
        <v>33210.8</v>
      </c>
      <c r="R8" s="695">
        <f t="shared" si="1"/>
        <v>0.630169626883105</v>
      </c>
      <c r="S8" s="696">
        <f t="shared" si="2"/>
        <v>20928.4374444894</v>
      </c>
    </row>
    <row r="9" ht="27" customHeight="1" spans="1:19">
      <c r="A9" s="530"/>
      <c r="B9" s="529"/>
      <c r="C9" s="529"/>
      <c r="D9" s="528"/>
      <c r="F9" s="535" t="s">
        <v>124</v>
      </c>
      <c r="G9" s="536" t="s">
        <v>125</v>
      </c>
      <c r="H9" s="537"/>
      <c r="I9" s="560"/>
      <c r="P9" s="673">
        <v>7</v>
      </c>
      <c r="Q9" s="694">
        <f t="shared" si="0"/>
        <v>33210.8</v>
      </c>
      <c r="R9" s="695">
        <f t="shared" si="1"/>
        <v>0.583490395262134</v>
      </c>
      <c r="S9" s="696">
        <f t="shared" si="2"/>
        <v>19378.1828189717</v>
      </c>
    </row>
    <row r="10" ht="30.75" customHeight="1" spans="1:19">
      <c r="A10" s="530"/>
      <c r="B10" s="538" t="s">
        <v>126</v>
      </c>
      <c r="C10" s="539"/>
      <c r="D10" s="540"/>
      <c r="F10" s="541" t="s">
        <v>127</v>
      </c>
      <c r="G10" s="542" t="s">
        <v>128</v>
      </c>
      <c r="H10" s="543"/>
      <c r="I10" s="560"/>
      <c r="P10" s="673">
        <v>8</v>
      </c>
      <c r="Q10" s="694">
        <f t="shared" si="0"/>
        <v>33210.8</v>
      </c>
      <c r="R10" s="695">
        <f t="shared" si="1"/>
        <v>0.540268884501976</v>
      </c>
      <c r="S10" s="696">
        <f t="shared" si="2"/>
        <v>17942.7618694182</v>
      </c>
    </row>
    <row r="11" ht="30.75" customHeight="1" spans="2:19">
      <c r="B11" s="544" t="s">
        <v>129</v>
      </c>
      <c r="C11" s="545" t="s">
        <v>130</v>
      </c>
      <c r="D11" s="546"/>
      <c r="F11" s="547" t="s">
        <v>131</v>
      </c>
      <c r="G11" s="542" t="s">
        <v>132</v>
      </c>
      <c r="H11" s="543"/>
      <c r="I11" s="560"/>
      <c r="P11" s="673">
        <v>9</v>
      </c>
      <c r="Q11" s="694">
        <f t="shared" si="0"/>
        <v>33210.8</v>
      </c>
      <c r="R11" s="695">
        <f t="shared" si="1"/>
        <v>0.500248967131459</v>
      </c>
      <c r="S11" s="696">
        <f t="shared" si="2"/>
        <v>16613.6683976095</v>
      </c>
    </row>
    <row r="12" s="514" customFormat="1" ht="24.75" customHeight="1" spans="2:19">
      <c r="B12" s="548" t="s">
        <v>133</v>
      </c>
      <c r="C12" s="549" t="s">
        <v>134</v>
      </c>
      <c r="D12" s="550"/>
      <c r="F12" s="551" t="s">
        <v>135</v>
      </c>
      <c r="G12" s="552" t="s">
        <v>136</v>
      </c>
      <c r="H12" s="553"/>
      <c r="I12" s="674"/>
      <c r="P12" s="675">
        <v>10</v>
      </c>
      <c r="Q12" s="697">
        <f t="shared" si="0"/>
        <v>33210.8</v>
      </c>
      <c r="R12" s="698">
        <f t="shared" si="1"/>
        <v>0.463193488084684</v>
      </c>
      <c r="S12" s="699">
        <f t="shared" si="2"/>
        <v>15383.0262940828</v>
      </c>
    </row>
    <row r="13" s="514" customFormat="1" ht="29.25" customHeight="1" spans="2:8">
      <c r="B13" s="554"/>
      <c r="C13" s="555"/>
      <c r="D13" s="556"/>
      <c r="F13" s="557" t="s">
        <v>137</v>
      </c>
      <c r="G13" s="558" t="s">
        <v>138</v>
      </c>
      <c r="H13" s="559"/>
    </row>
    <row r="14" s="515" customFormat="1" spans="1:8">
      <c r="A14" s="560"/>
      <c r="B14" s="560"/>
      <c r="C14" s="560"/>
      <c r="D14" s="560"/>
      <c r="E14" s="560"/>
      <c r="F14" s="561" t="s">
        <v>139</v>
      </c>
      <c r="G14" s="558" t="s">
        <v>140</v>
      </c>
      <c r="H14" s="562"/>
    </row>
    <row r="16" spans="6:8">
      <c r="F16" s="563"/>
      <c r="G16" s="563"/>
      <c r="H16" s="563"/>
    </row>
    <row r="18" ht="18.15" spans="17:18">
      <c r="Q18" s="532" t="s">
        <v>141</v>
      </c>
      <c r="R18" s="572"/>
    </row>
    <row r="19" ht="33.75" customHeight="1" spans="17:18">
      <c r="Q19" s="700" t="s">
        <v>142</v>
      </c>
      <c r="R19" s="701">
        <f>L26/5</f>
        <v>39917.8</v>
      </c>
    </row>
    <row r="20" ht="23.25" customHeight="1" spans="17:18">
      <c r="Q20" s="702" t="s">
        <v>143</v>
      </c>
      <c r="R20" s="703">
        <f>R19-L23</f>
        <v>33210.8</v>
      </c>
    </row>
    <row r="21" ht="28.5" customHeight="1" spans="1:18">
      <c r="A21" s="564" t="s">
        <v>144</v>
      </c>
      <c r="B21" s="565"/>
      <c r="D21" s="566" t="s">
        <v>145</v>
      </c>
      <c r="E21" s="567"/>
      <c r="K21" s="653" t="s">
        <v>146</v>
      </c>
      <c r="L21" s="676"/>
      <c r="Q21" s="704" t="s">
        <v>147</v>
      </c>
      <c r="R21" s="705">
        <v>0.08</v>
      </c>
    </row>
    <row r="22" ht="33.75" customHeight="1" spans="1:12">
      <c r="A22" s="568" t="s">
        <v>148</v>
      </c>
      <c r="B22" s="569" t="s">
        <v>149</v>
      </c>
      <c r="D22" s="570" t="s">
        <v>148</v>
      </c>
      <c r="E22" s="571" t="s">
        <v>150</v>
      </c>
      <c r="G22" s="532" t="s">
        <v>151</v>
      </c>
      <c r="H22" s="572"/>
      <c r="K22" s="677" t="s">
        <v>152</v>
      </c>
      <c r="L22" s="678">
        <v>22865</v>
      </c>
    </row>
    <row r="23" ht="27.75" customHeight="1" spans="1:12">
      <c r="A23" s="573" t="s">
        <v>153</v>
      </c>
      <c r="B23" s="574">
        <v>6860</v>
      </c>
      <c r="D23" s="575" t="s">
        <v>154</v>
      </c>
      <c r="E23" s="576" t="s">
        <v>155</v>
      </c>
      <c r="G23" s="577" t="s">
        <v>156</v>
      </c>
      <c r="H23" s="578" t="s">
        <v>149</v>
      </c>
      <c r="K23" s="551" t="s">
        <v>157</v>
      </c>
      <c r="L23" s="678">
        <v>6707</v>
      </c>
    </row>
    <row r="24" ht="27.75" customHeight="1" spans="1:12">
      <c r="A24" s="579" t="s">
        <v>158</v>
      </c>
      <c r="B24" s="580">
        <v>4573</v>
      </c>
      <c r="D24" s="575" t="s">
        <v>159</v>
      </c>
      <c r="E24" s="581" t="s">
        <v>160</v>
      </c>
      <c r="G24" s="541" t="s">
        <v>161</v>
      </c>
      <c r="H24" s="582">
        <v>115867</v>
      </c>
      <c r="K24" s="677" t="s">
        <v>162</v>
      </c>
      <c r="L24" s="678">
        <v>33534</v>
      </c>
    </row>
    <row r="25" ht="30.75" customHeight="1" spans="1:12">
      <c r="A25" s="579" t="s">
        <v>163</v>
      </c>
      <c r="B25" s="580">
        <v>1829</v>
      </c>
      <c r="D25" s="575" t="s">
        <v>164</v>
      </c>
      <c r="E25" s="581" t="s">
        <v>165</v>
      </c>
      <c r="G25" s="541" t="s">
        <v>166</v>
      </c>
      <c r="H25" s="582">
        <v>5793</v>
      </c>
      <c r="J25" s="515"/>
      <c r="K25" s="677" t="s">
        <v>167</v>
      </c>
      <c r="L25" s="678">
        <v>56399</v>
      </c>
    </row>
    <row r="26" ht="27.75" customHeight="1" spans="1:12">
      <c r="A26" s="579" t="s">
        <v>168</v>
      </c>
      <c r="B26" s="580">
        <v>2286</v>
      </c>
      <c r="C26" s="583"/>
      <c r="D26" s="575" t="s">
        <v>169</v>
      </c>
      <c r="E26" s="581" t="s">
        <v>170</v>
      </c>
      <c r="G26" s="541" t="s">
        <v>171</v>
      </c>
      <c r="H26" s="582">
        <v>30490</v>
      </c>
      <c r="J26" s="679"/>
      <c r="K26" s="551" t="s">
        <v>172</v>
      </c>
      <c r="L26" s="678">
        <v>199589</v>
      </c>
    </row>
    <row r="27" ht="27.75" customHeight="1" spans="1:12">
      <c r="A27" s="584" t="s">
        <v>173</v>
      </c>
      <c r="B27" s="585">
        <v>3814</v>
      </c>
      <c r="C27" s="3"/>
      <c r="D27" s="575" t="s">
        <v>174</v>
      </c>
      <c r="E27" s="581" t="s">
        <v>175</v>
      </c>
      <c r="G27" s="586" t="s">
        <v>176</v>
      </c>
      <c r="H27" s="582">
        <v>19362</v>
      </c>
      <c r="J27" s="680"/>
      <c r="K27" s="551" t="s">
        <v>177</v>
      </c>
      <c r="L27" s="678">
        <v>171445.03</v>
      </c>
    </row>
    <row r="28" ht="26.25" customHeight="1" spans="1:12">
      <c r="A28" s="587" t="s">
        <v>178</v>
      </c>
      <c r="B28" s="588">
        <v>15548</v>
      </c>
      <c r="D28" s="589" t="s">
        <v>179</v>
      </c>
      <c r="E28" s="590" t="s">
        <v>180</v>
      </c>
      <c r="G28" s="591" t="s">
        <v>181</v>
      </c>
      <c r="H28" s="592">
        <v>171512</v>
      </c>
      <c r="J28" s="680"/>
      <c r="K28" s="681" t="s">
        <v>182</v>
      </c>
      <c r="L28" s="682" t="s">
        <v>183</v>
      </c>
    </row>
    <row r="29" ht="30" customHeight="1" spans="10:12">
      <c r="J29" s="680"/>
      <c r="K29" s="683" t="s">
        <v>184</v>
      </c>
      <c r="L29" s="684">
        <v>4.3</v>
      </c>
    </row>
    <row r="30" spans="10:12">
      <c r="J30" s="680"/>
      <c r="K30" s="680"/>
      <c r="L30" s="680"/>
    </row>
    <row r="31" spans="10:13">
      <c r="J31" s="680"/>
      <c r="K31" s="680"/>
      <c r="L31" s="680"/>
      <c r="M31" s="1" t="s">
        <v>185</v>
      </c>
    </row>
    <row r="32" ht="18.75" spans="10:12">
      <c r="J32" s="680"/>
      <c r="K32" s="680"/>
      <c r="L32" s="680"/>
    </row>
    <row r="33" ht="19.5" spans="1:12">
      <c r="A33" s="593" t="s">
        <v>186</v>
      </c>
      <c r="B33" s="594"/>
      <c r="C33" s="594"/>
      <c r="D33" s="595"/>
      <c r="E33" s="596"/>
      <c r="F33" s="597" t="s">
        <v>187</v>
      </c>
      <c r="G33" s="598"/>
      <c r="H33" s="599"/>
      <c r="J33" s="515"/>
      <c r="K33" s="515"/>
      <c r="L33" s="515"/>
    </row>
    <row r="34" ht="19.5" spans="1:8">
      <c r="A34" s="600" t="s">
        <v>188</v>
      </c>
      <c r="B34" s="600" t="s">
        <v>189</v>
      </c>
      <c r="C34" s="601" t="s">
        <v>190</v>
      </c>
      <c r="D34" s="602" t="s">
        <v>191</v>
      </c>
      <c r="E34" s="603"/>
      <c r="F34" s="604" t="s">
        <v>192</v>
      </c>
      <c r="G34" s="605" t="s">
        <v>193</v>
      </c>
      <c r="H34" s="606" t="s">
        <v>194</v>
      </c>
    </row>
    <row r="35" ht="19.5" spans="1:9">
      <c r="A35" s="607" t="s">
        <v>195</v>
      </c>
      <c r="B35" s="608">
        <v>15548</v>
      </c>
      <c r="C35" s="609">
        <v>5</v>
      </c>
      <c r="D35" s="610">
        <f>B35/C35</f>
        <v>3109.6</v>
      </c>
      <c r="E35" s="611"/>
      <c r="F35" s="612" t="s">
        <v>120</v>
      </c>
      <c r="G35" s="613">
        <v>67.06</v>
      </c>
      <c r="H35" s="614">
        <f>D37/G35</f>
        <v>146.385326573218</v>
      </c>
      <c r="I35" s="611"/>
    </row>
    <row r="36" s="516" customFormat="1" ht="19.5" spans="1:9">
      <c r="A36" s="615" t="s">
        <v>196</v>
      </c>
      <c r="B36" s="616">
        <v>6707</v>
      </c>
      <c r="C36" s="605">
        <v>1</v>
      </c>
      <c r="D36" s="613">
        <f>B36/C36</f>
        <v>6707</v>
      </c>
      <c r="E36" s="617"/>
      <c r="F36" s="618"/>
      <c r="G36" s="618"/>
      <c r="H36" s="617"/>
      <c r="I36" s="617"/>
    </row>
    <row r="37" ht="19.5" spans="1:6">
      <c r="A37" s="619" t="s">
        <v>197</v>
      </c>
      <c r="B37" s="620" t="s">
        <v>198</v>
      </c>
      <c r="C37" s="621" t="s">
        <v>198</v>
      </c>
      <c r="D37" s="614">
        <f>D36+D35</f>
        <v>9816.6</v>
      </c>
      <c r="F37" s="1" t="s">
        <v>185</v>
      </c>
    </row>
    <row r="38" ht="18.9" spans="6:8">
      <c r="F38" s="622" t="s">
        <v>199</v>
      </c>
      <c r="G38" s="623"/>
      <c r="H38" s="624"/>
    </row>
    <row r="39" ht="28.5" customHeight="1" spans="1:8">
      <c r="A39" s="625"/>
      <c r="B39" s="625"/>
      <c r="C39" s="625"/>
      <c r="E39" s="9" t="s">
        <v>200</v>
      </c>
      <c r="F39" s="612" t="s">
        <v>201</v>
      </c>
      <c r="G39" s="626" t="s">
        <v>202</v>
      </c>
      <c r="H39" s="627" t="s">
        <v>199</v>
      </c>
    </row>
    <row r="40" ht="28.5" customHeight="1" spans="1:8">
      <c r="A40" s="628" t="s">
        <v>203</v>
      </c>
      <c r="B40" s="629"/>
      <c r="C40" s="630"/>
      <c r="F40" s="612">
        <v>0.25</v>
      </c>
      <c r="G40" s="631">
        <f>G35/F40</f>
        <v>268.24</v>
      </c>
      <c r="H40" s="606" t="s">
        <v>204</v>
      </c>
    </row>
    <row r="41" ht="15.75" customHeight="1" spans="1:8">
      <c r="A41" s="632"/>
      <c r="B41" s="633"/>
      <c r="C41" s="634"/>
      <c r="F41" s="635">
        <v>0.3</v>
      </c>
      <c r="G41" s="613">
        <v>224</v>
      </c>
      <c r="H41" s="635" t="s">
        <v>205</v>
      </c>
    </row>
    <row r="42" s="516" customFormat="1" ht="17.4" spans="1:5">
      <c r="A42" s="636" t="s">
        <v>206</v>
      </c>
      <c r="B42" s="636" t="s">
        <v>150</v>
      </c>
      <c r="C42" s="636" t="s">
        <v>207</v>
      </c>
      <c r="D42" s="637"/>
      <c r="E42" s="637"/>
    </row>
    <row r="43" spans="1:3">
      <c r="A43" s="638" t="s">
        <v>208</v>
      </c>
      <c r="B43" s="639" t="s">
        <v>209</v>
      </c>
      <c r="C43" s="640" t="s">
        <v>210</v>
      </c>
    </row>
    <row r="44" spans="1:3">
      <c r="A44" s="641"/>
      <c r="B44" s="642" t="s">
        <v>211</v>
      </c>
      <c r="C44" s="642" t="s">
        <v>212</v>
      </c>
    </row>
    <row r="45" spans="1:3">
      <c r="A45" s="638" t="s">
        <v>213</v>
      </c>
      <c r="B45" s="642" t="s">
        <v>214</v>
      </c>
      <c r="C45" s="642" t="s">
        <v>215</v>
      </c>
    </row>
    <row r="46" ht="52.2" spans="1:3">
      <c r="A46" s="641"/>
      <c r="B46" s="642" t="s">
        <v>216</v>
      </c>
      <c r="C46" s="643" t="s">
        <v>217</v>
      </c>
    </row>
    <row r="47" ht="36" spans="1:3">
      <c r="A47" s="638" t="s">
        <v>218</v>
      </c>
      <c r="B47" s="642" t="s">
        <v>219</v>
      </c>
      <c r="C47" s="639"/>
    </row>
    <row r="48" spans="1:3">
      <c r="A48" s="641"/>
      <c r="B48" s="642" t="s">
        <v>220</v>
      </c>
      <c r="C48" s="639" t="s">
        <v>221</v>
      </c>
    </row>
    <row r="49" spans="1:3">
      <c r="A49" s="638" t="s">
        <v>222</v>
      </c>
      <c r="B49" s="642" t="s">
        <v>223</v>
      </c>
      <c r="C49" s="639" t="s">
        <v>224</v>
      </c>
    </row>
    <row r="50" spans="1:3">
      <c r="A50" s="644"/>
      <c r="B50" s="642" t="s">
        <v>225</v>
      </c>
      <c r="C50" s="639" t="s">
        <v>226</v>
      </c>
    </row>
    <row r="51" spans="1:3">
      <c r="A51" s="641"/>
      <c r="B51" s="642" t="s">
        <v>227</v>
      </c>
      <c r="C51" s="639" t="s">
        <v>228</v>
      </c>
    </row>
    <row r="52" spans="1:3">
      <c r="A52" s="638" t="s">
        <v>229</v>
      </c>
      <c r="B52" s="645" t="s">
        <v>230</v>
      </c>
      <c r="C52" s="645" t="s">
        <v>231</v>
      </c>
    </row>
    <row r="53" spans="1:7">
      <c r="A53" s="641"/>
      <c r="B53" s="646" t="s">
        <v>232</v>
      </c>
      <c r="C53" s="646" t="s">
        <v>233</v>
      </c>
      <c r="G53" s="1" t="s">
        <v>185</v>
      </c>
    </row>
    <row r="54" spans="1:3">
      <c r="A54" s="647"/>
      <c r="B54" s="647"/>
      <c r="C54" s="647"/>
    </row>
    <row r="56" ht="15" customHeight="1" spans="1:6">
      <c r="A56" s="648"/>
      <c r="B56" s="649"/>
      <c r="C56" s="649"/>
      <c r="D56" s="649"/>
      <c r="E56" s="649"/>
      <c r="F56" s="649"/>
    </row>
    <row r="57" ht="24.75" customHeight="1" spans="1:6">
      <c r="A57" s="649"/>
      <c r="B57" s="649"/>
      <c r="C57" s="649"/>
      <c r="D57" s="649"/>
      <c r="E57" s="649"/>
      <c r="F57" s="649"/>
    </row>
    <row r="58" ht="27" customHeight="1" spans="1:15">
      <c r="A58" s="650" t="s">
        <v>234</v>
      </c>
      <c r="B58" s="651"/>
      <c r="C58" s="651"/>
      <c r="D58" s="651"/>
      <c r="E58" s="652"/>
      <c r="F58" s="649"/>
      <c r="G58" s="653" t="s">
        <v>235</v>
      </c>
      <c r="H58" s="654"/>
      <c r="I58" s="654"/>
      <c r="J58" s="685"/>
      <c r="L58" s="686" t="s">
        <v>236</v>
      </c>
      <c r="M58" s="687"/>
      <c r="N58" s="687"/>
      <c r="O58" s="688"/>
    </row>
    <row r="59" ht="24.75" customHeight="1" spans="1:15">
      <c r="A59" s="655" t="s">
        <v>237</v>
      </c>
      <c r="B59" s="656"/>
      <c r="C59" s="656"/>
      <c r="D59" s="656"/>
      <c r="E59" s="657"/>
      <c r="F59" s="649"/>
      <c r="G59" s="658" t="s">
        <v>148</v>
      </c>
      <c r="H59" s="659" t="s">
        <v>238</v>
      </c>
      <c r="I59" s="659" t="s">
        <v>239</v>
      </c>
      <c r="J59" s="689" t="s">
        <v>240</v>
      </c>
      <c r="L59" s="658" t="s">
        <v>148</v>
      </c>
      <c r="M59" s="690" t="s">
        <v>238</v>
      </c>
      <c r="N59" s="659" t="s">
        <v>241</v>
      </c>
      <c r="O59" s="689" t="s">
        <v>240</v>
      </c>
    </row>
    <row r="60" ht="18.75" customHeight="1" spans="1:15">
      <c r="A60" s="660" t="s">
        <v>242</v>
      </c>
      <c r="B60" s="661"/>
      <c r="C60" s="661"/>
      <c r="D60" s="661"/>
      <c r="E60" s="662"/>
      <c r="F60" s="663"/>
      <c r="G60" s="551" t="s">
        <v>243</v>
      </c>
      <c r="H60" s="664">
        <v>10</v>
      </c>
      <c r="I60" s="664">
        <v>12</v>
      </c>
      <c r="J60" s="691">
        <f>I60*H60</f>
        <v>120</v>
      </c>
      <c r="L60" s="551" t="s">
        <v>244</v>
      </c>
      <c r="M60" s="664">
        <v>2</v>
      </c>
      <c r="N60" s="664">
        <v>180</v>
      </c>
      <c r="O60" s="691">
        <f t="shared" ref="O60:O67" si="3">N60*M60</f>
        <v>360</v>
      </c>
    </row>
    <row r="61" ht="21.75" customHeight="1" spans="1:15">
      <c r="A61" s="660" t="s">
        <v>245</v>
      </c>
      <c r="B61" s="661"/>
      <c r="C61" s="661"/>
      <c r="D61" s="661"/>
      <c r="E61" s="662"/>
      <c r="F61" s="649"/>
      <c r="G61" s="551" t="s">
        <v>246</v>
      </c>
      <c r="H61" s="664">
        <v>5</v>
      </c>
      <c r="I61" s="664">
        <v>8</v>
      </c>
      <c r="J61" s="691">
        <f>I61*H61</f>
        <v>40</v>
      </c>
      <c r="L61" s="551" t="s">
        <v>247</v>
      </c>
      <c r="M61" s="664">
        <v>1</v>
      </c>
      <c r="N61" s="664">
        <v>1200</v>
      </c>
      <c r="O61" s="691">
        <f t="shared" si="3"/>
        <v>1200</v>
      </c>
    </row>
    <row r="62" ht="18.75" customHeight="1" spans="1:15">
      <c r="A62" s="665"/>
      <c r="B62" s="3"/>
      <c r="C62" s="3"/>
      <c r="D62" s="596"/>
      <c r="E62" s="666"/>
      <c r="F62" s="649"/>
      <c r="G62" s="551" t="s">
        <v>248</v>
      </c>
      <c r="H62" s="664">
        <v>4</v>
      </c>
      <c r="I62" s="664">
        <v>25</v>
      </c>
      <c r="J62" s="691">
        <f>H62*I62</f>
        <v>100</v>
      </c>
      <c r="L62" s="551" t="s">
        <v>249</v>
      </c>
      <c r="M62" s="664">
        <v>1</v>
      </c>
      <c r="N62" s="664">
        <v>800</v>
      </c>
      <c r="O62" s="691">
        <f t="shared" si="3"/>
        <v>800</v>
      </c>
    </row>
    <row r="63" ht="21" customHeight="1" spans="1:15">
      <c r="A63" s="655" t="s">
        <v>250</v>
      </c>
      <c r="B63" s="667"/>
      <c r="C63" s="667"/>
      <c r="D63" s="667"/>
      <c r="E63" s="668"/>
      <c r="F63" s="649"/>
      <c r="G63" s="551" t="s">
        <v>251</v>
      </c>
      <c r="H63" s="664">
        <v>4</v>
      </c>
      <c r="I63" s="664">
        <v>45</v>
      </c>
      <c r="J63" s="691">
        <f>I63</f>
        <v>45</v>
      </c>
      <c r="L63" s="551" t="s">
        <v>252</v>
      </c>
      <c r="M63" s="664">
        <v>1</v>
      </c>
      <c r="N63" s="664">
        <v>120</v>
      </c>
      <c r="O63" s="691">
        <f t="shared" si="3"/>
        <v>120</v>
      </c>
    </row>
    <row r="64" customHeight="1" spans="1:15">
      <c r="A64" s="669" t="s">
        <v>253</v>
      </c>
      <c r="B64" s="670"/>
      <c r="C64" s="670"/>
      <c r="D64" s="670"/>
      <c r="E64" s="671"/>
      <c r="F64" s="649"/>
      <c r="G64" s="551" t="s">
        <v>254</v>
      </c>
      <c r="H64" s="664">
        <v>1</v>
      </c>
      <c r="I64" s="664">
        <v>120</v>
      </c>
      <c r="J64" s="691">
        <f>I64</f>
        <v>120</v>
      </c>
      <c r="L64" s="551" t="s">
        <v>255</v>
      </c>
      <c r="M64" s="664">
        <v>1</v>
      </c>
      <c r="N64" s="664">
        <v>1500</v>
      </c>
      <c r="O64" s="691">
        <f t="shared" si="3"/>
        <v>1500</v>
      </c>
    </row>
    <row r="65" customHeight="1" spans="1:15">
      <c r="A65" s="655" t="s">
        <v>256</v>
      </c>
      <c r="B65" s="667"/>
      <c r="C65" s="667"/>
      <c r="D65" s="667"/>
      <c r="E65" s="668"/>
      <c r="F65" s="649"/>
      <c r="G65" s="551" t="s">
        <v>257</v>
      </c>
      <c r="H65" s="664">
        <v>4</v>
      </c>
      <c r="I65" s="664">
        <v>75</v>
      </c>
      <c r="J65" s="691">
        <f>I65*H65</f>
        <v>300</v>
      </c>
      <c r="L65" s="551" t="s">
        <v>258</v>
      </c>
      <c r="M65" s="664">
        <v>2</v>
      </c>
      <c r="N65" s="664">
        <v>90</v>
      </c>
      <c r="O65" s="691">
        <f t="shared" si="3"/>
        <v>180</v>
      </c>
    </row>
    <row r="66" ht="27" customHeight="1" spans="1:15">
      <c r="A66" s="669" t="s">
        <v>253</v>
      </c>
      <c r="B66" s="670"/>
      <c r="C66" s="670"/>
      <c r="D66" s="670"/>
      <c r="E66" s="671"/>
      <c r="F66" s="649"/>
      <c r="G66" s="551" t="s">
        <v>259</v>
      </c>
      <c r="H66" s="664">
        <v>2</v>
      </c>
      <c r="I66" s="664">
        <v>350</v>
      </c>
      <c r="J66" s="691">
        <f>I66*H66</f>
        <v>700</v>
      </c>
      <c r="L66" s="551" t="s">
        <v>260</v>
      </c>
      <c r="M66" s="664">
        <v>1</v>
      </c>
      <c r="N66" s="664">
        <v>180</v>
      </c>
      <c r="O66" s="691">
        <f t="shared" si="3"/>
        <v>180</v>
      </c>
    </row>
    <row r="67" ht="32.25" customHeight="1" spans="1:15">
      <c r="A67" s="706" t="s">
        <v>261</v>
      </c>
      <c r="B67" s="707"/>
      <c r="C67" s="707"/>
      <c r="D67" s="707"/>
      <c r="E67" s="708"/>
      <c r="F67" s="649"/>
      <c r="G67" s="551" t="s">
        <v>262</v>
      </c>
      <c r="H67" s="664">
        <v>1</v>
      </c>
      <c r="I67" s="664">
        <v>6860</v>
      </c>
      <c r="J67" s="691">
        <f>I67</f>
        <v>6860</v>
      </c>
      <c r="L67" s="711" t="s">
        <v>263</v>
      </c>
      <c r="M67" s="712">
        <v>100</v>
      </c>
      <c r="N67" s="712">
        <v>4.5</v>
      </c>
      <c r="O67" s="722">
        <f t="shared" si="3"/>
        <v>450</v>
      </c>
    </row>
    <row r="68" ht="17.25" customHeight="1" spans="1:10">
      <c r="A68" s="655" t="s">
        <v>264</v>
      </c>
      <c r="B68" s="709"/>
      <c r="C68" s="709"/>
      <c r="D68" s="709"/>
      <c r="E68" s="710"/>
      <c r="F68" s="649"/>
      <c r="G68" s="551" t="s">
        <v>265</v>
      </c>
      <c r="H68" s="664">
        <v>1</v>
      </c>
      <c r="I68" s="664">
        <v>4573</v>
      </c>
      <c r="J68" s="691">
        <f>I68</f>
        <v>4573</v>
      </c>
    </row>
    <row r="69" ht="23.25" customHeight="1" spans="1:10">
      <c r="A69" s="669" t="s">
        <v>266</v>
      </c>
      <c r="B69" s="670"/>
      <c r="C69" s="670"/>
      <c r="D69" s="670"/>
      <c r="E69" s="671"/>
      <c r="F69" s="649"/>
      <c r="G69" s="711" t="s">
        <v>267</v>
      </c>
      <c r="H69" s="712">
        <v>1</v>
      </c>
      <c r="I69" s="712">
        <v>900</v>
      </c>
      <c r="J69" s="722">
        <f>I69</f>
        <v>900</v>
      </c>
    </row>
    <row r="70" ht="17.25" customHeight="1" spans="1:6">
      <c r="A70" s="655" t="s">
        <v>268</v>
      </c>
      <c r="B70" s="709"/>
      <c r="C70" s="709"/>
      <c r="D70" s="709"/>
      <c r="E70" s="710"/>
      <c r="F70" s="649"/>
    </row>
    <row r="71" ht="16.5" customHeight="1" spans="1:6">
      <c r="A71" s="669" t="s">
        <v>269</v>
      </c>
      <c r="B71" s="670"/>
      <c r="C71" s="670"/>
      <c r="D71" s="670"/>
      <c r="E71" s="671"/>
      <c r="F71" s="649"/>
    </row>
    <row r="72" ht="15" customHeight="1" spans="1:6">
      <c r="A72" s="655" t="s">
        <v>270</v>
      </c>
      <c r="B72" s="709"/>
      <c r="C72" s="709"/>
      <c r="D72" s="709"/>
      <c r="E72" s="710"/>
      <c r="F72" s="649"/>
    </row>
    <row r="73" ht="21" customHeight="1" spans="1:6">
      <c r="A73" s="669" t="s">
        <v>271</v>
      </c>
      <c r="B73" s="670"/>
      <c r="C73" s="670"/>
      <c r="D73" s="670"/>
      <c r="E73" s="671"/>
      <c r="F73" s="649"/>
    </row>
    <row r="74" ht="15.75" customHeight="1" spans="1:6">
      <c r="A74" s="655" t="s">
        <v>272</v>
      </c>
      <c r="B74" s="713"/>
      <c r="C74" s="713"/>
      <c r="D74" s="713"/>
      <c r="E74" s="714"/>
      <c r="F74" s="649"/>
    </row>
    <row r="75" ht="21" customHeight="1" spans="1:6">
      <c r="A75" s="669" t="s">
        <v>273</v>
      </c>
      <c r="B75" s="670"/>
      <c r="C75" s="670"/>
      <c r="D75" s="670"/>
      <c r="E75" s="671"/>
      <c r="F75" s="649"/>
    </row>
    <row r="76" spans="1:6">
      <c r="A76" s="715" t="s">
        <v>274</v>
      </c>
      <c r="B76" s="716"/>
      <c r="C76" s="716"/>
      <c r="D76" s="716"/>
      <c r="E76" s="717"/>
      <c r="F76" s="649"/>
    </row>
    <row r="77" ht="20.25" customHeight="1" spans="1:6">
      <c r="A77" s="669" t="s">
        <v>275</v>
      </c>
      <c r="B77" s="670"/>
      <c r="C77" s="670"/>
      <c r="D77" s="670"/>
      <c r="E77" s="671"/>
      <c r="F77" s="649"/>
    </row>
    <row r="78" ht="16.5" customHeight="1" spans="1:6">
      <c r="A78" s="718" t="s">
        <v>276</v>
      </c>
      <c r="B78" s="713"/>
      <c r="C78" s="713"/>
      <c r="D78" s="713"/>
      <c r="E78" s="714"/>
      <c r="F78" s="649"/>
    </row>
    <row r="79" ht="18.75" spans="1:6">
      <c r="A79" s="719" t="s">
        <v>277</v>
      </c>
      <c r="B79" s="720"/>
      <c r="C79" s="720"/>
      <c r="D79" s="720"/>
      <c r="E79" s="721"/>
      <c r="F79" s="649"/>
    </row>
    <row r="80" spans="1:6">
      <c r="A80" s="649"/>
      <c r="B80" s="649"/>
      <c r="C80" s="649"/>
      <c r="D80" s="649"/>
      <c r="E80" s="649"/>
      <c r="F80" s="649"/>
    </row>
    <row r="81" spans="1:6">
      <c r="A81" s="649"/>
      <c r="B81" s="649"/>
      <c r="C81" s="649"/>
      <c r="D81" s="649"/>
      <c r="E81" s="649"/>
      <c r="F81" s="649"/>
    </row>
    <row r="82" spans="1:6">
      <c r="A82" s="649"/>
      <c r="B82" s="649"/>
      <c r="C82" s="649"/>
      <c r="D82" s="649"/>
      <c r="E82" s="649"/>
      <c r="F82" s="649"/>
    </row>
    <row r="83" spans="1:6">
      <c r="A83" s="649"/>
      <c r="B83" s="649"/>
      <c r="C83" s="649"/>
      <c r="D83" s="649"/>
      <c r="E83" s="649"/>
      <c r="F83" s="649"/>
    </row>
    <row r="84" spans="1:6">
      <c r="A84" s="649"/>
      <c r="B84" s="649"/>
      <c r="C84" s="649"/>
      <c r="D84" s="649"/>
      <c r="E84" s="649"/>
      <c r="F84" s="649"/>
    </row>
    <row r="85" spans="1:6">
      <c r="A85" s="649"/>
      <c r="B85" s="649"/>
      <c r="C85" s="649"/>
      <c r="D85" s="649"/>
      <c r="E85" s="649"/>
      <c r="F85" s="649"/>
    </row>
    <row r="86" spans="1:6">
      <c r="A86" s="649"/>
      <c r="B86" s="649"/>
      <c r="C86" s="649"/>
      <c r="D86" s="649"/>
      <c r="E86" s="649"/>
      <c r="F86" s="649"/>
    </row>
    <row r="87" spans="1:6">
      <c r="A87" s="649"/>
      <c r="B87" s="649"/>
      <c r="C87" s="649"/>
      <c r="D87" s="649"/>
      <c r="E87" s="649"/>
      <c r="F87" s="649"/>
    </row>
    <row r="88" spans="1:6">
      <c r="A88" s="649"/>
      <c r="B88" s="649"/>
      <c r="C88" s="649"/>
      <c r="D88" s="649"/>
      <c r="E88" s="649"/>
      <c r="F88" s="649"/>
    </row>
    <row r="89" spans="1:6">
      <c r="A89" s="649"/>
      <c r="B89" s="649"/>
      <c r="C89" s="649"/>
      <c r="D89" s="649"/>
      <c r="E89" s="649"/>
      <c r="F89" s="649"/>
    </row>
    <row r="90" spans="1:6">
      <c r="A90" s="649"/>
      <c r="B90" s="649"/>
      <c r="C90" s="649"/>
      <c r="D90" s="649"/>
      <c r="E90" s="649"/>
      <c r="F90" s="649"/>
    </row>
    <row r="91" spans="1:6">
      <c r="A91" s="649"/>
      <c r="B91" s="649"/>
      <c r="C91" s="649"/>
      <c r="D91" s="649"/>
      <c r="E91" s="649"/>
      <c r="F91" s="649"/>
    </row>
    <row r="92" spans="1:6">
      <c r="A92" s="649"/>
      <c r="B92" s="649"/>
      <c r="C92" s="649"/>
      <c r="D92" s="649"/>
      <c r="E92" s="649"/>
      <c r="F92" s="649"/>
    </row>
  </sheetData>
  <mergeCells count="48">
    <mergeCell ref="A1:D1"/>
    <mergeCell ref="P1:S1"/>
    <mergeCell ref="F8:H8"/>
    <mergeCell ref="G9:H9"/>
    <mergeCell ref="B10:D10"/>
    <mergeCell ref="G10:H10"/>
    <mergeCell ref="G11:H11"/>
    <mergeCell ref="G12:H12"/>
    <mergeCell ref="G13:H13"/>
    <mergeCell ref="G14:H14"/>
    <mergeCell ref="Q18:R18"/>
    <mergeCell ref="A21:B21"/>
    <mergeCell ref="D21:E21"/>
    <mergeCell ref="K21:L21"/>
    <mergeCell ref="G22:H22"/>
    <mergeCell ref="A33:D33"/>
    <mergeCell ref="F33:H33"/>
    <mergeCell ref="F38:H38"/>
    <mergeCell ref="A39:C39"/>
    <mergeCell ref="A58:E58"/>
    <mergeCell ref="G58:J58"/>
    <mergeCell ref="L58:O58"/>
    <mergeCell ref="A59:E59"/>
    <mergeCell ref="A60:E60"/>
    <mergeCell ref="A61:E61"/>
    <mergeCell ref="A63:E63"/>
    <mergeCell ref="A64:E64"/>
    <mergeCell ref="A65:E65"/>
    <mergeCell ref="A66:E66"/>
    <mergeCell ref="A67:E67"/>
    <mergeCell ref="A68:E68"/>
    <mergeCell ref="A69:E69"/>
    <mergeCell ref="A70:E70"/>
    <mergeCell ref="A71:E71"/>
    <mergeCell ref="A72:E72"/>
    <mergeCell ref="A73:E73"/>
    <mergeCell ref="A74:E74"/>
    <mergeCell ref="A75:E75"/>
    <mergeCell ref="A76:E76"/>
    <mergeCell ref="A77:E77"/>
    <mergeCell ref="A78:E78"/>
    <mergeCell ref="A79:E79"/>
    <mergeCell ref="A43:A44"/>
    <mergeCell ref="A45:A46"/>
    <mergeCell ref="A47:A48"/>
    <mergeCell ref="A49:A51"/>
    <mergeCell ref="A52:A53"/>
    <mergeCell ref="A40:C41"/>
  </mergeCells>
  <hyperlinks>
    <hyperlink ref="A61" r:id="rId6" display="https://wikifarmer.com/library/en/article/mango-yield-harvest-and-post-harvest-handling"/>
    <hyperlink ref="A66" r:id="rId7" display="https://www.jains.com/Company/news/blog/HOWMUCHWATERDOESMYCROPNEEDPart2PerennialCrops1Mango.htm"/>
    <hyperlink ref="A64" r:id="rId7" display="https://www.jains.com/Company/news/blog/HOWMUCHWATERDOESMYCROPNEEDPart2PerennialCrops1Mango.htm"/>
    <hyperlink ref="A60" r:id="rId8" display="https://yearbook.mango.co.za/wp-content/uploads/2024/10/Pg-34-39-Tree-spacing-trends-and-options-for-yield-improvement-in-mango.pdf"/>
    <hyperlink ref="A69" r:id="rId9" display="https://resources.colead.link/en/system/files/file_fields/2023/10/04/02-driedmangostudyweb.pdf"/>
    <hyperlink ref="A61:E61" r:id="rId6" display="https://wikifarmer.com/library/en/article/mango-yield-harvest-and-post-harvest-handling"/>
    <hyperlink ref="A64:E64" r:id="rId7" display="https://www.jains.com/Company/news/blog/HOWMUCHWATERDOESMYCROPNEEDPart2PerennialCrops1Mango.htm"/>
    <hyperlink ref="A66:E66" r:id="rId7" display="https://www.jains.com/Company/news/blog/HOWMUCHWATERDOESMYCROPNEEDPart2PerennialCrops1Mango.htm"/>
    <hyperlink ref="A71" r:id="rId10" display="https://www.cbi.eu/market-information/processed-fruit-vegetables-edible-nuts/dried-mango/market-potential"/>
    <hyperlink ref="A73" r:id="rId11" display="https://iufost.org/iufostftp/Guide%20to%20Drying-Part1.pdf"/>
    <hyperlink ref="A75" r:id="rId12" display="https://www.industry.mangoes.net.au/cmsb/media/6-bpr-final_choosing-tree-spacing_upload.pdf"/>
    <hyperlink ref="A77" r:id="rId13" display="https://openknowledge.fao.org/server/api/core/bitstreams/849d2872-9429-46dd-a919-a9f99c197031/content"/>
    <hyperlink ref="A79" r:id="rId14" display="https://agritrop.cirad.fr/573091/1/document_573091.pdf"/>
    <hyperlink ref="A69:E69" r:id="rId9" display="https://resources.colead.link/en/system/files/file_fields/2023/10/04/02-driedmangostudyweb.pdf"/>
  </hyperlinks>
  <pageMargins left="0.7" right="0.7" top="0.75" bottom="0.75" header="0.3" footer="0.3"/>
  <headerFooter/>
  <drawing r:id="rId2"/>
  <legacyDrawing r:id="rId3"/>
  <tableParts count="2">
    <tablePart r:id="rId4"/>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3"/>
  <sheetViews>
    <sheetView topLeftCell="A3" workbookViewId="0">
      <selection activeCell="H31" sqref="H31"/>
    </sheetView>
  </sheetViews>
  <sheetFormatPr defaultColWidth="9" defaultRowHeight="14.4"/>
  <cols>
    <col min="1" max="1" width="43.1388888888889" customWidth="1"/>
    <col min="2" max="2" width="18.287037037037" customWidth="1"/>
    <col min="3" max="3" width="17.1388888888889" customWidth="1"/>
    <col min="4" max="4" width="37.5740740740741" customWidth="1"/>
    <col min="5" max="5" width="24.5740740740741" customWidth="1"/>
    <col min="6" max="6" width="19.1388888888889" customWidth="1"/>
    <col min="7" max="7" width="48.712962962963" customWidth="1"/>
    <col min="8" max="8" width="33.4259259259259" customWidth="1"/>
    <col min="9" max="9" width="18" customWidth="1"/>
    <col min="10" max="10" width="42.1388888888889" customWidth="1"/>
    <col min="11" max="11" width="19" customWidth="1"/>
    <col min="12" max="12" width="18" customWidth="1"/>
    <col min="13" max="13" width="21.1388888888889" customWidth="1"/>
    <col min="14" max="14" width="34.4259259259259" customWidth="1"/>
    <col min="15" max="15" width="38.8518518518519" customWidth="1"/>
    <col min="16" max="16" width="38.712962962963" customWidth="1"/>
    <col min="17" max="17" width="37" customWidth="1"/>
    <col min="18" max="18" width="35.4259259259259" customWidth="1"/>
    <col min="19" max="19" width="36.5740740740741" customWidth="1"/>
    <col min="20" max="20" width="23.712962962963" customWidth="1"/>
    <col min="21" max="21" width="30.287037037037" customWidth="1"/>
    <col min="22" max="22" width="23.712962962963" customWidth="1"/>
    <col min="23" max="23" width="30.712962962963" customWidth="1"/>
    <col min="24" max="24" width="26.4259259259259" customWidth="1"/>
    <col min="25" max="25" width="34" customWidth="1"/>
    <col min="26" max="26" width="23.8518518518519" customWidth="1"/>
    <col min="27" max="27" width="28.712962962963" customWidth="1"/>
    <col min="28" max="28" width="26" customWidth="1"/>
    <col min="29" max="29" width="24.712962962963" customWidth="1"/>
    <col min="30" max="30" width="22.8518518518519" customWidth="1"/>
    <col min="31" max="31" width="21.287037037037" customWidth="1"/>
    <col min="32" max="32" width="16.8518518518519" customWidth="1"/>
    <col min="33" max="33" width="18.4259259259259" customWidth="1"/>
  </cols>
  <sheetData>
    <row r="1" spans="1:14">
      <c r="A1" s="367"/>
      <c r="B1" s="367"/>
      <c r="C1" s="367"/>
      <c r="D1" s="367"/>
      <c r="E1" s="367"/>
      <c r="F1" s="367"/>
      <c r="G1" s="367"/>
      <c r="H1" s="367"/>
      <c r="I1" s="367"/>
      <c r="J1" s="367"/>
      <c r="K1" s="367"/>
      <c r="L1" s="367"/>
      <c r="M1" s="367"/>
      <c r="N1" s="431"/>
    </row>
    <row r="2" ht="39.75" customHeight="1" spans="1:14">
      <c r="A2" s="368" t="s">
        <v>278</v>
      </c>
      <c r="B2" s="368"/>
      <c r="C2" s="368"/>
      <c r="D2" s="368"/>
      <c r="E2" s="367"/>
      <c r="F2" s="367"/>
      <c r="G2" s="367"/>
      <c r="H2" s="367"/>
      <c r="I2" s="367"/>
      <c r="J2" s="367"/>
      <c r="K2" s="367"/>
      <c r="L2" s="367"/>
      <c r="M2" s="367"/>
      <c r="N2" s="431"/>
    </row>
    <row r="3" ht="36.75" customHeight="1" spans="1:21">
      <c r="A3" s="368" t="s">
        <v>279</v>
      </c>
      <c r="B3" s="369" t="s">
        <v>280</v>
      </c>
      <c r="C3" s="368" t="s">
        <v>281</v>
      </c>
      <c r="D3" s="369" t="s">
        <v>282</v>
      </c>
      <c r="E3" s="367"/>
      <c r="F3" s="370" t="s">
        <v>283</v>
      </c>
      <c r="G3" s="371"/>
      <c r="H3" s="367"/>
      <c r="I3" s="432" t="s">
        <v>284</v>
      </c>
      <c r="J3" s="433"/>
      <c r="K3" s="433"/>
      <c r="L3" s="433"/>
      <c r="M3" s="434"/>
      <c r="P3" s="435" t="s">
        <v>285</v>
      </c>
      <c r="Q3" s="435"/>
      <c r="R3" s="435"/>
      <c r="S3" s="435"/>
      <c r="T3" s="435"/>
      <c r="U3" s="435"/>
    </row>
    <row r="4" ht="35.25" customHeight="1" spans="1:21">
      <c r="A4" s="372" t="s">
        <v>286</v>
      </c>
      <c r="B4" s="373" t="s">
        <v>287</v>
      </c>
      <c r="C4" s="372">
        <v>2</v>
      </c>
      <c r="D4" s="372" t="s">
        <v>288</v>
      </c>
      <c r="E4" s="367"/>
      <c r="F4" s="374" t="s">
        <v>289</v>
      </c>
      <c r="G4" s="375" t="s">
        <v>290</v>
      </c>
      <c r="H4" s="367"/>
      <c r="I4" s="375" t="s">
        <v>291</v>
      </c>
      <c r="J4" s="375" t="s">
        <v>292</v>
      </c>
      <c r="K4" s="375" t="s">
        <v>293</v>
      </c>
      <c r="L4" s="375" t="s">
        <v>281</v>
      </c>
      <c r="M4" s="375" t="s">
        <v>150</v>
      </c>
      <c r="P4" s="436" t="s">
        <v>294</v>
      </c>
      <c r="Q4" s="436" t="s">
        <v>295</v>
      </c>
      <c r="R4" s="436" t="s">
        <v>296</v>
      </c>
      <c r="S4" s="436" t="s">
        <v>297</v>
      </c>
      <c r="T4" s="436" t="s">
        <v>298</v>
      </c>
      <c r="U4" s="436" t="s">
        <v>299</v>
      </c>
    </row>
    <row r="5" ht="36.75" spans="1:21">
      <c r="A5" s="372" t="s">
        <v>111</v>
      </c>
      <c r="B5" s="372" t="s">
        <v>300</v>
      </c>
      <c r="C5" s="372">
        <v>200</v>
      </c>
      <c r="D5" s="372" t="s">
        <v>301</v>
      </c>
      <c r="E5" s="367"/>
      <c r="F5" s="376" t="s">
        <v>302</v>
      </c>
      <c r="G5" s="377" t="s">
        <v>303</v>
      </c>
      <c r="H5" s="367"/>
      <c r="I5" s="376" t="s">
        <v>304</v>
      </c>
      <c r="J5" s="376" t="s">
        <v>305</v>
      </c>
      <c r="K5" s="376" t="s">
        <v>306</v>
      </c>
      <c r="L5" s="376">
        <v>2</v>
      </c>
      <c r="M5" s="377" t="s">
        <v>307</v>
      </c>
      <c r="P5" s="437" t="s">
        <v>308</v>
      </c>
      <c r="Q5" s="474">
        <v>20</v>
      </c>
      <c r="R5" s="474">
        <v>2.2</v>
      </c>
      <c r="S5" s="474">
        <f>R5*U5</f>
        <v>539</v>
      </c>
      <c r="T5" s="437">
        <f>S5*150</f>
        <v>80850</v>
      </c>
      <c r="U5" s="474">
        <v>245</v>
      </c>
    </row>
    <row r="6" ht="36.75" spans="1:21">
      <c r="A6" s="372" t="s">
        <v>309</v>
      </c>
      <c r="B6" s="373" t="s">
        <v>310</v>
      </c>
      <c r="C6" s="372">
        <v>100</v>
      </c>
      <c r="D6" s="372" t="s">
        <v>311</v>
      </c>
      <c r="E6" s="367"/>
      <c r="F6" s="376" t="s">
        <v>312</v>
      </c>
      <c r="G6" s="377" t="s">
        <v>313</v>
      </c>
      <c r="H6" s="367"/>
      <c r="I6" s="378" t="s">
        <v>211</v>
      </c>
      <c r="J6" s="376" t="s">
        <v>314</v>
      </c>
      <c r="K6" s="376" t="s">
        <v>315</v>
      </c>
      <c r="L6" s="376">
        <v>8</v>
      </c>
      <c r="M6" s="377" t="s">
        <v>316</v>
      </c>
      <c r="P6" s="437" t="s">
        <v>317</v>
      </c>
      <c r="Q6" s="474">
        <v>14</v>
      </c>
      <c r="R6" s="474">
        <v>1.54</v>
      </c>
      <c r="S6" s="474">
        <f t="shared" ref="S6:S9" si="0">R6*U6</f>
        <v>331.1</v>
      </c>
      <c r="T6" s="437">
        <f>S6*150</f>
        <v>49665</v>
      </c>
      <c r="U6" s="474">
        <v>215</v>
      </c>
    </row>
    <row r="7" ht="54.75" spans="1:21">
      <c r="A7" s="372" t="s">
        <v>318</v>
      </c>
      <c r="B7" s="372" t="s">
        <v>319</v>
      </c>
      <c r="C7" s="372">
        <v>20</v>
      </c>
      <c r="D7" s="372" t="s">
        <v>320</v>
      </c>
      <c r="E7" s="367"/>
      <c r="F7" s="377" t="s">
        <v>321</v>
      </c>
      <c r="G7" s="377" t="s">
        <v>322</v>
      </c>
      <c r="H7" s="367"/>
      <c r="I7" s="376" t="s">
        <v>111</v>
      </c>
      <c r="J7" s="438" t="s">
        <v>323</v>
      </c>
      <c r="K7" s="376" t="s">
        <v>324</v>
      </c>
      <c r="L7" s="376">
        <v>200</v>
      </c>
      <c r="M7" s="377" t="s">
        <v>325</v>
      </c>
      <c r="P7" s="437" t="s">
        <v>7</v>
      </c>
      <c r="Q7" s="474">
        <v>12</v>
      </c>
      <c r="R7" s="474">
        <v>1.32</v>
      </c>
      <c r="S7" s="474">
        <f t="shared" si="0"/>
        <v>244.2</v>
      </c>
      <c r="T7" s="437">
        <f>S7*150</f>
        <v>36630</v>
      </c>
      <c r="U7" s="474">
        <v>185</v>
      </c>
    </row>
    <row r="8" ht="54.75" spans="1:21">
      <c r="A8" s="372" t="s">
        <v>326</v>
      </c>
      <c r="B8" s="372" t="s">
        <v>327</v>
      </c>
      <c r="C8" s="372">
        <v>5</v>
      </c>
      <c r="D8" s="373" t="s">
        <v>328</v>
      </c>
      <c r="E8" s="367"/>
      <c r="F8" s="376" t="s">
        <v>329</v>
      </c>
      <c r="G8" s="377" t="s">
        <v>330</v>
      </c>
      <c r="H8" s="367"/>
      <c r="I8" s="439" t="s">
        <v>309</v>
      </c>
      <c r="J8" s="376" t="s">
        <v>331</v>
      </c>
      <c r="K8" s="376" t="s">
        <v>332</v>
      </c>
      <c r="L8" s="376">
        <v>100</v>
      </c>
      <c r="M8" s="377" t="s">
        <v>333</v>
      </c>
      <c r="P8" s="437" t="s">
        <v>334</v>
      </c>
      <c r="Q8" s="474">
        <v>26</v>
      </c>
      <c r="R8" s="474">
        <v>2.86</v>
      </c>
      <c r="S8" s="474">
        <f t="shared" si="0"/>
        <v>786.5</v>
      </c>
      <c r="T8" s="437">
        <f>S8*150</f>
        <v>117975</v>
      </c>
      <c r="U8" s="474">
        <v>275</v>
      </c>
    </row>
    <row r="9" ht="36.75" spans="1:21">
      <c r="A9" s="372" t="s">
        <v>335</v>
      </c>
      <c r="B9" s="372" t="s">
        <v>329</v>
      </c>
      <c r="C9" s="372">
        <v>4</v>
      </c>
      <c r="D9" s="372" t="s">
        <v>336</v>
      </c>
      <c r="E9" s="367"/>
      <c r="F9" s="376" t="s">
        <v>337</v>
      </c>
      <c r="G9" s="377" t="s">
        <v>338</v>
      </c>
      <c r="H9" s="367"/>
      <c r="I9" s="377" t="s">
        <v>339</v>
      </c>
      <c r="J9" s="376" t="s">
        <v>91</v>
      </c>
      <c r="K9" s="376" t="s">
        <v>91</v>
      </c>
      <c r="L9" s="376">
        <v>1000</v>
      </c>
      <c r="M9" s="377" t="s">
        <v>340</v>
      </c>
      <c r="P9" s="437" t="s">
        <v>341</v>
      </c>
      <c r="Q9" s="474">
        <v>30</v>
      </c>
      <c r="R9" s="474">
        <v>3.3</v>
      </c>
      <c r="S9" s="474">
        <f t="shared" si="0"/>
        <v>907.5</v>
      </c>
      <c r="T9" s="437">
        <f>S9*150</f>
        <v>136125</v>
      </c>
      <c r="U9" s="474">
        <v>275</v>
      </c>
    </row>
    <row r="10" ht="36.75" spans="1:21">
      <c r="A10" s="372" t="s">
        <v>342</v>
      </c>
      <c r="B10" s="372" t="s">
        <v>343</v>
      </c>
      <c r="C10" s="372" t="s">
        <v>344</v>
      </c>
      <c r="D10" s="372" t="s">
        <v>345</v>
      </c>
      <c r="E10" s="367"/>
      <c r="F10" s="376" t="s">
        <v>346</v>
      </c>
      <c r="G10" s="377" t="s">
        <v>347</v>
      </c>
      <c r="H10" s="367"/>
      <c r="I10" s="377" t="s">
        <v>326</v>
      </c>
      <c r="J10" s="376" t="s">
        <v>348</v>
      </c>
      <c r="K10" s="376" t="s">
        <v>349</v>
      </c>
      <c r="L10" s="376">
        <v>5</v>
      </c>
      <c r="M10" s="377" t="s">
        <v>328</v>
      </c>
      <c r="P10" s="440"/>
      <c r="Q10" s="440"/>
      <c r="R10" s="440"/>
      <c r="S10" s="440"/>
      <c r="T10" s="440"/>
      <c r="U10" s="440"/>
    </row>
    <row r="11" ht="36.75" spans="1:27">
      <c r="A11" s="372" t="s">
        <v>350</v>
      </c>
      <c r="B11" s="372" t="s">
        <v>351</v>
      </c>
      <c r="C11" s="372" t="s">
        <v>352</v>
      </c>
      <c r="D11" s="373" t="s">
        <v>353</v>
      </c>
      <c r="E11" s="367"/>
      <c r="F11" s="376" t="s">
        <v>354</v>
      </c>
      <c r="G11" s="377" t="s">
        <v>355</v>
      </c>
      <c r="H11" s="367"/>
      <c r="I11" s="377" t="s">
        <v>356</v>
      </c>
      <c r="J11" s="376" t="s">
        <v>357</v>
      </c>
      <c r="K11" s="376" t="s">
        <v>358</v>
      </c>
      <c r="L11" s="376">
        <v>85</v>
      </c>
      <c r="M11" s="377" t="s">
        <v>359</v>
      </c>
      <c r="P11" s="441" t="s">
        <v>360</v>
      </c>
      <c r="Q11" s="441"/>
      <c r="R11" s="441"/>
      <c r="S11" s="441"/>
      <c r="T11" s="440"/>
      <c r="U11" s="440"/>
      <c r="Y11" s="487" t="s">
        <v>361</v>
      </c>
      <c r="Z11" s="488" t="s">
        <v>362</v>
      </c>
      <c r="AA11" s="487" t="s">
        <v>363</v>
      </c>
    </row>
    <row r="12" ht="36.75" spans="1:27">
      <c r="A12" s="372" t="s">
        <v>364</v>
      </c>
      <c r="B12" s="372" t="s">
        <v>365</v>
      </c>
      <c r="C12" s="372" t="s">
        <v>366</v>
      </c>
      <c r="D12" s="372" t="s">
        <v>367</v>
      </c>
      <c r="E12" s="367"/>
      <c r="F12" s="376" t="s">
        <v>368</v>
      </c>
      <c r="G12" s="377" t="s">
        <v>369</v>
      </c>
      <c r="H12" s="367"/>
      <c r="I12" s="376" t="s">
        <v>370</v>
      </c>
      <c r="J12" s="376" t="s">
        <v>371</v>
      </c>
      <c r="K12" s="376" t="s">
        <v>372</v>
      </c>
      <c r="L12" s="376">
        <v>20</v>
      </c>
      <c r="M12" s="377" t="s">
        <v>373</v>
      </c>
      <c r="P12" s="436" t="s">
        <v>294</v>
      </c>
      <c r="Q12" s="436" t="s">
        <v>374</v>
      </c>
      <c r="R12" s="436" t="s">
        <v>375</v>
      </c>
      <c r="S12" s="436" t="s">
        <v>376</v>
      </c>
      <c r="T12" s="440"/>
      <c r="U12" s="440"/>
      <c r="Y12" s="489" t="s">
        <v>377</v>
      </c>
      <c r="Z12" s="488" t="s">
        <v>378</v>
      </c>
      <c r="AA12" s="490" t="s">
        <v>379</v>
      </c>
    </row>
    <row r="13" ht="54.75" spans="1:27">
      <c r="A13" s="372" t="s">
        <v>380</v>
      </c>
      <c r="B13" s="372" t="s">
        <v>381</v>
      </c>
      <c r="C13" s="372">
        <v>4</v>
      </c>
      <c r="D13" s="372" t="s">
        <v>382</v>
      </c>
      <c r="E13" s="367"/>
      <c r="F13" s="378" t="s">
        <v>383</v>
      </c>
      <c r="G13" s="379" t="s">
        <v>384</v>
      </c>
      <c r="H13" s="367"/>
      <c r="I13" s="376" t="s">
        <v>385</v>
      </c>
      <c r="J13" s="376" t="s">
        <v>91</v>
      </c>
      <c r="K13" s="376" t="s">
        <v>386</v>
      </c>
      <c r="L13" s="376">
        <v>30</v>
      </c>
      <c r="M13" s="377" t="s">
        <v>387</v>
      </c>
      <c r="P13" s="437" t="s">
        <v>308</v>
      </c>
      <c r="Q13" s="474">
        <f>T5</f>
        <v>80850</v>
      </c>
      <c r="R13" s="474">
        <v>32750</v>
      </c>
      <c r="S13" s="437">
        <f>Q13-R13</f>
        <v>48100</v>
      </c>
      <c r="T13" s="440"/>
      <c r="U13" s="440"/>
      <c r="Y13" s="489" t="s">
        <v>388</v>
      </c>
      <c r="Z13" s="488" t="s">
        <v>389</v>
      </c>
      <c r="AA13" s="490" t="s">
        <v>390</v>
      </c>
    </row>
    <row r="14" ht="114" customHeight="1" spans="1:27">
      <c r="A14" s="372" t="s">
        <v>385</v>
      </c>
      <c r="B14" s="372" t="s">
        <v>391</v>
      </c>
      <c r="C14" s="372">
        <v>30</v>
      </c>
      <c r="D14" s="372" t="s">
        <v>392</v>
      </c>
      <c r="E14" s="367"/>
      <c r="F14" s="380" t="s">
        <v>393</v>
      </c>
      <c r="G14" s="377" t="s">
        <v>394</v>
      </c>
      <c r="H14" s="367"/>
      <c r="I14" s="376" t="s">
        <v>395</v>
      </c>
      <c r="J14" s="376" t="s">
        <v>396</v>
      </c>
      <c r="K14" s="376" t="s">
        <v>397</v>
      </c>
      <c r="L14" s="376">
        <v>1000</v>
      </c>
      <c r="M14" s="377" t="s">
        <v>398</v>
      </c>
      <c r="P14" s="437" t="s">
        <v>317</v>
      </c>
      <c r="Q14" s="474">
        <f>T6</f>
        <v>49665</v>
      </c>
      <c r="R14" s="474">
        <v>32750</v>
      </c>
      <c r="S14" s="437">
        <f>Q14-R14</f>
        <v>16915</v>
      </c>
      <c r="T14" s="440"/>
      <c r="U14" s="440"/>
      <c r="Y14" s="489" t="s">
        <v>399</v>
      </c>
      <c r="Z14" s="488" t="s">
        <v>400</v>
      </c>
      <c r="AA14" s="490" t="s">
        <v>401</v>
      </c>
    </row>
    <row r="15" ht="48.75" customHeight="1" spans="1:27">
      <c r="A15" s="372" t="s">
        <v>402</v>
      </c>
      <c r="B15" s="372" t="s">
        <v>403</v>
      </c>
      <c r="C15" s="372">
        <f>E33</f>
        <v>5420</v>
      </c>
      <c r="D15" s="373" t="s">
        <v>404</v>
      </c>
      <c r="E15" s="367"/>
      <c r="F15" s="367"/>
      <c r="G15" s="367"/>
      <c r="H15" s="367"/>
      <c r="I15" s="376" t="s">
        <v>405</v>
      </c>
      <c r="J15" s="376" t="s">
        <v>406</v>
      </c>
      <c r="K15" s="376" t="s">
        <v>407</v>
      </c>
      <c r="L15" s="376">
        <v>9.81</v>
      </c>
      <c r="M15" s="377" t="s">
        <v>408</v>
      </c>
      <c r="P15" s="437" t="s">
        <v>7</v>
      </c>
      <c r="Q15" s="474">
        <f>T7</f>
        <v>36630</v>
      </c>
      <c r="R15" s="474">
        <v>32750</v>
      </c>
      <c r="S15" s="437">
        <f>Q15-R15</f>
        <v>3880</v>
      </c>
      <c r="T15" s="440"/>
      <c r="U15" s="440"/>
      <c r="Y15" s="489" t="s">
        <v>409</v>
      </c>
      <c r="Z15" s="488" t="s">
        <v>410</v>
      </c>
      <c r="AA15" s="490" t="s">
        <v>411</v>
      </c>
    </row>
    <row r="16" ht="36.75" spans="1:27">
      <c r="A16" s="372" t="s">
        <v>232</v>
      </c>
      <c r="B16" s="372" t="s">
        <v>412</v>
      </c>
      <c r="C16" s="381">
        <f>H30</f>
        <v>7.22666666666667</v>
      </c>
      <c r="D16" s="372"/>
      <c r="E16" s="367"/>
      <c r="F16" s="367"/>
      <c r="G16" s="367"/>
      <c r="H16" s="367"/>
      <c r="I16" s="376" t="s">
        <v>335</v>
      </c>
      <c r="J16" s="376" t="s">
        <v>413</v>
      </c>
      <c r="K16" s="376" t="s">
        <v>414</v>
      </c>
      <c r="L16" s="376" t="s">
        <v>91</v>
      </c>
      <c r="M16" s="377" t="s">
        <v>415</v>
      </c>
      <c r="P16" s="437" t="s">
        <v>334</v>
      </c>
      <c r="Q16" s="474">
        <f>T8</f>
        <v>117975</v>
      </c>
      <c r="R16" s="474">
        <v>32750</v>
      </c>
      <c r="S16" s="437">
        <f>Q16-R16</f>
        <v>85225</v>
      </c>
      <c r="T16" s="440"/>
      <c r="U16" s="440"/>
      <c r="Y16" s="489" t="s">
        <v>416</v>
      </c>
      <c r="Z16" s="488" t="s">
        <v>417</v>
      </c>
      <c r="AA16" s="490" t="s">
        <v>418</v>
      </c>
    </row>
    <row r="17" ht="18.75" spans="1:27">
      <c r="A17" s="372" t="s">
        <v>419</v>
      </c>
      <c r="B17" s="372" t="s">
        <v>403</v>
      </c>
      <c r="C17" s="372">
        <v>800</v>
      </c>
      <c r="D17" s="373" t="s">
        <v>420</v>
      </c>
      <c r="E17" s="367"/>
      <c r="F17" s="367"/>
      <c r="G17" s="367"/>
      <c r="H17" s="367"/>
      <c r="I17" s="367"/>
      <c r="J17" s="367"/>
      <c r="K17" s="367"/>
      <c r="L17" s="367"/>
      <c r="M17" s="367"/>
      <c r="N17" s="431"/>
      <c r="P17" s="437" t="s">
        <v>341</v>
      </c>
      <c r="Q17" s="474">
        <f>T9</f>
        <v>136125</v>
      </c>
      <c r="R17" s="474">
        <v>32750</v>
      </c>
      <c r="S17" s="437">
        <f>Q17-R17</f>
        <v>103375</v>
      </c>
      <c r="T17" s="440"/>
      <c r="U17" s="440"/>
      <c r="Y17" s="489" t="s">
        <v>421</v>
      </c>
      <c r="Z17" s="488" t="s">
        <v>422</v>
      </c>
      <c r="AA17" s="490" t="s">
        <v>423</v>
      </c>
    </row>
    <row r="18" ht="30.75" customHeight="1" spans="1:14">
      <c r="A18" s="372" t="s">
        <v>424</v>
      </c>
      <c r="B18" s="372" t="s">
        <v>412</v>
      </c>
      <c r="C18" s="372">
        <v>25</v>
      </c>
      <c r="D18" s="373" t="s">
        <v>425</v>
      </c>
      <c r="E18" s="367"/>
      <c r="F18" s="367"/>
      <c r="G18" s="367"/>
      <c r="H18" s="367"/>
      <c r="I18" s="367"/>
      <c r="J18" s="367"/>
      <c r="K18" s="367"/>
      <c r="L18" s="367"/>
      <c r="M18" s="367"/>
      <c r="N18" s="431"/>
    </row>
    <row r="19" ht="15.15"/>
    <row r="20" ht="45" customHeight="1" spans="1:14">
      <c r="A20" s="382" t="s">
        <v>426</v>
      </c>
      <c r="B20" s="383"/>
      <c r="C20" s="383"/>
      <c r="D20" s="383"/>
      <c r="E20" s="383"/>
      <c r="F20" s="383"/>
      <c r="G20" s="383"/>
      <c r="H20" s="383"/>
      <c r="I20" s="383"/>
      <c r="J20" s="383"/>
      <c r="K20" s="383"/>
      <c r="L20" s="383"/>
      <c r="M20" s="383"/>
      <c r="N20" s="442"/>
    </row>
    <row r="21" ht="42" customHeight="1" spans="1:14">
      <c r="A21" s="384" t="s">
        <v>427</v>
      </c>
      <c r="B21" s="385" t="s">
        <v>304</v>
      </c>
      <c r="C21" s="385" t="s">
        <v>312</v>
      </c>
      <c r="D21" s="386" t="s">
        <v>428</v>
      </c>
      <c r="E21" s="385" t="s">
        <v>429</v>
      </c>
      <c r="F21" s="385" t="s">
        <v>430</v>
      </c>
      <c r="G21" s="385" t="s">
        <v>431</v>
      </c>
      <c r="H21" s="385" t="s">
        <v>432</v>
      </c>
      <c r="I21" s="386" t="s">
        <v>433</v>
      </c>
      <c r="J21" s="386" t="s">
        <v>434</v>
      </c>
      <c r="K21" s="443" t="s">
        <v>435</v>
      </c>
      <c r="L21" s="444" t="s">
        <v>436</v>
      </c>
      <c r="M21" s="445" t="s">
        <v>437</v>
      </c>
      <c r="N21" s="445" t="s">
        <v>232</v>
      </c>
    </row>
    <row r="22" ht="37.5" customHeight="1" spans="1:14">
      <c r="A22" s="387" t="s">
        <v>438</v>
      </c>
      <c r="B22" s="388">
        <v>2</v>
      </c>
      <c r="C22" s="388">
        <f>B22*100</f>
        <v>200</v>
      </c>
      <c r="D22" s="388">
        <f>(C22*100)/1000</f>
        <v>20</v>
      </c>
      <c r="E22" s="388">
        <f>D22*7</f>
        <v>140</v>
      </c>
      <c r="F22" s="388">
        <f>D22/5</f>
        <v>4</v>
      </c>
      <c r="G22" s="389">
        <f>(F22*L9)/60</f>
        <v>66.6666666666667</v>
      </c>
      <c r="H22" s="388">
        <f>0.0027*F22*35</f>
        <v>0.378</v>
      </c>
      <c r="I22" s="446">
        <f>H22/0.85</f>
        <v>0.444705882352941</v>
      </c>
      <c r="J22" s="447">
        <f>I22</f>
        <v>0.444705882352941</v>
      </c>
      <c r="K22" s="446">
        <f>J22/0.85</f>
        <v>0.52318339100346</v>
      </c>
      <c r="L22" s="448">
        <v>4</v>
      </c>
      <c r="M22" s="449">
        <f>E33</f>
        <v>5420</v>
      </c>
      <c r="N22" s="450">
        <f>H30</f>
        <v>7.22666666666667</v>
      </c>
    </row>
    <row r="23" ht="17.4" spans="1:14">
      <c r="A23" s="390"/>
      <c r="B23" s="391"/>
      <c r="C23" s="391"/>
      <c r="D23" s="391"/>
      <c r="E23" s="391"/>
      <c r="F23" s="391"/>
      <c r="G23" s="392"/>
      <c r="H23" s="391"/>
      <c r="I23" s="451"/>
      <c r="J23" s="452"/>
      <c r="K23" s="451"/>
      <c r="L23" s="391"/>
      <c r="M23" s="453"/>
      <c r="N23" s="454"/>
    </row>
    <row r="24" ht="15.15"/>
    <row r="25" ht="56.25" customHeight="1" spans="1:30">
      <c r="A25" s="393" t="s">
        <v>439</v>
      </c>
      <c r="B25" s="394"/>
      <c r="C25" s="394"/>
      <c r="D25" s="394"/>
      <c r="E25" s="395"/>
      <c r="F25" s="396"/>
      <c r="G25" s="397" t="s">
        <v>440</v>
      </c>
      <c r="H25" s="398"/>
      <c r="I25" s="398"/>
      <c r="J25" s="455"/>
      <c r="L25" s="456"/>
      <c r="M25" s="457" t="s">
        <v>441</v>
      </c>
      <c r="N25" s="458"/>
      <c r="O25" s="458"/>
      <c r="P25" s="458"/>
      <c r="Q25" s="458"/>
      <c r="R25" s="458"/>
      <c r="S25" s="458"/>
      <c r="T25" s="475"/>
      <c r="U25" s="467"/>
      <c r="V25" s="476" t="s">
        <v>442</v>
      </c>
      <c r="W25" s="476"/>
      <c r="X25" s="476"/>
      <c r="Y25" s="476"/>
      <c r="AA25" s="491" t="s">
        <v>443</v>
      </c>
      <c r="AB25" s="492"/>
      <c r="AC25" s="492"/>
      <c r="AD25" s="493"/>
    </row>
    <row r="26" ht="36" customHeight="1" spans="1:30">
      <c r="A26" s="399" t="s">
        <v>444</v>
      </c>
      <c r="B26" s="400" t="s">
        <v>293</v>
      </c>
      <c r="C26" s="400" t="s">
        <v>445</v>
      </c>
      <c r="D26" s="400" t="s">
        <v>446</v>
      </c>
      <c r="E26" s="400" t="s">
        <v>447</v>
      </c>
      <c r="F26" s="396"/>
      <c r="G26" s="400" t="s">
        <v>291</v>
      </c>
      <c r="H26" s="400" t="s">
        <v>281</v>
      </c>
      <c r="I26" s="400" t="s">
        <v>448</v>
      </c>
      <c r="J26" s="400" t="s">
        <v>449</v>
      </c>
      <c r="L26" s="456"/>
      <c r="M26" s="459" t="s">
        <v>450</v>
      </c>
      <c r="N26" s="460" t="s">
        <v>451</v>
      </c>
      <c r="O26" s="460" t="s">
        <v>452</v>
      </c>
      <c r="P26" s="460" t="s">
        <v>453</v>
      </c>
      <c r="Q26" s="460" t="s">
        <v>454</v>
      </c>
      <c r="R26" s="460" t="s">
        <v>455</v>
      </c>
      <c r="S26" s="459" t="s">
        <v>456</v>
      </c>
      <c r="T26" s="459" t="s">
        <v>457</v>
      </c>
      <c r="U26" s="467"/>
      <c r="V26" s="462" t="s">
        <v>450</v>
      </c>
      <c r="W26" s="462" t="s">
        <v>458</v>
      </c>
      <c r="X26" s="462" t="s">
        <v>459</v>
      </c>
      <c r="Y26" s="462" t="s">
        <v>460</v>
      </c>
      <c r="AA26" s="494"/>
      <c r="AB26" s="495"/>
      <c r="AC26" s="495"/>
      <c r="AD26" s="496"/>
    </row>
    <row r="27" ht="62.25" customHeight="1" spans="1:30">
      <c r="A27" s="401" t="s">
        <v>461</v>
      </c>
      <c r="B27" s="402" t="s">
        <v>462</v>
      </c>
      <c r="C27" s="402">
        <v>1</v>
      </c>
      <c r="D27" s="402">
        <v>1800</v>
      </c>
      <c r="E27" s="402">
        <f>D27*C27</f>
        <v>1800</v>
      </c>
      <c r="F27" s="396"/>
      <c r="G27" s="402" t="s">
        <v>463</v>
      </c>
      <c r="H27" s="402">
        <v>800</v>
      </c>
      <c r="I27" s="402" t="s">
        <v>464</v>
      </c>
      <c r="J27" s="415" t="s">
        <v>465</v>
      </c>
      <c r="L27" s="456"/>
      <c r="M27" s="461" t="s">
        <v>466</v>
      </c>
      <c r="N27" s="462" t="s">
        <v>467</v>
      </c>
      <c r="O27" s="463" t="s">
        <v>468</v>
      </c>
      <c r="P27" s="463">
        <v>1</v>
      </c>
      <c r="Q27" s="463" t="s">
        <v>469</v>
      </c>
      <c r="R27" s="463" t="s">
        <v>470</v>
      </c>
      <c r="S27" s="477" t="s">
        <v>471</v>
      </c>
      <c r="T27" s="477" t="s">
        <v>472</v>
      </c>
      <c r="U27" s="467"/>
      <c r="V27" s="463" t="s">
        <v>473</v>
      </c>
      <c r="W27" s="463">
        <v>0.5</v>
      </c>
      <c r="X27" s="809" t="s">
        <v>474</v>
      </c>
      <c r="Y27" s="463">
        <v>70</v>
      </c>
      <c r="AA27" s="497" t="s">
        <v>475</v>
      </c>
      <c r="AB27" s="498" t="s">
        <v>476</v>
      </c>
      <c r="AC27" s="499" t="s">
        <v>477</v>
      </c>
      <c r="AD27" s="500" t="s">
        <v>478</v>
      </c>
    </row>
    <row r="28" ht="49.5" customHeight="1" spans="1:30">
      <c r="A28" s="403" t="s">
        <v>479</v>
      </c>
      <c r="B28" s="402" t="s">
        <v>372</v>
      </c>
      <c r="C28" s="402">
        <v>2000</v>
      </c>
      <c r="D28" s="402">
        <v>0.25</v>
      </c>
      <c r="E28" s="402">
        <f>D28*C28</f>
        <v>500</v>
      </c>
      <c r="F28" s="396"/>
      <c r="G28" s="402" t="s">
        <v>480</v>
      </c>
      <c r="H28" s="402">
        <f>E33</f>
        <v>5420</v>
      </c>
      <c r="I28" s="402" t="s">
        <v>481</v>
      </c>
      <c r="J28" s="402" t="s">
        <v>482</v>
      </c>
      <c r="L28" s="456"/>
      <c r="M28" s="461" t="s">
        <v>483</v>
      </c>
      <c r="N28" s="462" t="s">
        <v>484</v>
      </c>
      <c r="O28" s="463" t="s">
        <v>485</v>
      </c>
      <c r="P28" s="463" t="s">
        <v>486</v>
      </c>
      <c r="Q28" s="463" t="s">
        <v>487</v>
      </c>
      <c r="R28" s="463" t="s">
        <v>488</v>
      </c>
      <c r="S28" s="477" t="s">
        <v>489</v>
      </c>
      <c r="T28" s="477" t="s">
        <v>410</v>
      </c>
      <c r="U28" s="467"/>
      <c r="V28" s="463" t="s">
        <v>490</v>
      </c>
      <c r="W28" s="463">
        <v>0.8</v>
      </c>
      <c r="X28" s="809" t="s">
        <v>491</v>
      </c>
      <c r="Y28" s="463">
        <v>112</v>
      </c>
      <c r="AA28" s="501"/>
      <c r="AB28" s="498" t="s">
        <v>492</v>
      </c>
      <c r="AC28" s="502"/>
      <c r="AD28" s="500" t="s">
        <v>493</v>
      </c>
    </row>
    <row r="29" ht="54" customHeight="1" spans="1:30">
      <c r="A29" s="402" t="s">
        <v>494</v>
      </c>
      <c r="B29" s="404" t="s">
        <v>462</v>
      </c>
      <c r="C29" s="402">
        <v>4</v>
      </c>
      <c r="D29" s="402">
        <v>105</v>
      </c>
      <c r="E29" s="402">
        <f t="shared" ref="E28:E32" si="1">D29*C29</f>
        <v>420</v>
      </c>
      <c r="F29" s="396"/>
      <c r="G29" s="402" t="s">
        <v>495</v>
      </c>
      <c r="H29" s="402">
        <v>50</v>
      </c>
      <c r="I29" s="402" t="s">
        <v>464</v>
      </c>
      <c r="J29" s="415" t="s">
        <v>496</v>
      </c>
      <c r="L29" s="456"/>
      <c r="M29" s="461" t="s">
        <v>497</v>
      </c>
      <c r="N29" s="462" t="s">
        <v>498</v>
      </c>
      <c r="O29" s="463" t="s">
        <v>499</v>
      </c>
      <c r="P29" s="463" t="s">
        <v>500</v>
      </c>
      <c r="Q29" s="463" t="s">
        <v>501</v>
      </c>
      <c r="R29" s="463" t="s">
        <v>502</v>
      </c>
      <c r="S29" s="477" t="s">
        <v>503</v>
      </c>
      <c r="T29" s="477" t="s">
        <v>504</v>
      </c>
      <c r="U29" s="467"/>
      <c r="V29" s="463" t="s">
        <v>505</v>
      </c>
      <c r="W29" s="463">
        <v>0.9</v>
      </c>
      <c r="X29" s="809" t="s">
        <v>506</v>
      </c>
      <c r="Y29" s="463">
        <v>126</v>
      </c>
      <c r="AA29" s="501"/>
      <c r="AB29" s="498" t="s">
        <v>507</v>
      </c>
      <c r="AC29" s="502"/>
      <c r="AD29" s="500" t="s">
        <v>508</v>
      </c>
    </row>
    <row r="30" ht="81.75" customHeight="1" spans="1:30">
      <c r="A30" s="405" t="s">
        <v>509</v>
      </c>
      <c r="B30" s="402" t="s">
        <v>462</v>
      </c>
      <c r="C30" s="402">
        <v>1</v>
      </c>
      <c r="D30" s="402">
        <v>650</v>
      </c>
      <c r="E30" s="402">
        <f t="shared" si="1"/>
        <v>650</v>
      </c>
      <c r="F30" s="396"/>
      <c r="G30" s="406" t="s">
        <v>232</v>
      </c>
      <c r="H30" s="407">
        <f>H28/(H27-H29)</f>
        <v>7.22666666666667</v>
      </c>
      <c r="I30" s="406" t="s">
        <v>114</v>
      </c>
      <c r="J30" s="464" t="s">
        <v>510</v>
      </c>
      <c r="L30" s="456"/>
      <c r="M30" s="461" t="s">
        <v>511</v>
      </c>
      <c r="N30" s="462" t="s">
        <v>512</v>
      </c>
      <c r="O30" s="463">
        <v>0</v>
      </c>
      <c r="P30" s="463" t="s">
        <v>513</v>
      </c>
      <c r="Q30" s="463" t="s">
        <v>514</v>
      </c>
      <c r="R30" s="463" t="s">
        <v>515</v>
      </c>
      <c r="S30" s="477" t="s">
        <v>516</v>
      </c>
      <c r="T30" s="477" t="s">
        <v>517</v>
      </c>
      <c r="U30" s="467"/>
      <c r="V30" s="463" t="s">
        <v>518</v>
      </c>
      <c r="W30" s="463">
        <v>1</v>
      </c>
      <c r="X30" s="809" t="s">
        <v>519</v>
      </c>
      <c r="Y30" s="463">
        <v>140</v>
      </c>
      <c r="AA30" s="501"/>
      <c r="AB30" s="498" t="s">
        <v>520</v>
      </c>
      <c r="AC30" s="502"/>
      <c r="AD30" s="503" t="s">
        <v>521</v>
      </c>
    </row>
    <row r="31" ht="36.75" customHeight="1" spans="1:30">
      <c r="A31" s="401" t="s">
        <v>522</v>
      </c>
      <c r="B31" s="402" t="s">
        <v>523</v>
      </c>
      <c r="C31" s="402">
        <v>1</v>
      </c>
      <c r="D31" s="402">
        <v>250</v>
      </c>
      <c r="E31" s="402">
        <f t="shared" si="1"/>
        <v>250</v>
      </c>
      <c r="F31" s="396"/>
      <c r="G31" s="402" t="s">
        <v>524</v>
      </c>
      <c r="H31" s="402">
        <f>H27-H29</f>
        <v>750</v>
      </c>
      <c r="I31" s="465" t="s">
        <v>481</v>
      </c>
      <c r="J31" s="466"/>
      <c r="L31" s="456"/>
      <c r="M31" s="467"/>
      <c r="N31" s="467"/>
      <c r="O31" s="467"/>
      <c r="P31" s="467"/>
      <c r="Q31" s="467"/>
      <c r="R31" s="467"/>
      <c r="S31" s="467"/>
      <c r="T31" s="467"/>
      <c r="U31" s="467"/>
      <c r="V31" s="467"/>
      <c r="W31" s="467"/>
      <c r="X31" s="467"/>
      <c r="Y31" s="467"/>
      <c r="AA31" s="501"/>
      <c r="AB31" s="504" t="s">
        <v>525</v>
      </c>
      <c r="AC31" s="505" t="s">
        <v>526</v>
      </c>
      <c r="AD31" s="506" t="s">
        <v>527</v>
      </c>
    </row>
    <row r="32" ht="38.25" customHeight="1" spans="1:30">
      <c r="A32" s="401" t="s">
        <v>393</v>
      </c>
      <c r="B32" s="402" t="s">
        <v>523</v>
      </c>
      <c r="C32" s="402">
        <v>1</v>
      </c>
      <c r="D32" s="402">
        <v>1800</v>
      </c>
      <c r="E32" s="402">
        <f t="shared" si="1"/>
        <v>1800</v>
      </c>
      <c r="F32" s="396"/>
      <c r="G32" s="402" t="s">
        <v>424</v>
      </c>
      <c r="H32" s="402">
        <v>25</v>
      </c>
      <c r="I32" s="402" t="s">
        <v>528</v>
      </c>
      <c r="J32" s="466"/>
      <c r="L32" s="456"/>
      <c r="M32" s="467"/>
      <c r="N32" s="467"/>
      <c r="O32" s="467"/>
      <c r="P32" s="467"/>
      <c r="Q32" s="467"/>
      <c r="R32" s="467"/>
      <c r="S32" s="467"/>
      <c r="T32" s="478"/>
      <c r="U32" s="467"/>
      <c r="V32" s="467"/>
      <c r="W32" s="467"/>
      <c r="X32" s="467"/>
      <c r="Y32" s="467"/>
      <c r="AA32" s="507" t="s">
        <v>529</v>
      </c>
      <c r="AB32" s="498" t="s">
        <v>530</v>
      </c>
      <c r="AC32" s="508"/>
      <c r="AD32" s="506" t="s">
        <v>531</v>
      </c>
    </row>
    <row r="33" ht="45.75" customHeight="1" spans="1:30">
      <c r="A33" s="408" t="s">
        <v>532</v>
      </c>
      <c r="B33" s="409" t="s">
        <v>533</v>
      </c>
      <c r="C33" s="409" t="s">
        <v>533</v>
      </c>
      <c r="D33" s="409" t="s">
        <v>533</v>
      </c>
      <c r="E33" s="410">
        <f>E27+E28+E29+E30+E31+E32</f>
        <v>5420</v>
      </c>
      <c r="F33" s="396"/>
      <c r="G33" s="402" t="s">
        <v>534</v>
      </c>
      <c r="H33" s="402">
        <v>650</v>
      </c>
      <c r="I33" s="465" t="s">
        <v>481</v>
      </c>
      <c r="J33" s="466"/>
      <c r="L33" s="456"/>
      <c r="M33" s="468" t="s">
        <v>535</v>
      </c>
      <c r="N33" s="469"/>
      <c r="O33" s="469"/>
      <c r="P33" s="469"/>
      <c r="Q33" s="479"/>
      <c r="R33" s="467"/>
      <c r="S33" s="480" t="s">
        <v>536</v>
      </c>
      <c r="T33" s="481"/>
      <c r="U33" s="481"/>
      <c r="V33" s="481"/>
      <c r="W33" s="481"/>
      <c r="X33" s="481"/>
      <c r="Y33" s="509"/>
      <c r="AA33" s="510"/>
      <c r="AB33" s="498" t="s">
        <v>537</v>
      </c>
      <c r="AC33" s="508"/>
      <c r="AD33" s="506" t="s">
        <v>538</v>
      </c>
    </row>
    <row r="34" ht="46.5" customHeight="1" spans="1:30">
      <c r="A34" s="396"/>
      <c r="B34" s="396"/>
      <c r="C34" s="396"/>
      <c r="D34" s="396"/>
      <c r="E34" s="396"/>
      <c r="F34" s="396"/>
      <c r="G34" s="402" t="s">
        <v>539</v>
      </c>
      <c r="H34" s="402">
        <v>250</v>
      </c>
      <c r="I34" s="465" t="s">
        <v>481</v>
      </c>
      <c r="J34" s="466"/>
      <c r="L34" s="456"/>
      <c r="M34" s="462" t="s">
        <v>540</v>
      </c>
      <c r="N34" s="462" t="s">
        <v>541</v>
      </c>
      <c r="O34" s="461" t="s">
        <v>542</v>
      </c>
      <c r="P34" s="462" t="s">
        <v>543</v>
      </c>
      <c r="Q34" s="462" t="s">
        <v>12</v>
      </c>
      <c r="R34" s="467"/>
      <c r="S34" s="482" t="s">
        <v>536</v>
      </c>
      <c r="T34" s="482" t="s">
        <v>544</v>
      </c>
      <c r="U34" s="482" t="s">
        <v>545</v>
      </c>
      <c r="V34" s="482" t="s">
        <v>546</v>
      </c>
      <c r="W34" s="482" t="s">
        <v>547</v>
      </c>
      <c r="X34" s="482" t="s">
        <v>548</v>
      </c>
      <c r="Y34" s="482" t="s">
        <v>549</v>
      </c>
      <c r="AA34" s="510"/>
      <c r="AB34" s="498" t="s">
        <v>550</v>
      </c>
      <c r="AC34" s="508"/>
      <c r="AD34" s="506" t="s">
        <v>551</v>
      </c>
    </row>
    <row r="35" ht="36.75" customHeight="1" spans="1:30">
      <c r="A35" s="396"/>
      <c r="B35" s="396"/>
      <c r="C35" s="396"/>
      <c r="D35" s="396"/>
      <c r="E35" s="396"/>
      <c r="F35" s="396"/>
      <c r="G35" s="402" t="s">
        <v>552</v>
      </c>
      <c r="H35" s="402">
        <v>1000</v>
      </c>
      <c r="I35" s="465" t="s">
        <v>481</v>
      </c>
      <c r="J35" s="466"/>
      <c r="L35" s="456"/>
      <c r="M35" s="463" t="s">
        <v>553</v>
      </c>
      <c r="N35" s="463" t="s">
        <v>554</v>
      </c>
      <c r="O35" s="463" t="s">
        <v>555</v>
      </c>
      <c r="P35" s="463" t="s">
        <v>556</v>
      </c>
      <c r="Q35" s="477" t="s">
        <v>557</v>
      </c>
      <c r="R35" s="467"/>
      <c r="S35" s="482" t="s">
        <v>558</v>
      </c>
      <c r="T35" s="483">
        <v>1</v>
      </c>
      <c r="U35" s="483">
        <f>100*T35</f>
        <v>100</v>
      </c>
      <c r="V35" s="483">
        <f>(C22*U35)/1000</f>
        <v>20</v>
      </c>
      <c r="W35" s="483">
        <f>V35/F22</f>
        <v>5</v>
      </c>
      <c r="X35" s="483">
        <f>W35/T35</f>
        <v>5</v>
      </c>
      <c r="Y35" s="483">
        <f>30/D22</f>
        <v>1.5</v>
      </c>
      <c r="AA35" s="511"/>
      <c r="AB35" s="498" t="s">
        <v>559</v>
      </c>
      <c r="AC35" s="512"/>
      <c r="AD35" s="513"/>
    </row>
    <row r="36" ht="36.75" customHeight="1" spans="1:25">
      <c r="A36" s="411" t="s">
        <v>560</v>
      </c>
      <c r="B36" s="412"/>
      <c r="C36" s="412"/>
      <c r="D36" s="412"/>
      <c r="E36" s="413"/>
      <c r="F36" s="396"/>
      <c r="G36" s="402" t="s">
        <v>561</v>
      </c>
      <c r="H36" s="402">
        <f>(H33*2)+(H34*2)+(H35*2)</f>
        <v>3800</v>
      </c>
      <c r="I36" s="465" t="s">
        <v>481</v>
      </c>
      <c r="J36" s="466"/>
      <c r="L36" s="456"/>
      <c r="M36" s="463" t="s">
        <v>562</v>
      </c>
      <c r="N36" s="463" t="s">
        <v>563</v>
      </c>
      <c r="O36" s="463" t="s">
        <v>564</v>
      </c>
      <c r="P36" s="463" t="s">
        <v>565</v>
      </c>
      <c r="Q36" s="477" t="s">
        <v>566</v>
      </c>
      <c r="R36" s="467"/>
      <c r="S36" s="482" t="s">
        <v>567</v>
      </c>
      <c r="T36" s="483">
        <v>2</v>
      </c>
      <c r="U36" s="483">
        <f t="shared" ref="U36:U37" si="2">100*T36</f>
        <v>200</v>
      </c>
      <c r="V36" s="484">
        <f>(C22*U36)/1000</f>
        <v>40</v>
      </c>
      <c r="W36" s="483">
        <f>V36/F22</f>
        <v>10</v>
      </c>
      <c r="X36" s="483">
        <f t="shared" ref="X36:X37" si="3">W36/T36</f>
        <v>5</v>
      </c>
      <c r="Y36" s="483">
        <f>30/D22</f>
        <v>1.5</v>
      </c>
    </row>
    <row r="37" ht="45.75" customHeight="1" spans="1:25">
      <c r="A37" s="400" t="s">
        <v>291</v>
      </c>
      <c r="B37" s="400" t="s">
        <v>281</v>
      </c>
      <c r="C37" s="400" t="s">
        <v>293</v>
      </c>
      <c r="D37" s="400" t="s">
        <v>568</v>
      </c>
      <c r="E37" s="414" t="s">
        <v>449</v>
      </c>
      <c r="F37" s="396"/>
      <c r="G37" s="415" t="s">
        <v>569</v>
      </c>
      <c r="H37" s="402">
        <f>H31*25</f>
        <v>18750</v>
      </c>
      <c r="I37" s="465" t="s">
        <v>481</v>
      </c>
      <c r="J37" s="466"/>
      <c r="L37" s="456"/>
      <c r="M37" s="463" t="s">
        <v>570</v>
      </c>
      <c r="N37" s="463" t="s">
        <v>571</v>
      </c>
      <c r="O37" s="463" t="s">
        <v>572</v>
      </c>
      <c r="P37" s="463" t="s">
        <v>573</v>
      </c>
      <c r="Q37" s="477" t="s">
        <v>574</v>
      </c>
      <c r="R37" s="467"/>
      <c r="S37" s="482" t="s">
        <v>575</v>
      </c>
      <c r="T37" s="483">
        <v>5</v>
      </c>
      <c r="U37" s="483">
        <f t="shared" si="2"/>
        <v>500</v>
      </c>
      <c r="V37" s="484">
        <f>(C22*U37)/1000</f>
        <v>100</v>
      </c>
      <c r="W37" s="483">
        <f>V37/F22</f>
        <v>25</v>
      </c>
      <c r="X37" s="483">
        <f t="shared" si="3"/>
        <v>5</v>
      </c>
      <c r="Y37" s="483">
        <f>30/D22</f>
        <v>1.5</v>
      </c>
    </row>
    <row r="38" ht="41.25" customHeight="1" spans="1:25">
      <c r="A38" s="402" t="s">
        <v>576</v>
      </c>
      <c r="B38" s="402">
        <v>2.2</v>
      </c>
      <c r="C38" s="402" t="s">
        <v>577</v>
      </c>
      <c r="D38" s="810" t="s">
        <v>578</v>
      </c>
      <c r="E38" s="415" t="s">
        <v>579</v>
      </c>
      <c r="F38" s="396"/>
      <c r="G38" s="402" t="s">
        <v>580</v>
      </c>
      <c r="H38" s="402">
        <f>H28+H36</f>
        <v>9220</v>
      </c>
      <c r="I38" s="465" t="s">
        <v>481</v>
      </c>
      <c r="J38" s="466"/>
      <c r="L38" s="456"/>
      <c r="M38" s="463" t="s">
        <v>581</v>
      </c>
      <c r="N38" s="463" t="s">
        <v>582</v>
      </c>
      <c r="O38" s="463" t="s">
        <v>583</v>
      </c>
      <c r="P38" s="463" t="s">
        <v>573</v>
      </c>
      <c r="Q38" s="477" t="s">
        <v>584</v>
      </c>
      <c r="R38" s="467"/>
      <c r="S38" s="467"/>
      <c r="T38" s="467"/>
      <c r="U38" s="467"/>
      <c r="V38" s="467"/>
      <c r="W38" s="467"/>
      <c r="X38" s="467"/>
      <c r="Y38" s="467"/>
    </row>
    <row r="39" ht="31.5" customHeight="1" spans="1:25">
      <c r="A39" s="402" t="s">
        <v>585</v>
      </c>
      <c r="B39" s="402">
        <v>803</v>
      </c>
      <c r="C39" s="402" t="s">
        <v>586</v>
      </c>
      <c r="D39" s="810" t="s">
        <v>587</v>
      </c>
      <c r="E39" s="415" t="s">
        <v>588</v>
      </c>
      <c r="F39" s="396"/>
      <c r="G39" s="396"/>
      <c r="H39" s="396"/>
      <c r="I39" s="396"/>
      <c r="J39" s="396"/>
      <c r="L39" s="456"/>
      <c r="M39" s="467"/>
      <c r="N39" s="467"/>
      <c r="O39" s="467"/>
      <c r="P39" s="467"/>
      <c r="Q39" s="467"/>
      <c r="R39" s="467"/>
      <c r="S39" s="467"/>
      <c r="T39" s="467"/>
      <c r="U39" s="467"/>
      <c r="V39" s="467"/>
      <c r="W39" s="467"/>
      <c r="X39" s="467"/>
      <c r="Y39" s="467"/>
    </row>
    <row r="40" ht="34.5" customHeight="1" spans="1:25">
      <c r="A40" s="402" t="s">
        <v>589</v>
      </c>
      <c r="B40" s="402">
        <v>469</v>
      </c>
      <c r="C40" s="402" t="s">
        <v>586</v>
      </c>
      <c r="D40" s="416" t="s">
        <v>590</v>
      </c>
      <c r="E40" s="415" t="s">
        <v>591</v>
      </c>
      <c r="F40" s="396"/>
      <c r="G40" s="396"/>
      <c r="H40" s="396"/>
      <c r="I40" s="396"/>
      <c r="J40" s="396"/>
      <c r="L40" s="456"/>
      <c r="M40" s="467"/>
      <c r="N40" s="470" t="s">
        <v>592</v>
      </c>
      <c r="O40" s="471"/>
      <c r="P40" s="471"/>
      <c r="Q40" s="471"/>
      <c r="R40" s="467"/>
      <c r="S40" s="471" t="s">
        <v>593</v>
      </c>
      <c r="T40" s="471"/>
      <c r="U40" s="471"/>
      <c r="V40" s="471"/>
      <c r="W40" s="471"/>
      <c r="X40" s="471"/>
      <c r="Y40" s="471"/>
    </row>
    <row r="41" ht="39" customHeight="1" spans="1:25">
      <c r="A41" s="402" t="s">
        <v>594</v>
      </c>
      <c r="B41" s="402">
        <v>0.8</v>
      </c>
      <c r="C41" s="402" t="s">
        <v>595</v>
      </c>
      <c r="D41" s="810" t="s">
        <v>596</v>
      </c>
      <c r="E41" s="415" t="s">
        <v>597</v>
      </c>
      <c r="F41" s="396"/>
      <c r="G41" s="411" t="s">
        <v>598</v>
      </c>
      <c r="H41" s="412"/>
      <c r="I41" s="412"/>
      <c r="J41" s="413"/>
      <c r="L41" s="456"/>
      <c r="M41" s="467"/>
      <c r="N41" s="462" t="s">
        <v>599</v>
      </c>
      <c r="O41" s="462" t="s">
        <v>600</v>
      </c>
      <c r="P41" s="462" t="s">
        <v>601</v>
      </c>
      <c r="Q41" s="462" t="s">
        <v>602</v>
      </c>
      <c r="R41" s="467"/>
      <c r="S41" s="485" t="s">
        <v>294</v>
      </c>
      <c r="T41" s="486" t="s">
        <v>80</v>
      </c>
      <c r="U41" s="486" t="s">
        <v>603</v>
      </c>
      <c r="V41" s="486" t="s">
        <v>604</v>
      </c>
      <c r="W41" s="485" t="s">
        <v>605</v>
      </c>
      <c r="X41" s="486" t="s">
        <v>606</v>
      </c>
      <c r="Y41" s="486" t="s">
        <v>607</v>
      </c>
    </row>
    <row r="42" ht="36" customHeight="1" spans="1:25">
      <c r="A42" s="402" t="s">
        <v>608</v>
      </c>
      <c r="B42" s="402">
        <v>281</v>
      </c>
      <c r="C42" s="402" t="s">
        <v>586</v>
      </c>
      <c r="D42" s="810" t="s">
        <v>609</v>
      </c>
      <c r="E42" s="415" t="s">
        <v>610</v>
      </c>
      <c r="F42" s="396"/>
      <c r="G42" s="400" t="s">
        <v>291</v>
      </c>
      <c r="H42" s="400" t="s">
        <v>281</v>
      </c>
      <c r="I42" s="472" t="s">
        <v>448</v>
      </c>
      <c r="J42" s="414" t="s">
        <v>449</v>
      </c>
      <c r="L42" s="456"/>
      <c r="M42" s="467"/>
      <c r="N42" s="462" t="s">
        <v>611</v>
      </c>
      <c r="O42" s="463" t="s">
        <v>612</v>
      </c>
      <c r="P42" s="809" t="s">
        <v>613</v>
      </c>
      <c r="Q42" s="463">
        <f>20*245</f>
        <v>4900</v>
      </c>
      <c r="R42" s="467"/>
      <c r="S42" s="461" t="s">
        <v>614</v>
      </c>
      <c r="T42" s="463" t="s">
        <v>615</v>
      </c>
      <c r="U42" s="463" t="s">
        <v>86</v>
      </c>
      <c r="V42" s="463">
        <v>1</v>
      </c>
      <c r="W42" s="477">
        <v>20</v>
      </c>
      <c r="X42" s="463">
        <f>W42*7</f>
        <v>140</v>
      </c>
      <c r="Y42" s="463" t="s">
        <v>616</v>
      </c>
    </row>
    <row r="43" ht="36" customHeight="1" spans="1:25">
      <c r="A43" s="402" t="s">
        <v>463</v>
      </c>
      <c r="B43" s="402">
        <v>800</v>
      </c>
      <c r="C43" s="402" t="s">
        <v>464</v>
      </c>
      <c r="D43" s="416" t="s">
        <v>590</v>
      </c>
      <c r="E43" s="415" t="s">
        <v>617</v>
      </c>
      <c r="F43" s="396"/>
      <c r="G43" s="402" t="s">
        <v>480</v>
      </c>
      <c r="H43" s="401">
        <v>5420</v>
      </c>
      <c r="I43" s="465" t="s">
        <v>481</v>
      </c>
      <c r="J43" s="473" t="s">
        <v>618</v>
      </c>
      <c r="L43" s="456"/>
      <c r="M43" s="467"/>
      <c r="N43" s="462" t="s">
        <v>619</v>
      </c>
      <c r="O43" s="463" t="s">
        <v>620</v>
      </c>
      <c r="P43" s="463" t="s">
        <v>621</v>
      </c>
      <c r="Q43" s="463">
        <f>3*10</f>
        <v>30</v>
      </c>
      <c r="R43" s="467"/>
      <c r="S43" s="461" t="s">
        <v>77</v>
      </c>
      <c r="T43" s="463" t="s">
        <v>622</v>
      </c>
      <c r="U43" s="463" t="s">
        <v>100</v>
      </c>
      <c r="V43" s="463">
        <v>0.7</v>
      </c>
      <c r="W43" s="477">
        <f>V43*20</f>
        <v>14</v>
      </c>
      <c r="X43" s="463">
        <f>W43*7</f>
        <v>98</v>
      </c>
      <c r="Y43" s="463" t="s">
        <v>623</v>
      </c>
    </row>
    <row r="44" ht="39" customHeight="1" spans="1:25">
      <c r="A44" s="402" t="s">
        <v>624</v>
      </c>
      <c r="B44" s="402">
        <v>50</v>
      </c>
      <c r="C44" s="402" t="s">
        <v>464</v>
      </c>
      <c r="D44" s="810" t="s">
        <v>625</v>
      </c>
      <c r="E44" s="415" t="s">
        <v>626</v>
      </c>
      <c r="F44" s="396"/>
      <c r="G44" s="402" t="s">
        <v>627</v>
      </c>
      <c r="H44" s="401">
        <v>50</v>
      </c>
      <c r="I44" s="465" t="s">
        <v>464</v>
      </c>
      <c r="J44" s="473" t="s">
        <v>628</v>
      </c>
      <c r="L44" s="456"/>
      <c r="M44" s="467"/>
      <c r="N44" s="462" t="s">
        <v>629</v>
      </c>
      <c r="O44" s="463" t="s">
        <v>630</v>
      </c>
      <c r="P44" s="809" t="s">
        <v>631</v>
      </c>
      <c r="Q44" s="463">
        <f>1.5*10</f>
        <v>15</v>
      </c>
      <c r="R44" s="467"/>
      <c r="S44" s="461" t="s">
        <v>78</v>
      </c>
      <c r="T44" s="463" t="s">
        <v>632</v>
      </c>
      <c r="U44" s="463" t="s">
        <v>100</v>
      </c>
      <c r="V44" s="463">
        <v>0.6</v>
      </c>
      <c r="W44" s="477">
        <f>V44*20</f>
        <v>12</v>
      </c>
      <c r="X44" s="463">
        <f>W44*7</f>
        <v>84</v>
      </c>
      <c r="Y44" s="463" t="s">
        <v>633</v>
      </c>
    </row>
    <row r="45" ht="37.5" customHeight="1" spans="1:25">
      <c r="A45" s="402" t="s">
        <v>634</v>
      </c>
      <c r="B45" s="402">
        <v>850</v>
      </c>
      <c r="C45" s="402" t="s">
        <v>464</v>
      </c>
      <c r="D45" s="810" t="s">
        <v>635</v>
      </c>
      <c r="E45" s="415" t="s">
        <v>636</v>
      </c>
      <c r="F45" s="396"/>
      <c r="G45" s="402" t="s">
        <v>637</v>
      </c>
      <c r="H45" s="401">
        <v>800</v>
      </c>
      <c r="I45" s="465" t="s">
        <v>464</v>
      </c>
      <c r="J45" s="473" t="s">
        <v>638</v>
      </c>
      <c r="L45" s="456"/>
      <c r="M45" s="467"/>
      <c r="N45" s="462" t="s">
        <v>639</v>
      </c>
      <c r="O45" s="463" t="s">
        <v>640</v>
      </c>
      <c r="P45" s="463" t="s">
        <v>641</v>
      </c>
      <c r="Q45" s="463">
        <f>5*10</f>
        <v>50</v>
      </c>
      <c r="R45" s="467"/>
      <c r="S45" s="461" t="s">
        <v>642</v>
      </c>
      <c r="T45" s="463" t="s">
        <v>643</v>
      </c>
      <c r="U45" s="463" t="s">
        <v>87</v>
      </c>
      <c r="V45" s="463">
        <v>1.3</v>
      </c>
      <c r="W45" s="477">
        <f>V45*20</f>
        <v>26</v>
      </c>
      <c r="X45" s="463">
        <f>W45*7</f>
        <v>182</v>
      </c>
      <c r="Y45" s="463" t="s">
        <v>417</v>
      </c>
    </row>
    <row r="46" ht="43.5" customHeight="1" spans="1:25">
      <c r="A46" s="402" t="s">
        <v>480</v>
      </c>
      <c r="B46" s="402">
        <v>5420</v>
      </c>
      <c r="C46" s="402" t="s">
        <v>481</v>
      </c>
      <c r="D46" s="416" t="s">
        <v>644</v>
      </c>
      <c r="E46" s="415" t="s">
        <v>645</v>
      </c>
      <c r="F46" s="396"/>
      <c r="G46" s="402" t="s">
        <v>646</v>
      </c>
      <c r="H46" s="811" t="s">
        <v>647</v>
      </c>
      <c r="I46" s="402"/>
      <c r="J46" s="473" t="s">
        <v>648</v>
      </c>
      <c r="L46" s="456"/>
      <c r="M46" s="467"/>
      <c r="N46" s="462" t="s">
        <v>649</v>
      </c>
      <c r="O46" s="463" t="s">
        <v>91</v>
      </c>
      <c r="P46" s="463" t="s">
        <v>650</v>
      </c>
      <c r="Q46" s="462">
        <f>Q42+Q43+Q44+Q45</f>
        <v>4995</v>
      </c>
      <c r="R46" s="467"/>
      <c r="S46" s="461" t="s">
        <v>651</v>
      </c>
      <c r="T46" s="463" t="s">
        <v>652</v>
      </c>
      <c r="U46" s="463" t="s">
        <v>653</v>
      </c>
      <c r="V46" s="463">
        <v>1.5</v>
      </c>
      <c r="W46" s="477">
        <f>V46*20</f>
        <v>30</v>
      </c>
      <c r="X46" s="463">
        <f>W46*7</f>
        <v>210</v>
      </c>
      <c r="Y46" s="463" t="s">
        <v>654</v>
      </c>
    </row>
    <row r="47" ht="35.25" customHeight="1" spans="1:25">
      <c r="A47" s="402" t="s">
        <v>655</v>
      </c>
      <c r="B47" s="402">
        <v>6.37</v>
      </c>
      <c r="C47" s="402" t="s">
        <v>528</v>
      </c>
      <c r="D47" s="810" t="s">
        <v>656</v>
      </c>
      <c r="E47" s="415" t="s">
        <v>657</v>
      </c>
      <c r="F47" s="396"/>
      <c r="G47" s="402" t="s">
        <v>232</v>
      </c>
      <c r="H47" s="401" t="s">
        <v>658</v>
      </c>
      <c r="I47" s="465" t="s">
        <v>528</v>
      </c>
      <c r="J47" s="473" t="s">
        <v>659</v>
      </c>
      <c r="L47" s="456"/>
      <c r="M47" s="456"/>
      <c r="N47" s="456"/>
      <c r="O47" s="456"/>
      <c r="P47" s="456"/>
      <c r="Q47" s="456"/>
      <c r="R47" s="456"/>
      <c r="S47" s="456"/>
      <c r="T47" s="456"/>
      <c r="U47" s="456"/>
      <c r="V47" s="456"/>
      <c r="W47" s="456"/>
      <c r="X47" s="456"/>
      <c r="Y47" s="456"/>
    </row>
    <row r="48" ht="36" customHeight="1" spans="1:10">
      <c r="A48" s="402" t="s">
        <v>424</v>
      </c>
      <c r="B48" s="402">
        <v>25</v>
      </c>
      <c r="C48" s="402" t="s">
        <v>528</v>
      </c>
      <c r="D48" s="416" t="s">
        <v>660</v>
      </c>
      <c r="E48" s="415" t="s">
        <v>661</v>
      </c>
      <c r="F48" s="396"/>
      <c r="G48" s="402" t="s">
        <v>662</v>
      </c>
      <c r="H48" s="401" t="s">
        <v>663</v>
      </c>
      <c r="I48" s="465" t="s">
        <v>528</v>
      </c>
      <c r="J48" s="473" t="s">
        <v>664</v>
      </c>
    </row>
    <row r="49" ht="37.5" customHeight="1" spans="1:10">
      <c r="A49" s="402" t="s">
        <v>665</v>
      </c>
      <c r="B49" s="417">
        <v>14240</v>
      </c>
      <c r="C49" s="402" t="s">
        <v>481</v>
      </c>
      <c r="D49" s="810" t="s">
        <v>666</v>
      </c>
      <c r="E49" s="415" t="s">
        <v>667</v>
      </c>
      <c r="F49" s="396"/>
      <c r="G49" s="402" t="s">
        <v>424</v>
      </c>
      <c r="H49" s="401" t="s">
        <v>668</v>
      </c>
      <c r="I49" s="465" t="s">
        <v>528</v>
      </c>
      <c r="J49" s="473" t="s">
        <v>380</v>
      </c>
    </row>
    <row r="50" ht="40.5" customHeight="1" spans="1:10">
      <c r="A50" s="402" t="s">
        <v>669</v>
      </c>
      <c r="B50" s="417">
        <v>15961</v>
      </c>
      <c r="C50" s="402" t="s">
        <v>481</v>
      </c>
      <c r="D50" s="810" t="s">
        <v>670</v>
      </c>
      <c r="E50" s="415" t="s">
        <v>671</v>
      </c>
      <c r="F50" s="396"/>
      <c r="G50" s="402" t="s">
        <v>672</v>
      </c>
      <c r="H50" s="418">
        <v>18750</v>
      </c>
      <c r="I50" s="465" t="s">
        <v>481</v>
      </c>
      <c r="J50" s="473" t="s">
        <v>673</v>
      </c>
    </row>
    <row r="51" ht="29.25" customHeight="1" spans="1:10">
      <c r="A51" s="419"/>
      <c r="B51" s="419"/>
      <c r="C51" s="419"/>
      <c r="D51" s="419"/>
      <c r="E51" s="419"/>
      <c r="F51" s="419"/>
      <c r="G51" s="419"/>
      <c r="H51" s="419"/>
      <c r="I51" s="419"/>
      <c r="J51" s="419"/>
    </row>
    <row r="52" ht="31.5" customHeight="1"/>
    <row r="53" ht="28.5" customHeight="1"/>
    <row r="54" ht="27.75" customHeight="1" spans="4:8">
      <c r="D54" s="420" t="s">
        <v>674</v>
      </c>
      <c r="E54" s="421"/>
      <c r="F54" s="421"/>
      <c r="G54" s="421"/>
      <c r="H54" s="422"/>
    </row>
    <row r="55" ht="21.15" spans="4:8">
      <c r="D55" s="423" t="s">
        <v>675</v>
      </c>
      <c r="E55" s="423"/>
      <c r="F55" s="423"/>
      <c r="G55" s="423" t="s">
        <v>676</v>
      </c>
      <c r="H55" s="423"/>
    </row>
    <row r="56" ht="21.15" spans="4:8">
      <c r="D56" s="424" t="s">
        <v>291</v>
      </c>
      <c r="E56" s="425" t="s">
        <v>601</v>
      </c>
      <c r="F56" s="425" t="s">
        <v>281</v>
      </c>
      <c r="G56" s="426" t="s">
        <v>291</v>
      </c>
      <c r="H56" s="425" t="s">
        <v>677</v>
      </c>
    </row>
    <row r="57" ht="18.15" spans="4:8">
      <c r="D57" s="427" t="s">
        <v>459</v>
      </c>
      <c r="E57" s="428" t="s">
        <v>678</v>
      </c>
      <c r="F57" s="429" t="s">
        <v>679</v>
      </c>
      <c r="G57" s="430" t="s">
        <v>680</v>
      </c>
      <c r="H57" s="429" t="s">
        <v>681</v>
      </c>
    </row>
    <row r="58" ht="18.15" spans="4:8">
      <c r="D58" s="427" t="s">
        <v>430</v>
      </c>
      <c r="E58" s="428" t="s">
        <v>336</v>
      </c>
      <c r="F58" s="429" t="s">
        <v>682</v>
      </c>
      <c r="G58" s="430" t="s">
        <v>683</v>
      </c>
      <c r="H58" s="812" t="s">
        <v>684</v>
      </c>
    </row>
    <row r="59" ht="18.15" spans="4:8">
      <c r="D59" s="427" t="s">
        <v>431</v>
      </c>
      <c r="E59" s="428" t="s">
        <v>685</v>
      </c>
      <c r="F59" s="429" t="s">
        <v>686</v>
      </c>
      <c r="G59" s="430" t="s">
        <v>687</v>
      </c>
      <c r="H59" s="429" t="s">
        <v>688</v>
      </c>
    </row>
    <row r="60" ht="18.75" spans="4:8">
      <c r="D60" s="427" t="s">
        <v>689</v>
      </c>
      <c r="E60" s="428" t="s">
        <v>690</v>
      </c>
      <c r="F60" s="429" t="s">
        <v>691</v>
      </c>
      <c r="G60" s="430" t="s">
        <v>692</v>
      </c>
      <c r="H60" s="429" t="s">
        <v>693</v>
      </c>
    </row>
    <row r="61" ht="18.75" spans="4:6">
      <c r="D61" s="427" t="s">
        <v>694</v>
      </c>
      <c r="E61" s="428" t="s">
        <v>695</v>
      </c>
      <c r="F61" s="429" t="s">
        <v>696</v>
      </c>
    </row>
    <row r="62" ht="18.15" spans="4:6">
      <c r="D62" s="427" t="s">
        <v>364</v>
      </c>
      <c r="E62" s="428" t="s">
        <v>697</v>
      </c>
      <c r="F62" s="429" t="s">
        <v>698</v>
      </c>
    </row>
    <row r="63" ht="18.15" spans="4:6">
      <c r="D63" s="427" t="s">
        <v>380</v>
      </c>
      <c r="E63" s="428" t="s">
        <v>699</v>
      </c>
      <c r="F63" s="429" t="s">
        <v>700</v>
      </c>
    </row>
  </sheetData>
  <mergeCells count="24">
    <mergeCell ref="A2:D2"/>
    <mergeCell ref="F3:G3"/>
    <mergeCell ref="I3:M3"/>
    <mergeCell ref="P3:U3"/>
    <mergeCell ref="P11:S11"/>
    <mergeCell ref="A20:N20"/>
    <mergeCell ref="A25:E25"/>
    <mergeCell ref="G25:J25"/>
    <mergeCell ref="M25:T25"/>
    <mergeCell ref="V25:Y25"/>
    <mergeCell ref="M33:Q33"/>
    <mergeCell ref="S33:Y33"/>
    <mergeCell ref="A36:E36"/>
    <mergeCell ref="N40:Q40"/>
    <mergeCell ref="S40:Y40"/>
    <mergeCell ref="G41:J41"/>
    <mergeCell ref="D54:H54"/>
    <mergeCell ref="D55:F55"/>
    <mergeCell ref="G55:H55"/>
    <mergeCell ref="AA27:AA31"/>
    <mergeCell ref="AA32:AA35"/>
    <mergeCell ref="AC27:AC30"/>
    <mergeCell ref="AC31:AC35"/>
    <mergeCell ref="AA25:AD26"/>
  </mergeCells>
  <hyperlinks>
    <hyperlink ref="AA12" r:id="rId3" display="https://www.meteo.bf/"/>
    <hyperlink ref="AA13" r:id="rId4" display="https://www.agrhymet.ne/"/>
    <hyperlink ref="AA14" r:id="rId5" display="https://www.fao.org/land-water/databases-and-software/climwat-for-cropwat/en/"/>
    <hyperlink ref="AA15" r:id="rId6" display="https://www.fao.org/3/x0490e/x0490e0i.htm"/>
    <hyperlink ref="AA16" r:id="rId7" display="https://cilss.int/"/>
    <hyperlink ref="AA17" r:id="rId8" display="https://www.ecowas.int/"/>
  </hyperlink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56"/>
  <sheetViews>
    <sheetView workbookViewId="0">
      <selection activeCell="E44" sqref="E44"/>
    </sheetView>
  </sheetViews>
  <sheetFormatPr defaultColWidth="9" defaultRowHeight="14.4"/>
  <cols>
    <col min="1" max="1" width="64.1388888888889" customWidth="1"/>
    <col min="2" max="2" width="40.5740740740741" customWidth="1"/>
    <col min="3" max="3" width="23.5740740740741" customWidth="1"/>
    <col min="4" max="4" width="23.1388888888889" customWidth="1"/>
    <col min="5" max="5" width="37" customWidth="1"/>
    <col min="6" max="6" width="74.5740740740741" customWidth="1"/>
    <col min="7" max="7" width="35.4259259259259" customWidth="1"/>
    <col min="8" max="8" width="82.8518518518518" customWidth="1"/>
    <col min="9" max="9" width="31" customWidth="1"/>
    <col min="10" max="10" width="43.4259259259259" customWidth="1"/>
    <col min="11" max="11" width="23.287037037037" customWidth="1"/>
    <col min="12" max="12" width="16" customWidth="1"/>
    <col min="13" max="13" width="41.4259259259259" customWidth="1"/>
    <col min="14" max="14" width="30.287037037037" customWidth="1"/>
    <col min="15" max="15" width="12.4259259259259" customWidth="1"/>
    <col min="16" max="16" width="9.85185185185185" customWidth="1"/>
    <col min="17" max="17" width="18.287037037037" customWidth="1"/>
    <col min="18" max="18" width="15.4259259259259" customWidth="1"/>
    <col min="19" max="19" width="48.712962962963" customWidth="1"/>
    <col min="20" max="20" width="48.287037037037" customWidth="1"/>
    <col min="21" max="21" width="28.4259259259259" customWidth="1"/>
  </cols>
  <sheetData>
    <row r="1" ht="18" spans="18:28">
      <c r="R1" s="9"/>
      <c r="S1" s="9"/>
      <c r="T1" s="9"/>
      <c r="U1" s="9"/>
      <c r="V1" s="9"/>
      <c r="W1" s="9"/>
      <c r="X1" s="9"/>
      <c r="Y1" s="9"/>
      <c r="Z1" s="9"/>
      <c r="AA1" s="9"/>
      <c r="AB1" s="9"/>
    </row>
    <row r="2" ht="22.2" spans="1:30">
      <c r="A2" s="305" t="s">
        <v>701</v>
      </c>
      <c r="B2" s="306"/>
      <c r="C2" s="306"/>
      <c r="D2" s="306"/>
      <c r="E2" s="306"/>
      <c r="F2" s="306"/>
      <c r="G2" s="306"/>
      <c r="H2" s="306"/>
      <c r="I2" s="306"/>
      <c r="J2" s="306"/>
      <c r="K2" s="306"/>
      <c r="L2" s="306"/>
      <c r="M2" s="306"/>
      <c r="R2" s="1"/>
      <c r="S2" s="1"/>
      <c r="T2" s="1"/>
      <c r="U2" s="1"/>
      <c r="V2" s="1"/>
      <c r="W2" s="1"/>
      <c r="X2" s="1"/>
      <c r="Y2" s="1"/>
      <c r="Z2" s="1"/>
      <c r="AA2" s="1"/>
      <c r="AB2" s="1"/>
      <c r="AC2" s="1"/>
      <c r="AD2" s="1"/>
    </row>
    <row r="3" ht="20.4" spans="1:30">
      <c r="A3" s="307" t="s">
        <v>702</v>
      </c>
      <c r="B3" s="307" t="s">
        <v>703</v>
      </c>
      <c r="C3" s="307" t="s">
        <v>704</v>
      </c>
      <c r="D3" s="307" t="s">
        <v>705</v>
      </c>
      <c r="E3" s="307" t="s">
        <v>706</v>
      </c>
      <c r="F3" s="307" t="s">
        <v>707</v>
      </c>
      <c r="G3" s="307" t="s">
        <v>708</v>
      </c>
      <c r="H3" s="307" t="s">
        <v>709</v>
      </c>
      <c r="I3" s="307" t="s">
        <v>710</v>
      </c>
      <c r="J3" s="343" t="s">
        <v>711</v>
      </c>
      <c r="K3" s="344"/>
      <c r="M3" s="343" t="s">
        <v>712</v>
      </c>
      <c r="N3" s="345"/>
      <c r="O3" s="345"/>
      <c r="P3" s="346"/>
      <c r="R3" s="1"/>
      <c r="S3" s="1"/>
      <c r="W3" s="9"/>
      <c r="X3" s="9"/>
      <c r="Y3" s="9"/>
      <c r="Z3" s="9"/>
      <c r="AA3" s="9"/>
      <c r="AB3" s="9"/>
      <c r="AC3" s="1"/>
      <c r="AD3" s="1"/>
    </row>
    <row r="4" ht="36" spans="1:30">
      <c r="A4" s="308">
        <v>1</v>
      </c>
      <c r="B4" s="309">
        <f>B24/12</f>
        <v>3666.66666666667</v>
      </c>
      <c r="C4" s="309">
        <f>B4*50%</f>
        <v>1833.33333333333</v>
      </c>
      <c r="D4" s="310">
        <f t="shared" ref="D4:D15" si="0">C4*50%</f>
        <v>916.666666666667</v>
      </c>
      <c r="E4" s="310">
        <f>B4*50%</f>
        <v>1833.33333333333</v>
      </c>
      <c r="F4" s="311">
        <f>C4*50%</f>
        <v>916.666666666667</v>
      </c>
      <c r="G4" s="311">
        <f>E4*8</f>
        <v>14666.6666666667</v>
      </c>
      <c r="H4" s="311">
        <f>F4*B33</f>
        <v>916.666666666667</v>
      </c>
      <c r="I4" s="311">
        <f>D4*B33</f>
        <v>916.666666666667</v>
      </c>
      <c r="J4" s="347" t="s">
        <v>713</v>
      </c>
      <c r="K4" s="348" t="s">
        <v>714</v>
      </c>
      <c r="L4" s="1" t="s">
        <v>715</v>
      </c>
      <c r="M4" s="349" t="s">
        <v>716</v>
      </c>
      <c r="N4" s="333"/>
      <c r="O4" s="333"/>
      <c r="P4" s="350"/>
      <c r="R4" s="1"/>
      <c r="S4" s="1"/>
      <c r="W4" s="9"/>
      <c r="X4" s="9"/>
      <c r="Y4" s="9"/>
      <c r="Z4" s="9"/>
      <c r="AA4" s="9"/>
      <c r="AB4" s="9"/>
      <c r="AC4" s="1"/>
      <c r="AD4" s="1"/>
    </row>
    <row r="5" ht="36" spans="1:30">
      <c r="A5" s="307">
        <v>2</v>
      </c>
      <c r="B5" s="309">
        <f>B24/12</f>
        <v>3666.66666666667</v>
      </c>
      <c r="C5" s="309">
        <f t="shared" ref="C5:C15" si="1">B5*50%</f>
        <v>1833.33333333333</v>
      </c>
      <c r="D5" s="310">
        <f t="shared" si="0"/>
        <v>916.666666666667</v>
      </c>
      <c r="E5" s="310">
        <f t="shared" ref="E5:E15" si="2">B5*50%</f>
        <v>1833.33333333333</v>
      </c>
      <c r="F5" s="311">
        <f t="shared" ref="F5:F15" si="3">C5*50%</f>
        <v>916.666666666667</v>
      </c>
      <c r="G5" s="311">
        <f>E5*8</f>
        <v>14666.6666666667</v>
      </c>
      <c r="H5" s="312">
        <f>D5*B33</f>
        <v>916.666666666667</v>
      </c>
      <c r="I5" s="312">
        <f>D5*B33</f>
        <v>916.666666666667</v>
      </c>
      <c r="J5" s="347" t="s">
        <v>717</v>
      </c>
      <c r="K5" s="348">
        <v>6</v>
      </c>
      <c r="L5" s="351" t="s">
        <v>718</v>
      </c>
      <c r="M5" s="349" t="s">
        <v>719</v>
      </c>
      <c r="N5" s="333"/>
      <c r="O5" s="333"/>
      <c r="P5" s="350"/>
      <c r="R5" s="1"/>
      <c r="S5" s="1"/>
      <c r="W5" s="9"/>
      <c r="X5" s="9"/>
      <c r="Y5" s="9"/>
      <c r="Z5" s="9"/>
      <c r="AA5" s="9"/>
      <c r="AB5" s="9"/>
      <c r="AC5" s="1"/>
      <c r="AD5" s="1"/>
    </row>
    <row r="6" ht="18" spans="1:30">
      <c r="A6" s="308">
        <v>3</v>
      </c>
      <c r="B6" s="309">
        <f>B24/12</f>
        <v>3666.66666666667</v>
      </c>
      <c r="C6" s="309">
        <f t="shared" si="1"/>
        <v>1833.33333333333</v>
      </c>
      <c r="D6" s="310">
        <f t="shared" si="0"/>
        <v>916.666666666667</v>
      </c>
      <c r="E6" s="310">
        <f t="shared" si="2"/>
        <v>1833.33333333333</v>
      </c>
      <c r="F6" s="311">
        <f t="shared" si="3"/>
        <v>916.666666666667</v>
      </c>
      <c r="G6" s="311">
        <f t="shared" ref="G6:G15" si="4">E6*8</f>
        <v>14666.6666666667</v>
      </c>
      <c r="H6" s="313">
        <f>F6*B33</f>
        <v>916.666666666667</v>
      </c>
      <c r="I6" s="313">
        <f>D6*B33</f>
        <v>916.666666666667</v>
      </c>
      <c r="J6" s="352" t="s">
        <v>720</v>
      </c>
      <c r="K6" s="348" t="s">
        <v>721</v>
      </c>
      <c r="M6" s="349" t="s">
        <v>722</v>
      </c>
      <c r="N6" s="333"/>
      <c r="O6" s="333"/>
      <c r="P6" s="350"/>
      <c r="R6" s="1"/>
      <c r="S6" s="1"/>
      <c r="W6" s="9"/>
      <c r="X6" s="9"/>
      <c r="Y6" s="9"/>
      <c r="Z6" s="9"/>
      <c r="AA6" s="9"/>
      <c r="AB6" s="9"/>
      <c r="AC6" s="1"/>
      <c r="AD6" s="1"/>
    </row>
    <row r="7" ht="36" spans="1:30">
      <c r="A7" s="307">
        <v>4</v>
      </c>
      <c r="B7" s="309">
        <f>B24/12</f>
        <v>3666.66666666667</v>
      </c>
      <c r="C7" s="309">
        <f t="shared" si="1"/>
        <v>1833.33333333333</v>
      </c>
      <c r="D7" s="310">
        <f t="shared" si="0"/>
        <v>916.666666666667</v>
      </c>
      <c r="E7" s="310">
        <f t="shared" si="2"/>
        <v>1833.33333333333</v>
      </c>
      <c r="F7" s="311">
        <f t="shared" si="3"/>
        <v>916.666666666667</v>
      </c>
      <c r="G7" s="311">
        <f t="shared" si="4"/>
        <v>14666.6666666667</v>
      </c>
      <c r="H7" s="312">
        <f>F7*B33</f>
        <v>916.666666666667</v>
      </c>
      <c r="I7" s="312">
        <f>D7*B33</f>
        <v>916.666666666667</v>
      </c>
      <c r="J7" s="352" t="s">
        <v>723</v>
      </c>
      <c r="K7" s="348">
        <v>1</v>
      </c>
      <c r="L7" s="351" t="s">
        <v>724</v>
      </c>
      <c r="M7" s="349" t="s">
        <v>725</v>
      </c>
      <c r="N7" s="333"/>
      <c r="O7" s="333"/>
      <c r="P7" s="350"/>
      <c r="R7" s="364"/>
      <c r="S7" s="1"/>
      <c r="W7" s="9"/>
      <c r="X7" s="9"/>
      <c r="Y7" s="9"/>
      <c r="Z7" s="9"/>
      <c r="AA7" s="9"/>
      <c r="AB7" s="9"/>
      <c r="AC7" s="1"/>
      <c r="AD7" s="1"/>
    </row>
    <row r="8" ht="54" spans="1:30">
      <c r="A8" s="308">
        <v>5</v>
      </c>
      <c r="B8" s="309">
        <f>B24/12</f>
        <v>3666.66666666667</v>
      </c>
      <c r="C8" s="309">
        <f t="shared" si="1"/>
        <v>1833.33333333333</v>
      </c>
      <c r="D8" s="310">
        <f t="shared" si="0"/>
        <v>916.666666666667</v>
      </c>
      <c r="E8" s="310">
        <f t="shared" si="2"/>
        <v>1833.33333333333</v>
      </c>
      <c r="F8" s="311">
        <f t="shared" si="3"/>
        <v>916.666666666667</v>
      </c>
      <c r="G8" s="311">
        <f t="shared" si="4"/>
        <v>14666.6666666667</v>
      </c>
      <c r="H8" s="313">
        <f>F8*B33</f>
        <v>916.666666666667</v>
      </c>
      <c r="I8" s="313">
        <f>D8*B33</f>
        <v>916.666666666667</v>
      </c>
      <c r="J8" s="352" t="s">
        <v>726</v>
      </c>
      <c r="K8" s="348" t="s">
        <v>727</v>
      </c>
      <c r="L8" s="351" t="s">
        <v>724</v>
      </c>
      <c r="M8" s="349" t="s">
        <v>728</v>
      </c>
      <c r="N8" s="333"/>
      <c r="O8" s="333"/>
      <c r="P8" s="66"/>
      <c r="R8" s="1"/>
      <c r="S8" s="1"/>
      <c r="W8" s="9"/>
      <c r="X8" s="9"/>
      <c r="Y8" s="9"/>
      <c r="Z8" s="9"/>
      <c r="AA8" s="9"/>
      <c r="AB8" s="9"/>
      <c r="AC8" s="1"/>
      <c r="AD8" s="1"/>
    </row>
    <row r="9" ht="21" spans="1:30">
      <c r="A9" s="307">
        <v>6</v>
      </c>
      <c r="B9" s="309">
        <f>B24/12</f>
        <v>3666.66666666667</v>
      </c>
      <c r="C9" s="309">
        <f t="shared" si="1"/>
        <v>1833.33333333333</v>
      </c>
      <c r="D9" s="310">
        <f t="shared" si="0"/>
        <v>916.666666666667</v>
      </c>
      <c r="E9" s="310">
        <f t="shared" si="2"/>
        <v>1833.33333333333</v>
      </c>
      <c r="F9" s="311">
        <f t="shared" si="3"/>
        <v>916.666666666667</v>
      </c>
      <c r="G9" s="311">
        <f t="shared" si="4"/>
        <v>14666.6666666667</v>
      </c>
      <c r="H9" s="312">
        <f>F9*B33</f>
        <v>916.666666666667</v>
      </c>
      <c r="I9" s="312">
        <f>D9*B33</f>
        <v>916.666666666667</v>
      </c>
      <c r="J9" s="353" t="s">
        <v>729</v>
      </c>
      <c r="K9" s="348"/>
      <c r="M9" s="354"/>
      <c r="N9" s="333"/>
      <c r="O9" s="333"/>
      <c r="P9" s="66"/>
      <c r="R9" s="1"/>
      <c r="S9" s="1"/>
      <c r="W9" s="9"/>
      <c r="X9" s="9"/>
      <c r="Y9" s="9"/>
      <c r="Z9" s="9"/>
      <c r="AA9" s="9"/>
      <c r="AB9" s="9"/>
      <c r="AC9" s="1"/>
      <c r="AD9" s="1"/>
    </row>
    <row r="10" ht="20.4" spans="1:30">
      <c r="A10" s="308">
        <v>7</v>
      </c>
      <c r="B10" s="309">
        <f>B24/12</f>
        <v>3666.66666666667</v>
      </c>
      <c r="C10" s="309">
        <f t="shared" si="1"/>
        <v>1833.33333333333</v>
      </c>
      <c r="D10" s="310">
        <f t="shared" si="0"/>
        <v>916.666666666667</v>
      </c>
      <c r="E10" s="310">
        <f t="shared" si="2"/>
        <v>1833.33333333333</v>
      </c>
      <c r="F10" s="311">
        <f t="shared" si="3"/>
        <v>916.666666666667</v>
      </c>
      <c r="G10" s="311">
        <f t="shared" si="4"/>
        <v>14666.6666666667</v>
      </c>
      <c r="H10" s="313">
        <f>F10*B33</f>
        <v>916.666666666667</v>
      </c>
      <c r="I10" s="313">
        <f>D10*B33</f>
        <v>916.666666666667</v>
      </c>
      <c r="J10" s="355"/>
      <c r="K10" s="356"/>
      <c r="L10" s="356"/>
      <c r="M10" s="356"/>
      <c r="N10" s="333"/>
      <c r="O10" s="333"/>
      <c r="P10" s="66"/>
      <c r="R10" s="1"/>
      <c r="S10" s="1"/>
      <c r="W10" s="9"/>
      <c r="X10" s="9"/>
      <c r="Y10" s="9"/>
      <c r="Z10" s="9"/>
      <c r="AA10" s="9"/>
      <c r="AB10" s="9"/>
      <c r="AC10" s="1"/>
      <c r="AD10" s="1"/>
    </row>
    <row r="11" ht="18" spans="1:30">
      <c r="A11" s="307">
        <v>8</v>
      </c>
      <c r="B11" s="309">
        <f>B24/12</f>
        <v>3666.66666666667</v>
      </c>
      <c r="C11" s="309">
        <f t="shared" si="1"/>
        <v>1833.33333333333</v>
      </c>
      <c r="D11" s="310">
        <f t="shared" si="0"/>
        <v>916.666666666667</v>
      </c>
      <c r="E11" s="310">
        <f t="shared" si="2"/>
        <v>1833.33333333333</v>
      </c>
      <c r="F11" s="311">
        <f t="shared" si="3"/>
        <v>916.666666666667</v>
      </c>
      <c r="G11" s="311">
        <f t="shared" si="4"/>
        <v>14666.6666666667</v>
      </c>
      <c r="H11" s="312">
        <f>F11*B33</f>
        <v>916.666666666667</v>
      </c>
      <c r="I11" s="312">
        <f>D11*B33</f>
        <v>916.666666666667</v>
      </c>
      <c r="J11" s="347"/>
      <c r="K11" s="347"/>
      <c r="L11" s="347"/>
      <c r="M11" s="347"/>
      <c r="N11" s="333"/>
      <c r="O11" s="333"/>
      <c r="P11" s="345"/>
      <c r="R11" s="1"/>
      <c r="S11" s="1"/>
      <c r="W11" s="9"/>
      <c r="X11" s="9"/>
      <c r="Y11" s="9"/>
      <c r="Z11" s="9"/>
      <c r="AA11" s="9"/>
      <c r="AB11" s="9"/>
      <c r="AC11" s="1"/>
      <c r="AD11" s="1"/>
    </row>
    <row r="12" ht="18" spans="1:30">
      <c r="A12" s="308">
        <v>9</v>
      </c>
      <c r="B12" s="309">
        <f>B24/12</f>
        <v>3666.66666666667</v>
      </c>
      <c r="C12" s="309">
        <f t="shared" si="1"/>
        <v>1833.33333333333</v>
      </c>
      <c r="D12" s="310">
        <f t="shared" si="0"/>
        <v>916.666666666667</v>
      </c>
      <c r="E12" s="310">
        <f t="shared" si="2"/>
        <v>1833.33333333333</v>
      </c>
      <c r="F12" s="311">
        <f t="shared" si="3"/>
        <v>916.666666666667</v>
      </c>
      <c r="G12" s="311">
        <f t="shared" si="4"/>
        <v>14666.6666666667</v>
      </c>
      <c r="H12" s="313">
        <f>F12*B33</f>
        <v>916.666666666667</v>
      </c>
      <c r="I12" s="313">
        <f>D12*B33</f>
        <v>916.666666666667</v>
      </c>
      <c r="J12" s="348"/>
      <c r="K12" s="357"/>
      <c r="L12" s="348"/>
      <c r="M12" s="348"/>
      <c r="N12" s="333"/>
      <c r="O12" s="333"/>
      <c r="P12" s="333"/>
      <c r="R12" s="1"/>
      <c r="S12" s="1"/>
      <c r="Y12" s="9"/>
      <c r="Z12" s="9"/>
      <c r="AA12" s="9"/>
      <c r="AB12" s="9"/>
      <c r="AC12" s="1"/>
      <c r="AD12" s="1"/>
    </row>
    <row r="13" ht="18" spans="1:30">
      <c r="A13" s="307">
        <v>10</v>
      </c>
      <c r="B13" s="309">
        <f>B24/12</f>
        <v>3666.66666666667</v>
      </c>
      <c r="C13" s="309">
        <f t="shared" si="1"/>
        <v>1833.33333333333</v>
      </c>
      <c r="D13" s="310">
        <f t="shared" si="0"/>
        <v>916.666666666667</v>
      </c>
      <c r="E13" s="310">
        <f t="shared" si="2"/>
        <v>1833.33333333333</v>
      </c>
      <c r="F13" s="311">
        <f t="shared" si="3"/>
        <v>916.666666666667</v>
      </c>
      <c r="G13" s="311">
        <f t="shared" si="4"/>
        <v>14666.6666666667</v>
      </c>
      <c r="H13" s="312">
        <f>F13*B33</f>
        <v>916.666666666667</v>
      </c>
      <c r="I13" s="312">
        <f>D13*B33</f>
        <v>916.666666666667</v>
      </c>
      <c r="J13" s="348"/>
      <c r="K13" s="358"/>
      <c r="L13" s="348"/>
      <c r="M13" s="348"/>
      <c r="R13" s="1"/>
      <c r="S13" s="1"/>
      <c r="Y13" s="9"/>
      <c r="Z13" s="9"/>
      <c r="AA13" s="9"/>
      <c r="AB13" s="9"/>
      <c r="AC13" s="1"/>
      <c r="AD13" s="1"/>
    </row>
    <row r="14" ht="18" spans="1:30">
      <c r="A14" s="308">
        <v>11</v>
      </c>
      <c r="B14" s="309">
        <f>B24/12</f>
        <v>3666.66666666667</v>
      </c>
      <c r="C14" s="309">
        <f t="shared" si="1"/>
        <v>1833.33333333333</v>
      </c>
      <c r="D14" s="310">
        <f t="shared" si="0"/>
        <v>916.666666666667</v>
      </c>
      <c r="E14" s="310">
        <f t="shared" si="2"/>
        <v>1833.33333333333</v>
      </c>
      <c r="F14" s="311">
        <f t="shared" si="3"/>
        <v>916.666666666667</v>
      </c>
      <c r="G14" s="311">
        <f t="shared" si="4"/>
        <v>14666.6666666667</v>
      </c>
      <c r="H14" s="313">
        <f>F14*B33</f>
        <v>916.666666666667</v>
      </c>
      <c r="I14" s="313">
        <f>D14*B33</f>
        <v>916.666666666667</v>
      </c>
      <c r="J14" s="348"/>
      <c r="K14" s="357"/>
      <c r="L14" s="348"/>
      <c r="M14" s="348"/>
      <c r="R14" s="1"/>
      <c r="S14" s="1"/>
      <c r="Y14" s="9"/>
      <c r="Z14" s="9"/>
      <c r="AA14" s="9"/>
      <c r="AB14" s="9"/>
      <c r="AC14" s="1"/>
      <c r="AD14" s="1"/>
    </row>
    <row r="15" ht="18" spans="1:30">
      <c r="A15" s="307">
        <v>12</v>
      </c>
      <c r="B15" s="309">
        <f>B24/12</f>
        <v>3666.66666666667</v>
      </c>
      <c r="C15" s="309">
        <f t="shared" si="1"/>
        <v>1833.33333333333</v>
      </c>
      <c r="D15" s="310">
        <f t="shared" si="0"/>
        <v>916.666666666667</v>
      </c>
      <c r="E15" s="310">
        <f t="shared" si="2"/>
        <v>1833.33333333333</v>
      </c>
      <c r="F15" s="311">
        <f t="shared" si="3"/>
        <v>916.666666666667</v>
      </c>
      <c r="G15" s="311">
        <f t="shared" si="4"/>
        <v>14666.6666666667</v>
      </c>
      <c r="H15" s="312">
        <f>F15*B33</f>
        <v>916.666666666667</v>
      </c>
      <c r="I15" s="312">
        <f>D15*B33</f>
        <v>916.666666666667</v>
      </c>
      <c r="J15" s="348"/>
      <c r="K15" s="348"/>
      <c r="L15" s="348"/>
      <c r="M15" s="348"/>
      <c r="R15" s="1"/>
      <c r="S15" s="1"/>
      <c r="Y15" s="9"/>
      <c r="Z15" s="9"/>
      <c r="AA15" s="9"/>
      <c r="AB15" s="9"/>
      <c r="AC15" s="1"/>
      <c r="AD15" s="1"/>
    </row>
    <row r="16" ht="18.75" spans="1:30">
      <c r="A16" s="306"/>
      <c r="B16" s="306"/>
      <c r="C16" s="306"/>
      <c r="D16" s="306"/>
      <c r="E16" s="306"/>
      <c r="F16" s="306"/>
      <c r="G16" s="306"/>
      <c r="H16" s="306"/>
      <c r="I16" s="306"/>
      <c r="J16" s="306"/>
      <c r="R16" s="1"/>
      <c r="S16" s="1"/>
      <c r="T16" s="1"/>
      <c r="U16" s="9"/>
      <c r="V16" s="9"/>
      <c r="W16" s="9"/>
      <c r="X16" s="9"/>
      <c r="Y16" s="9"/>
      <c r="Z16" s="9"/>
      <c r="AA16" s="9"/>
      <c r="AB16" s="9"/>
      <c r="AC16" s="1"/>
      <c r="AD16" s="1"/>
    </row>
    <row r="17" ht="21.15" spans="1:30">
      <c r="A17" s="314" t="s">
        <v>730</v>
      </c>
      <c r="B17" s="315"/>
      <c r="C17" s="315"/>
      <c r="D17" s="315"/>
      <c r="E17" s="315" t="s">
        <v>731</v>
      </c>
      <c r="F17" s="315"/>
      <c r="G17" s="315"/>
      <c r="H17" s="315"/>
      <c r="I17" s="355" t="s">
        <v>732</v>
      </c>
      <c r="J17" s="306"/>
      <c r="K17" s="359"/>
      <c r="L17" s="347"/>
      <c r="M17" s="306"/>
      <c r="R17" s="1"/>
      <c r="S17" s="1"/>
      <c r="T17" s="1"/>
      <c r="U17" s="9"/>
      <c r="V17" s="9"/>
      <c r="W17" s="9"/>
      <c r="X17" s="9"/>
      <c r="Y17" s="9"/>
      <c r="Z17" s="9"/>
      <c r="AA17" s="9"/>
      <c r="AB17" s="9"/>
      <c r="AC17" s="1"/>
      <c r="AD17" s="1"/>
    </row>
    <row r="18" ht="35.55" spans="1:30">
      <c r="A18" s="316" t="s">
        <v>733</v>
      </c>
      <c r="B18" s="317" t="s">
        <v>734</v>
      </c>
      <c r="C18" s="317" t="s">
        <v>735</v>
      </c>
      <c r="D18" s="317" t="s">
        <v>736</v>
      </c>
      <c r="E18" s="316" t="s">
        <v>291</v>
      </c>
      <c r="F18" s="317" t="s">
        <v>737</v>
      </c>
      <c r="G18" s="317" t="s">
        <v>738</v>
      </c>
      <c r="H18" s="317" t="s">
        <v>12</v>
      </c>
      <c r="I18" s="359" t="s">
        <v>739</v>
      </c>
      <c r="J18" s="359" t="s">
        <v>740</v>
      </c>
      <c r="K18" s="360"/>
      <c r="L18" s="360"/>
      <c r="M18" s="306"/>
      <c r="R18" s="1"/>
      <c r="S18" s="1"/>
      <c r="T18" s="1"/>
      <c r="U18" s="9"/>
      <c r="V18" s="9"/>
      <c r="W18" s="9"/>
      <c r="X18" s="9"/>
      <c r="Y18" s="9"/>
      <c r="Z18" s="9"/>
      <c r="AA18" s="9"/>
      <c r="AB18" s="9"/>
      <c r="AC18" s="1"/>
      <c r="AD18" s="1"/>
    </row>
    <row r="19" ht="18.75" spans="1:30">
      <c r="A19" s="318" t="s">
        <v>741</v>
      </c>
      <c r="B19" s="319">
        <f>B29*4</f>
        <v>611.111111111111</v>
      </c>
      <c r="C19" s="319">
        <f>D4</f>
        <v>916.666666666667</v>
      </c>
      <c r="D19" s="319">
        <f>F4</f>
        <v>916.666666666667</v>
      </c>
      <c r="E19" s="318" t="s">
        <v>742</v>
      </c>
      <c r="F19" s="320" t="s">
        <v>743</v>
      </c>
      <c r="G19" s="320" t="s">
        <v>595</v>
      </c>
      <c r="H19" s="320" t="s">
        <v>744</v>
      </c>
      <c r="I19" s="348" t="s">
        <v>745</v>
      </c>
      <c r="J19" s="348" t="s">
        <v>746</v>
      </c>
      <c r="K19" s="357"/>
      <c r="L19" s="357"/>
      <c r="M19" s="306"/>
      <c r="R19" s="1"/>
      <c r="S19" s="1"/>
      <c r="T19" s="1"/>
      <c r="U19" s="9"/>
      <c r="V19" s="9"/>
      <c r="W19" s="9"/>
      <c r="X19" s="9"/>
      <c r="Y19" s="9"/>
      <c r="Z19" s="9"/>
      <c r="AA19" s="9"/>
      <c r="AB19" s="9"/>
      <c r="AC19" s="1"/>
      <c r="AD19" s="1"/>
    </row>
    <row r="20" ht="18.75" spans="1:30">
      <c r="A20" s="318"/>
      <c r="B20" s="320"/>
      <c r="C20" s="320"/>
      <c r="D20" s="320"/>
      <c r="E20" s="318" t="s">
        <v>747</v>
      </c>
      <c r="F20" s="320">
        <v>5</v>
      </c>
      <c r="G20" s="320" t="s">
        <v>748</v>
      </c>
      <c r="H20" s="320" t="s">
        <v>749</v>
      </c>
      <c r="I20" s="348" t="s">
        <v>750</v>
      </c>
      <c r="J20" s="348" t="s">
        <v>751</v>
      </c>
      <c r="K20" s="357"/>
      <c r="L20" s="357"/>
      <c r="M20" s="306"/>
      <c r="R20" s="1"/>
      <c r="S20" s="1"/>
      <c r="T20" s="1"/>
      <c r="U20" s="9"/>
      <c r="V20" s="9"/>
      <c r="W20" s="9"/>
      <c r="X20" s="9"/>
      <c r="Y20" s="9"/>
      <c r="Z20" s="9"/>
      <c r="AA20" s="9"/>
      <c r="AB20" s="9"/>
      <c r="AC20" s="1"/>
      <c r="AD20" s="1"/>
    </row>
    <row r="21" ht="18.75" spans="1:30">
      <c r="A21" s="321" t="s">
        <v>752</v>
      </c>
      <c r="B21" s="9"/>
      <c r="C21" s="9"/>
      <c r="D21" s="9"/>
      <c r="E21" s="318" t="s">
        <v>753</v>
      </c>
      <c r="F21" s="320">
        <v>300</v>
      </c>
      <c r="G21" s="320" t="s">
        <v>754</v>
      </c>
      <c r="H21" s="320" t="s">
        <v>755</v>
      </c>
      <c r="I21" s="348" t="s">
        <v>754</v>
      </c>
      <c r="J21" s="348" t="s">
        <v>756</v>
      </c>
      <c r="K21" s="357"/>
      <c r="L21" s="357"/>
      <c r="M21" s="306"/>
      <c r="R21" s="1"/>
      <c r="S21" s="1"/>
      <c r="T21" s="1"/>
      <c r="U21" s="9"/>
      <c r="V21" s="9"/>
      <c r="W21" s="9"/>
      <c r="X21" s="9"/>
      <c r="Y21" s="9"/>
      <c r="Z21" s="9"/>
      <c r="AA21" s="9"/>
      <c r="AB21" s="9"/>
      <c r="AC21" s="1"/>
      <c r="AD21" s="1"/>
    </row>
    <row r="22" ht="18.75" spans="1:30">
      <c r="A22" s="68"/>
      <c r="C22" s="1"/>
      <c r="D22" s="1"/>
      <c r="E22" s="318" t="s">
        <v>757</v>
      </c>
      <c r="F22" s="320">
        <v>6</v>
      </c>
      <c r="G22" s="320" t="s">
        <v>349</v>
      </c>
      <c r="H22" s="320" t="s">
        <v>758</v>
      </c>
      <c r="I22" s="348" t="s">
        <v>759</v>
      </c>
      <c r="J22" s="348" t="s">
        <v>760</v>
      </c>
      <c r="K22" s="357"/>
      <c r="L22" s="357"/>
      <c r="M22" s="306"/>
      <c r="R22" s="1"/>
      <c r="S22" s="1"/>
      <c r="T22" s="1"/>
      <c r="U22" s="9"/>
      <c r="V22" s="9"/>
      <c r="W22" s="9"/>
      <c r="X22" s="9"/>
      <c r="Y22" s="9"/>
      <c r="Z22" s="9"/>
      <c r="AA22" s="9"/>
      <c r="AB22" s="9"/>
      <c r="AC22" s="1"/>
      <c r="AD22" s="1"/>
    </row>
    <row r="23" ht="18.75" spans="1:30">
      <c r="A23" s="322" t="s">
        <v>761</v>
      </c>
      <c r="B23" s="323" t="s">
        <v>445</v>
      </c>
      <c r="C23" s="323" t="s">
        <v>738</v>
      </c>
      <c r="D23" s="1"/>
      <c r="E23" s="318" t="s">
        <v>762</v>
      </c>
      <c r="F23" s="320">
        <v>900</v>
      </c>
      <c r="G23" s="320" t="s">
        <v>763</v>
      </c>
      <c r="H23" s="320" t="s">
        <v>764</v>
      </c>
      <c r="I23" s="348" t="s">
        <v>765</v>
      </c>
      <c r="J23" s="348" t="s">
        <v>766</v>
      </c>
      <c r="K23" s="306"/>
      <c r="L23" s="306"/>
      <c r="M23" s="306"/>
      <c r="R23" s="1"/>
      <c r="S23" s="1"/>
      <c r="T23" s="1"/>
      <c r="U23" s="9"/>
      <c r="V23" s="9"/>
      <c r="W23" s="9"/>
      <c r="X23" s="9"/>
      <c r="Y23" s="9"/>
      <c r="Z23" s="9"/>
      <c r="AA23" s="9"/>
      <c r="AB23" s="9"/>
      <c r="AC23" s="1"/>
      <c r="AD23" s="1"/>
    </row>
    <row r="24" ht="18.75" spans="1:30">
      <c r="A24" s="8" t="s">
        <v>767</v>
      </c>
      <c r="B24" s="324">
        <v>44000</v>
      </c>
      <c r="C24" s="1" t="s">
        <v>768</v>
      </c>
      <c r="D24" s="1"/>
      <c r="E24" s="318" t="s">
        <v>769</v>
      </c>
      <c r="F24" s="320">
        <v>150</v>
      </c>
      <c r="G24" s="320" t="s">
        <v>770</v>
      </c>
      <c r="H24" s="320" t="s">
        <v>771</v>
      </c>
      <c r="I24" s="348" t="s">
        <v>772</v>
      </c>
      <c r="J24" s="348" t="s">
        <v>773</v>
      </c>
      <c r="K24" s="306"/>
      <c r="L24" s="306"/>
      <c r="M24" s="306"/>
      <c r="R24" s="1"/>
      <c r="S24" s="1"/>
      <c r="T24" s="1"/>
      <c r="U24" s="9"/>
      <c r="V24" s="9"/>
      <c r="W24" s="9"/>
      <c r="X24" s="9"/>
      <c r="Y24" s="9"/>
      <c r="Z24" s="9"/>
      <c r="AA24" s="9"/>
      <c r="AB24" s="9"/>
      <c r="AC24" s="1"/>
      <c r="AD24" s="1"/>
    </row>
    <row r="25" ht="18" spans="1:30">
      <c r="A25" s="8" t="s">
        <v>774</v>
      </c>
      <c r="B25" s="324">
        <f>B24/12</f>
        <v>3666.66666666667</v>
      </c>
      <c r="C25" s="1" t="s">
        <v>768</v>
      </c>
      <c r="D25" s="1"/>
      <c r="E25" s="306"/>
      <c r="F25" s="306"/>
      <c r="G25" s="306"/>
      <c r="H25" s="306"/>
      <c r="I25" s="348" t="s">
        <v>775</v>
      </c>
      <c r="J25" s="348" t="s">
        <v>776</v>
      </c>
      <c r="K25" s="306"/>
      <c r="L25" s="306"/>
      <c r="M25" s="306"/>
      <c r="R25" s="1"/>
      <c r="S25" s="1"/>
      <c r="T25" s="1"/>
      <c r="U25" s="9"/>
      <c r="V25" s="9"/>
      <c r="W25" s="9"/>
      <c r="X25" s="9"/>
      <c r="Y25" s="9"/>
      <c r="Z25" s="9"/>
      <c r="AA25" s="9"/>
      <c r="AB25" s="9"/>
      <c r="AC25" s="1"/>
      <c r="AD25" s="1"/>
    </row>
    <row r="26" ht="18" spans="1:30">
      <c r="A26" s="813" t="s">
        <v>777</v>
      </c>
      <c r="B26" s="324">
        <f>B25/12</f>
        <v>305.555555555556</v>
      </c>
      <c r="C26" s="1" t="s">
        <v>768</v>
      </c>
      <c r="D26" s="1"/>
      <c r="E26" s="325" t="s">
        <v>778</v>
      </c>
      <c r="F26" s="306"/>
      <c r="G26" s="306"/>
      <c r="H26" s="306"/>
      <c r="I26" s="348" t="s">
        <v>763</v>
      </c>
      <c r="J26" s="348" t="s">
        <v>779</v>
      </c>
      <c r="K26" s="306"/>
      <c r="L26" s="306"/>
      <c r="M26" s="306"/>
      <c r="R26" s="1"/>
      <c r="S26" s="1"/>
      <c r="T26" s="1"/>
      <c r="U26" s="9"/>
      <c r="V26" s="9"/>
      <c r="W26" s="9"/>
      <c r="X26" s="9"/>
      <c r="Y26" s="9"/>
      <c r="Z26" s="9"/>
      <c r="AA26" s="9"/>
      <c r="AB26" s="9"/>
      <c r="AC26" s="1"/>
      <c r="AD26" s="1"/>
    </row>
    <row r="27" ht="18" spans="1:30">
      <c r="A27" s="8" t="s">
        <v>780</v>
      </c>
      <c r="B27" s="324">
        <f>B26*50%</f>
        <v>152.777777777778</v>
      </c>
      <c r="C27" s="1" t="s">
        <v>768</v>
      </c>
      <c r="D27" s="1"/>
      <c r="E27" s="97" t="s">
        <v>781</v>
      </c>
      <c r="F27" s="97" t="s">
        <v>782</v>
      </c>
      <c r="G27" s="97" t="s">
        <v>783</v>
      </c>
      <c r="H27" s="97" t="s">
        <v>784</v>
      </c>
      <c r="I27" s="348" t="s">
        <v>785</v>
      </c>
      <c r="J27" s="348" t="s">
        <v>786</v>
      </c>
      <c r="K27" s="306"/>
      <c r="L27" s="306"/>
      <c r="M27" s="306"/>
      <c r="O27" s="1"/>
      <c r="P27" s="1"/>
      <c r="Q27" s="1"/>
      <c r="R27" s="1"/>
      <c r="S27" s="1"/>
      <c r="T27" s="1"/>
      <c r="U27" s="9"/>
      <c r="V27" s="9"/>
      <c r="W27" s="9"/>
      <c r="X27" s="9"/>
      <c r="Y27" s="9"/>
      <c r="Z27" s="9"/>
      <c r="AA27" s="9"/>
      <c r="AB27" s="9"/>
      <c r="AC27" s="1"/>
      <c r="AD27" s="1"/>
    </row>
    <row r="28" ht="18" spans="1:30">
      <c r="A28" s="813" t="s">
        <v>787</v>
      </c>
      <c r="B28" s="324">
        <f>B27*50%</f>
        <v>76.3888888888889</v>
      </c>
      <c r="C28" s="1" t="s">
        <v>768</v>
      </c>
      <c r="D28" s="1"/>
      <c r="E28" s="1" t="s">
        <v>788</v>
      </c>
      <c r="F28" s="8" t="s">
        <v>789</v>
      </c>
      <c r="G28" s="326" t="s">
        <v>790</v>
      </c>
      <c r="H28" s="327" t="s">
        <v>791</v>
      </c>
      <c r="O28" s="1"/>
      <c r="P28" s="1"/>
      <c r="Q28" s="1"/>
      <c r="R28" s="1"/>
      <c r="S28" s="1"/>
      <c r="T28" s="1"/>
      <c r="U28" s="9"/>
      <c r="V28" s="9"/>
      <c r="W28" s="9"/>
      <c r="X28" s="9"/>
      <c r="Y28" s="9"/>
      <c r="Z28" s="9"/>
      <c r="AA28" s="9"/>
      <c r="AB28" s="9"/>
      <c r="AC28" s="1"/>
      <c r="AD28" s="1"/>
    </row>
    <row r="29" ht="18" spans="1:30">
      <c r="A29" s="813" t="s">
        <v>792</v>
      </c>
      <c r="B29" s="324">
        <f>B26*50%</f>
        <v>152.777777777778</v>
      </c>
      <c r="C29" s="1" t="s">
        <v>768</v>
      </c>
      <c r="D29" s="1"/>
      <c r="E29" s="1" t="s">
        <v>793</v>
      </c>
      <c r="F29" s="8" t="s">
        <v>794</v>
      </c>
      <c r="G29" s="326" t="s">
        <v>795</v>
      </c>
      <c r="H29" s="328" t="s">
        <v>796</v>
      </c>
      <c r="K29" s="361"/>
      <c r="L29" s="361"/>
      <c r="O29" s="1"/>
      <c r="P29" s="1"/>
      <c r="Q29" s="1"/>
      <c r="R29" s="1"/>
      <c r="S29" s="1"/>
      <c r="T29" s="1"/>
      <c r="U29" s="9"/>
      <c r="V29" s="9"/>
      <c r="W29" s="9"/>
      <c r="X29" s="9"/>
      <c r="Y29" s="9"/>
      <c r="Z29" s="9"/>
      <c r="AA29" s="9"/>
      <c r="AB29" s="9"/>
      <c r="AC29" s="1"/>
      <c r="AD29" s="1"/>
    </row>
    <row r="30" ht="18" spans="1:30">
      <c r="A30" s="322" t="s">
        <v>797</v>
      </c>
      <c r="B30" s="329" t="s">
        <v>798</v>
      </c>
      <c r="C30" s="330" t="s">
        <v>799</v>
      </c>
      <c r="D30" s="1"/>
      <c r="E30" s="1" t="s">
        <v>800</v>
      </c>
      <c r="F30" s="8" t="s">
        <v>801</v>
      </c>
      <c r="G30" s="326"/>
      <c r="H30" s="328"/>
      <c r="O30" s="1"/>
      <c r="P30" s="1"/>
      <c r="Q30" s="1"/>
      <c r="R30" s="1"/>
      <c r="S30" s="1"/>
      <c r="T30" s="1"/>
      <c r="U30" s="9"/>
      <c r="V30" s="9"/>
      <c r="W30" s="9"/>
      <c r="X30" s="9"/>
      <c r="Y30" s="9"/>
      <c r="Z30" s="9"/>
      <c r="AA30" s="9"/>
      <c r="AB30" s="9"/>
      <c r="AC30" s="1"/>
      <c r="AD30" s="1"/>
    </row>
    <row r="31" ht="18" spans="1:30">
      <c r="A31" s="8" t="s">
        <v>780</v>
      </c>
      <c r="B31" s="331">
        <v>8</v>
      </c>
      <c r="C31" s="332">
        <f>B31*B27</f>
        <v>1222.22222222222</v>
      </c>
      <c r="D31" s="1"/>
      <c r="E31" s="1" t="s">
        <v>802</v>
      </c>
      <c r="F31" s="8" t="s">
        <v>803</v>
      </c>
      <c r="G31" s="326" t="s">
        <v>804</v>
      </c>
      <c r="H31" s="327" t="s">
        <v>805</v>
      </c>
      <c r="N31" s="362"/>
      <c r="O31" s="1"/>
      <c r="P31" s="1"/>
      <c r="Q31" s="1"/>
      <c r="R31" s="1"/>
      <c r="S31" s="1"/>
      <c r="T31" s="1"/>
      <c r="U31" s="9"/>
      <c r="V31" s="9"/>
      <c r="W31" s="9"/>
      <c r="X31" s="9"/>
      <c r="Y31" s="9"/>
      <c r="Z31" s="9"/>
      <c r="AA31" s="9"/>
      <c r="AB31" s="9"/>
      <c r="AC31" s="1"/>
      <c r="AD31" s="1"/>
    </row>
    <row r="32" ht="18" spans="1:30">
      <c r="A32" s="8" t="s">
        <v>787</v>
      </c>
      <c r="B32" s="324">
        <v>13</v>
      </c>
      <c r="C32" s="332">
        <f>B32*B28</f>
        <v>993.055555555556</v>
      </c>
      <c r="D32" s="1"/>
      <c r="E32" s="1" t="s">
        <v>806</v>
      </c>
      <c r="F32" s="8" t="s">
        <v>807</v>
      </c>
      <c r="G32" s="326" t="s">
        <v>808</v>
      </c>
      <c r="H32" s="327" t="s">
        <v>809</v>
      </c>
      <c r="N32" s="54"/>
      <c r="O32" s="1"/>
      <c r="P32" s="1"/>
      <c r="Q32" s="1"/>
      <c r="R32" s="1"/>
      <c r="S32" s="1"/>
      <c r="T32" s="1"/>
      <c r="U32" s="9"/>
      <c r="V32" s="9"/>
      <c r="W32" s="9"/>
      <c r="X32" s="9"/>
      <c r="Y32" s="9"/>
      <c r="Z32" s="9"/>
      <c r="AA32" s="9"/>
      <c r="AB32" s="9"/>
      <c r="AC32" s="1"/>
      <c r="AD32" s="1"/>
    </row>
    <row r="33" ht="18" spans="1:30">
      <c r="A33" s="813" t="s">
        <v>792</v>
      </c>
      <c r="B33" s="324">
        <v>1</v>
      </c>
      <c r="C33" s="332">
        <f>B33*B29</f>
        <v>152.777777777778</v>
      </c>
      <c r="D33" s="333"/>
      <c r="E33" s="1" t="s">
        <v>810</v>
      </c>
      <c r="F33" s="8" t="s">
        <v>811</v>
      </c>
      <c r="G33" s="326" t="s">
        <v>812</v>
      </c>
      <c r="H33" s="327" t="s">
        <v>813</v>
      </c>
      <c r="N33" s="54"/>
      <c r="O33" s="363"/>
      <c r="P33" s="1"/>
      <c r="Q33" s="363"/>
      <c r="R33" s="1"/>
      <c r="S33" s="1"/>
      <c r="T33" s="1"/>
      <c r="U33" s="9"/>
      <c r="V33" s="9"/>
      <c r="W33" s="9"/>
      <c r="X33" s="9"/>
      <c r="Y33" s="9"/>
      <c r="Z33" s="9"/>
      <c r="AA33" s="9"/>
      <c r="AB33" s="9"/>
      <c r="AC33" s="1"/>
      <c r="AD33" s="1"/>
    </row>
    <row r="34" ht="18" spans="1:30">
      <c r="A34" s="334" t="s">
        <v>814</v>
      </c>
      <c r="B34" s="335">
        <f>B31+B32+B33</f>
        <v>22</v>
      </c>
      <c r="C34" s="336">
        <f>C31+C32+C33</f>
        <v>2368.05555555556</v>
      </c>
      <c r="D34" s="333"/>
      <c r="E34" s="1" t="s">
        <v>815</v>
      </c>
      <c r="F34" s="8" t="s">
        <v>816</v>
      </c>
      <c r="G34" s="326" t="s">
        <v>817</v>
      </c>
      <c r="H34" s="327" t="s">
        <v>818</v>
      </c>
      <c r="N34" s="54"/>
      <c r="O34" s="363"/>
      <c r="P34" s="1"/>
      <c r="Q34" s="363"/>
      <c r="R34" s="1"/>
      <c r="S34" s="1"/>
      <c r="T34" s="1"/>
      <c r="U34" s="9"/>
      <c r="V34" s="9"/>
      <c r="W34" s="9"/>
      <c r="X34" s="9"/>
      <c r="Y34" s="9"/>
      <c r="Z34" s="9"/>
      <c r="AA34" s="9"/>
      <c r="AB34" s="9"/>
      <c r="AC34" s="1"/>
      <c r="AD34" s="1"/>
    </row>
    <row r="35" ht="18" spans="1:30">
      <c r="A35" s="322" t="s">
        <v>819</v>
      </c>
      <c r="B35" s="337" t="s">
        <v>445</v>
      </c>
      <c r="C35" s="338" t="s">
        <v>798</v>
      </c>
      <c r="D35" s="323" t="s">
        <v>799</v>
      </c>
      <c r="E35" s="1" t="s">
        <v>820</v>
      </c>
      <c r="F35" s="8" t="s">
        <v>821</v>
      </c>
      <c r="G35" s="326" t="s">
        <v>822</v>
      </c>
      <c r="H35" s="327" t="s">
        <v>823</v>
      </c>
      <c r="N35" s="54"/>
      <c r="O35" s="363"/>
      <c r="P35" s="1"/>
      <c r="Q35" s="363"/>
      <c r="R35" s="1"/>
      <c r="S35" s="1"/>
      <c r="T35" s="1"/>
      <c r="U35" s="9"/>
      <c r="V35" s="9"/>
      <c r="W35" s="9"/>
      <c r="X35" s="9"/>
      <c r="Y35" s="9"/>
      <c r="Z35" s="9"/>
      <c r="AA35" s="9"/>
      <c r="AB35" s="9"/>
      <c r="AC35" s="1"/>
      <c r="AD35" s="1"/>
    </row>
    <row r="36" ht="18" spans="1:30">
      <c r="A36" s="813" t="s">
        <v>824</v>
      </c>
      <c r="B36" s="339">
        <f>B26</f>
        <v>305.555555555556</v>
      </c>
      <c r="C36" s="9">
        <v>2</v>
      </c>
      <c r="D36" s="332">
        <f>B36*C36</f>
        <v>611.111111111111</v>
      </c>
      <c r="E36" s="1" t="s">
        <v>825</v>
      </c>
      <c r="F36" s="8" t="s">
        <v>826</v>
      </c>
      <c r="G36" s="326" t="s">
        <v>827</v>
      </c>
      <c r="H36" s="327" t="s">
        <v>828</v>
      </c>
      <c r="N36" s="54"/>
      <c r="O36" s="363"/>
      <c r="P36" s="1"/>
      <c r="Q36" s="363"/>
      <c r="R36" s="1"/>
      <c r="S36" s="1"/>
      <c r="T36" s="1"/>
      <c r="U36" s="9"/>
      <c r="V36" s="9"/>
      <c r="W36" s="9"/>
      <c r="X36" s="9"/>
      <c r="Y36" s="9"/>
      <c r="Z36" s="9"/>
      <c r="AA36" s="9"/>
      <c r="AB36" s="9"/>
      <c r="AC36" s="1"/>
      <c r="AD36" s="1"/>
    </row>
    <row r="37" ht="18" spans="1:30">
      <c r="A37" s="340" t="s">
        <v>829</v>
      </c>
      <c r="B37" s="324">
        <v>2</v>
      </c>
      <c r="C37" s="1">
        <v>50</v>
      </c>
      <c r="D37" s="1">
        <f>B37*C37</f>
        <v>100</v>
      </c>
      <c r="E37" s="1" t="s">
        <v>830</v>
      </c>
      <c r="F37" s="8" t="s">
        <v>831</v>
      </c>
      <c r="G37" s="326">
        <v>59</v>
      </c>
      <c r="H37" s="327" t="s">
        <v>832</v>
      </c>
      <c r="N37" s="54"/>
      <c r="O37" s="363"/>
      <c r="P37" s="1"/>
      <c r="Q37" s="363"/>
      <c r="R37" s="1"/>
      <c r="S37" s="1"/>
      <c r="T37" s="1"/>
      <c r="U37" s="9"/>
      <c r="V37" s="9"/>
      <c r="W37" s="9"/>
      <c r="X37" s="9"/>
      <c r="Y37" s="9"/>
      <c r="Z37" s="9"/>
      <c r="AA37" s="9"/>
      <c r="AB37" s="9"/>
      <c r="AC37" s="1"/>
      <c r="AD37" s="1"/>
    </row>
    <row r="38" ht="18" spans="1:30">
      <c r="A38" s="8" t="s">
        <v>833</v>
      </c>
      <c r="B38" s="324">
        <v>1</v>
      </c>
      <c r="C38" s="1">
        <v>46</v>
      </c>
      <c r="D38" s="1">
        <f>B38*C38</f>
        <v>46</v>
      </c>
      <c r="N38" s="54"/>
      <c r="O38" s="363"/>
      <c r="P38" s="1"/>
      <c r="Q38" s="365"/>
      <c r="R38" s="1"/>
      <c r="S38" s="1"/>
      <c r="T38" s="1"/>
      <c r="U38" s="9"/>
      <c r="V38" s="9"/>
      <c r="W38" s="9"/>
      <c r="X38" s="9"/>
      <c r="Y38" s="9"/>
      <c r="Z38" s="9"/>
      <c r="AA38" s="9"/>
      <c r="AB38" s="9"/>
      <c r="AC38" s="1"/>
      <c r="AD38" s="1"/>
    </row>
    <row r="39" ht="18" spans="1:30">
      <c r="A39" s="813" t="s">
        <v>834</v>
      </c>
      <c r="B39" s="324">
        <f>B27+B28</f>
        <v>229.166666666667</v>
      </c>
      <c r="C39" s="1">
        <v>1</v>
      </c>
      <c r="D39" s="341">
        <f>B39*C39</f>
        <v>229.166666666667</v>
      </c>
      <c r="N39" s="54"/>
      <c r="O39" s="363"/>
      <c r="P39" s="1"/>
      <c r="Q39" s="363"/>
      <c r="R39" s="363"/>
      <c r="S39" s="1"/>
      <c r="T39" s="1"/>
      <c r="U39" s="9"/>
      <c r="V39" s="9"/>
      <c r="W39" s="9"/>
      <c r="X39" s="9"/>
      <c r="Y39" s="9"/>
      <c r="Z39" s="9"/>
      <c r="AA39" s="9"/>
      <c r="AB39" s="9"/>
      <c r="AC39" s="1"/>
      <c r="AD39" s="1"/>
    </row>
    <row r="40" ht="18" spans="1:30">
      <c r="A40" s="1" t="s">
        <v>835</v>
      </c>
      <c r="B40" s="324">
        <f>B36+B37+B38+B39</f>
        <v>537.722222222222</v>
      </c>
      <c r="C40" s="1">
        <f>C36+C37+C38+C39</f>
        <v>99</v>
      </c>
      <c r="D40" s="332">
        <f>D36+D37+D39+D38</f>
        <v>986.277777777778</v>
      </c>
      <c r="N40" s="54"/>
      <c r="O40" s="363"/>
      <c r="P40" s="1"/>
      <c r="Q40" s="363"/>
      <c r="R40" s="363"/>
      <c r="S40" s="1"/>
      <c r="T40" s="1"/>
      <c r="U40" s="9"/>
      <c r="V40" s="9"/>
      <c r="W40" s="9"/>
      <c r="X40" s="9"/>
      <c r="Y40" s="9"/>
      <c r="Z40" s="9"/>
      <c r="AA40" s="9"/>
      <c r="AB40" s="9"/>
      <c r="AC40" s="1"/>
      <c r="AD40" s="1"/>
    </row>
    <row r="41" ht="18" spans="1:30">
      <c r="A41" s="322" t="s">
        <v>836</v>
      </c>
      <c r="B41" s="1"/>
      <c r="C41" s="1"/>
      <c r="D41" s="1"/>
      <c r="N41" s="54"/>
      <c r="O41" s="363"/>
      <c r="P41" s="1"/>
      <c r="Q41" s="363"/>
      <c r="R41" s="363"/>
      <c r="S41" s="1"/>
      <c r="T41" s="1"/>
      <c r="U41" s="9"/>
      <c r="V41" s="9"/>
      <c r="W41" s="9"/>
      <c r="X41" s="9"/>
      <c r="Y41" s="9"/>
      <c r="Z41" s="9"/>
      <c r="AA41" s="9"/>
      <c r="AB41" s="9"/>
      <c r="AC41" s="1"/>
      <c r="AD41" s="1"/>
    </row>
    <row r="42" ht="18" spans="1:30">
      <c r="A42" s="813" t="s">
        <v>837</v>
      </c>
      <c r="B42" s="332">
        <f>C34-D40</f>
        <v>1381.77777777778</v>
      </c>
      <c r="C42" s="1"/>
      <c r="D42" s="1"/>
      <c r="N42" s="54"/>
      <c r="O42" s="363"/>
      <c r="P42" s="1"/>
      <c r="Q42" s="363"/>
      <c r="R42" s="363"/>
      <c r="S42" s="1"/>
      <c r="T42" s="1"/>
      <c r="U42" s="1"/>
      <c r="V42" s="1"/>
      <c r="W42" s="1"/>
      <c r="X42" s="1"/>
      <c r="Y42" s="1"/>
      <c r="Z42" s="1"/>
      <c r="AA42" s="1"/>
      <c r="AB42" s="1"/>
      <c r="AC42" s="1"/>
      <c r="AD42" s="1"/>
    </row>
    <row r="43" ht="18" spans="1:30">
      <c r="A43" s="322" t="s">
        <v>838</v>
      </c>
      <c r="B43" s="1"/>
      <c r="C43" s="1"/>
      <c r="D43" s="1"/>
      <c r="N43" s="54"/>
      <c r="O43" s="363"/>
      <c r="P43" s="1"/>
      <c r="Q43" s="363"/>
      <c r="R43" s="363"/>
      <c r="S43" s="1"/>
      <c r="T43" s="1"/>
      <c r="U43" s="1"/>
      <c r="V43" s="1"/>
      <c r="W43" s="1"/>
      <c r="X43" s="1"/>
      <c r="Y43" s="1"/>
      <c r="Z43" s="1"/>
      <c r="AA43" s="1"/>
      <c r="AB43" s="1"/>
      <c r="AC43" s="1"/>
      <c r="AD43" s="1"/>
    </row>
    <row r="44" ht="18" spans="1:30">
      <c r="A44" s="813" t="s">
        <v>839</v>
      </c>
      <c r="B44" s="1">
        <v>9300</v>
      </c>
      <c r="C44" s="1"/>
      <c r="D44" s="1"/>
      <c r="N44" s="54"/>
      <c r="O44" s="363"/>
      <c r="P44" s="1"/>
      <c r="Q44" s="363"/>
      <c r="R44" s="363"/>
      <c r="S44" s="1"/>
      <c r="T44" s="1"/>
      <c r="U44" s="1"/>
      <c r="V44" s="1"/>
      <c r="W44" s="1"/>
      <c r="X44" s="1"/>
      <c r="Y44" s="1"/>
      <c r="Z44" s="1"/>
      <c r="AA44" s="1"/>
      <c r="AB44" s="1"/>
      <c r="AC44" s="1"/>
      <c r="AD44" s="1"/>
    </row>
    <row r="45" ht="18" spans="1:30">
      <c r="A45" s="813" t="s">
        <v>840</v>
      </c>
      <c r="B45" s="332">
        <f>B42</f>
        <v>1381.77777777778</v>
      </c>
      <c r="C45" s="1"/>
      <c r="D45" s="1"/>
      <c r="N45" s="54"/>
      <c r="O45" s="363"/>
      <c r="P45" s="1"/>
      <c r="Q45" s="363"/>
      <c r="R45" s="363"/>
      <c r="S45" s="1"/>
      <c r="T45" s="1"/>
      <c r="U45" s="1"/>
      <c r="V45" s="1"/>
      <c r="W45" s="1"/>
      <c r="X45" s="1"/>
      <c r="Y45" s="1"/>
      <c r="Z45" s="1"/>
      <c r="AA45" s="1"/>
      <c r="AB45" s="1"/>
      <c r="AC45" s="1"/>
      <c r="AD45" s="1"/>
    </row>
    <row r="46" ht="18" spans="1:30">
      <c r="A46" s="813" t="s">
        <v>841</v>
      </c>
      <c r="B46" s="342">
        <f>B44/B45</f>
        <v>6.73045995496944</v>
      </c>
      <c r="C46" s="1"/>
      <c r="D46" s="1"/>
      <c r="N46" s="54"/>
      <c r="O46" s="363"/>
      <c r="P46" s="1"/>
      <c r="Q46" s="363"/>
      <c r="R46" s="363"/>
      <c r="S46" s="1"/>
      <c r="T46" s="1"/>
      <c r="U46" s="1"/>
      <c r="V46" s="1"/>
      <c r="W46" s="1"/>
      <c r="X46" s="1"/>
      <c r="Y46" s="1"/>
      <c r="Z46" s="1"/>
      <c r="AA46" s="1"/>
      <c r="AB46" s="1"/>
      <c r="AC46" s="1"/>
      <c r="AD46" s="1"/>
    </row>
    <row r="47" ht="18" spans="14:30">
      <c r="N47" s="54"/>
      <c r="O47" s="363"/>
      <c r="P47" s="1"/>
      <c r="Q47" s="363"/>
      <c r="R47" s="363"/>
      <c r="S47" s="1"/>
      <c r="T47" s="1"/>
      <c r="U47" s="1"/>
      <c r="V47" s="1"/>
      <c r="W47" s="1"/>
      <c r="X47" s="1"/>
      <c r="Y47" s="1"/>
      <c r="Z47" s="1"/>
      <c r="AA47" s="1"/>
      <c r="AB47" s="1"/>
      <c r="AC47" s="1"/>
      <c r="AD47" s="1"/>
    </row>
    <row r="48" ht="18" spans="14:30">
      <c r="N48" s="54"/>
      <c r="O48" s="363"/>
      <c r="P48" s="1"/>
      <c r="Q48" s="363"/>
      <c r="R48" s="363"/>
      <c r="S48" s="1"/>
      <c r="T48" s="1"/>
      <c r="U48" s="1"/>
      <c r="V48" s="1"/>
      <c r="W48" s="1"/>
      <c r="X48" s="1"/>
      <c r="Y48" s="1"/>
      <c r="Z48" s="1"/>
      <c r="AA48" s="1"/>
      <c r="AB48" s="1"/>
      <c r="AC48" s="1"/>
      <c r="AD48" s="1"/>
    </row>
    <row r="49" ht="18" spans="14:30">
      <c r="N49" s="54"/>
      <c r="O49" s="363"/>
      <c r="P49" s="1"/>
      <c r="Q49" s="363"/>
      <c r="R49" s="363"/>
      <c r="S49" s="1"/>
      <c r="T49" s="1"/>
      <c r="U49" s="1"/>
      <c r="V49" s="1"/>
      <c r="W49" s="1"/>
      <c r="X49" s="1"/>
      <c r="Y49" s="1"/>
      <c r="Z49" s="1"/>
      <c r="AA49" s="1"/>
      <c r="AB49" s="1"/>
      <c r="AC49" s="1"/>
      <c r="AD49" s="1"/>
    </row>
    <row r="50" ht="18" spans="14:30">
      <c r="N50" s="54"/>
      <c r="O50" s="363"/>
      <c r="P50" s="1"/>
      <c r="Q50" s="1" t="s">
        <v>842</v>
      </c>
      <c r="R50" s="1"/>
      <c r="S50" s="1"/>
      <c r="T50" s="1"/>
      <c r="U50" s="1"/>
      <c r="V50" s="1"/>
      <c r="W50" s="1"/>
      <c r="X50" s="1"/>
      <c r="Y50" s="1"/>
      <c r="Z50" s="1"/>
      <c r="AA50" s="1"/>
      <c r="AB50" s="1"/>
      <c r="AC50" s="1"/>
      <c r="AD50" s="1"/>
    </row>
    <row r="51" ht="18" spans="14:30">
      <c r="N51" s="54"/>
      <c r="O51" s="363"/>
      <c r="P51" s="1"/>
      <c r="Q51" s="365" t="s">
        <v>843</v>
      </c>
      <c r="R51" s="1"/>
      <c r="S51" s="1"/>
      <c r="T51" s="1"/>
      <c r="U51" s="1"/>
      <c r="V51" s="1"/>
      <c r="W51" s="1"/>
      <c r="X51" s="1"/>
      <c r="Y51" s="1"/>
      <c r="Z51" s="1"/>
      <c r="AA51" s="1"/>
      <c r="AB51" s="1"/>
      <c r="AC51" s="1"/>
      <c r="AD51" s="1"/>
    </row>
    <row r="52" ht="18" spans="14:30">
      <c r="N52" s="54"/>
      <c r="O52" s="363"/>
      <c r="P52" s="1"/>
      <c r="Q52" s="1" t="s">
        <v>844</v>
      </c>
      <c r="R52" s="1"/>
      <c r="S52" s="1"/>
      <c r="T52" s="1"/>
      <c r="U52" s="1"/>
      <c r="V52" s="1"/>
      <c r="W52" s="1"/>
      <c r="X52" s="1"/>
      <c r="Y52" s="1"/>
      <c r="Z52" s="1"/>
      <c r="AA52" s="1"/>
      <c r="AB52" s="1"/>
      <c r="AC52" s="1"/>
      <c r="AD52" s="1"/>
    </row>
    <row r="53" ht="18" spans="14:30">
      <c r="N53" s="54"/>
      <c r="O53" s="363"/>
      <c r="P53" s="1"/>
      <c r="Q53" s="1" t="s">
        <v>845</v>
      </c>
      <c r="R53" s="1"/>
      <c r="S53" s="1"/>
      <c r="T53" s="1"/>
      <c r="U53" s="1"/>
      <c r="V53" s="1"/>
      <c r="W53" s="1"/>
      <c r="X53" s="1"/>
      <c r="Y53" s="1"/>
      <c r="Z53" s="1"/>
      <c r="AA53" s="1"/>
      <c r="AB53" s="1"/>
      <c r="AC53" s="1"/>
      <c r="AD53" s="1"/>
    </row>
    <row r="54" ht="18" spans="14:30">
      <c r="N54" s="54"/>
      <c r="P54" s="1"/>
      <c r="Q54" s="1" t="s">
        <v>846</v>
      </c>
      <c r="R54" s="1"/>
      <c r="S54" s="1"/>
      <c r="T54" s="1"/>
      <c r="U54" s="1"/>
      <c r="V54" s="1"/>
      <c r="W54" s="1"/>
      <c r="X54" s="1"/>
      <c r="Y54" s="1"/>
      <c r="Z54" s="1"/>
      <c r="AA54" s="1"/>
      <c r="AB54" s="1"/>
      <c r="AC54" s="1"/>
      <c r="AD54" s="1"/>
    </row>
    <row r="55" ht="18" spans="16:30">
      <c r="P55" s="1"/>
      <c r="Q55" s="1" t="s">
        <v>847</v>
      </c>
      <c r="R55" s="1"/>
      <c r="S55" s="1"/>
      <c r="T55" s="1"/>
      <c r="U55" s="1"/>
      <c r="V55" s="1"/>
      <c r="W55" s="1"/>
      <c r="X55" s="1"/>
      <c r="Y55" s="1"/>
      <c r="Z55" s="1"/>
      <c r="AA55" s="1"/>
      <c r="AB55" s="1"/>
      <c r="AC55" s="1"/>
      <c r="AD55" s="1"/>
    </row>
    <row r="56" spans="17:17">
      <c r="Q56" s="366"/>
    </row>
  </sheetData>
  <mergeCells count="6">
    <mergeCell ref="A2:I2"/>
    <mergeCell ref="J10:M10"/>
    <mergeCell ref="A17:D17"/>
    <mergeCell ref="K17:L17"/>
    <mergeCell ref="G29:G30"/>
    <mergeCell ref="H29:H30"/>
  </mergeCells>
  <hyperlinks>
    <hyperlink ref="H29:H30" r:id="rId3" display="https://m.made-in-china.com/product/Lonkia-Turbo-Commercial-Mango-Peeler-High-Speed-Deskinning-2103944972.html?utm_source=chatgpt.com "/>
    <hyperlink ref="H28" r:id="rId4" display="https://www.alibaba.com/product-detail/NP-Brand-Food-Dehydrators-for-Sale_1601274819369.html?spm=a2706.7843667.0.0.7f6a549481sKM5 "/>
    <hyperlink ref="H31" r:id="rId5" display="Electronic Scales Full Electric Pallet Truck 3ton 3t Factory Price - Pallet Jack and Electric Pallet Truck"/>
    <hyperlink ref="H32" r:id="rId6" display="30&quot; x 72&quot; Stainless Steel Commercial Work Table"/>
    <hyperlink ref="H33" r:id="rId7" display="Plateau de rangement en acier inoxydable, plateau de stockage, plaque de fuite, trou, passoire à mailles, lavage des légumes, séchage du bassin, filtre à eau, couvercle du bassin, 304 - AliExpress 15"/>
    <hyperlink ref="H34" r:id="rId8" display="TFA Thermo-Hygrometer Comfort – Thomann France"/>
    <hyperlink ref="H35" r:id="rId9" display="Warehouse Industrial Plastic Stackable Storage Bins for Spare Parts Manufacturers &amp; Suppliers – Made-in-China.com"/>
    <hyperlink ref="H36" r:id="rId10" display="Machine À Emballer Automatique De Grains Robuste De 25kg Avec Système De Thermoscellage À Coudre Pour L'emballage De Boîtes De Sacs En Carton - Buy Paper Wrapping Machine glass Packaging Machine easy To Operate Packaging Machine chemical Packing Machine gearbox Sealing System automatic Grain Packaging carton Bag Packaging film Packaging Machine fully Automatic Packaging pet Packing Material pp Packaging Material Product on Alibaba.com"/>
    <hyperlink ref="H37" r:id="rId11" display="Réfractomètre de vigneron AT 32 | Brix Meter 0–32% | Réfractomètre de bière | avec ATC pour le brassage de la bière pour mesurer la teneur en sucre pour la production de vins de qualité : Amazon.fr: Cuisine et Maison"/>
  </hyperlinks>
  <pageMargins left="0.7" right="0.7" top="0.75" bottom="0.75" header="0.3" footer="0.3"/>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30"/>
  <sheetViews>
    <sheetView topLeftCell="B9" workbookViewId="0">
      <selection activeCell="B9" sqref="B9"/>
    </sheetView>
  </sheetViews>
  <sheetFormatPr defaultColWidth="9" defaultRowHeight="14.4"/>
  <cols>
    <col min="1" max="1" width="166.851851851852" customWidth="1"/>
    <col min="2" max="2" width="43.1388888888889" customWidth="1"/>
    <col min="3" max="3" width="59.287037037037" customWidth="1"/>
    <col min="4" max="4" width="44" customWidth="1"/>
    <col min="5" max="5" width="29.287037037037" customWidth="1"/>
    <col min="6" max="6" width="26.4259259259259" customWidth="1"/>
    <col min="7" max="7" width="32.1388888888889" customWidth="1"/>
    <col min="8" max="8" width="36.5740740740741" customWidth="1"/>
    <col min="9" max="10" width="25.8518518518519" customWidth="1"/>
    <col min="11" max="11" width="20.712962962963" customWidth="1"/>
    <col min="12" max="12" width="25.1388888888889" customWidth="1"/>
    <col min="13" max="13" width="20.712962962963" customWidth="1"/>
    <col min="14" max="14" width="30" customWidth="1"/>
    <col min="15" max="15" width="25.1388888888889" customWidth="1"/>
    <col min="16" max="16" width="29.287037037037" customWidth="1"/>
    <col min="17" max="17" width="29.5740740740741" customWidth="1"/>
    <col min="18" max="18" width="38.287037037037" customWidth="1"/>
    <col min="19" max="19" width="33.4259259259259" customWidth="1"/>
    <col min="20" max="20" width="33.5740740740741" customWidth="1"/>
    <col min="21" max="21" width="35.5740740740741" customWidth="1"/>
    <col min="22" max="22" width="36.5740740740741" customWidth="1"/>
    <col min="23" max="23" width="30" customWidth="1"/>
    <col min="24" max="24" width="23.712962962963" customWidth="1"/>
    <col min="25" max="25" width="23.4259259259259" customWidth="1"/>
    <col min="26" max="26" width="27.5740740740741" customWidth="1"/>
    <col min="27" max="27" width="30.712962962963" customWidth="1"/>
    <col min="28" max="28" width="31.287037037037" customWidth="1"/>
    <col min="29" max="29" width="30.712962962963" customWidth="1"/>
    <col min="30" max="30" width="34" customWidth="1"/>
    <col min="31" max="31" width="30.4259259259259" customWidth="1"/>
    <col min="32" max="32" width="29.4259259259259" customWidth="1"/>
    <col min="33" max="33" width="30.712962962963" customWidth="1"/>
    <col min="34" max="34" width="38.1388888888889" customWidth="1"/>
  </cols>
  <sheetData>
    <row r="1" ht="60" spans="1:26">
      <c r="A1" s="190" t="s">
        <v>848</v>
      </c>
      <c r="B1" s="190"/>
      <c r="C1" s="190"/>
      <c r="D1" s="190"/>
      <c r="E1" s="190"/>
      <c r="F1" s="190"/>
      <c r="G1" s="190"/>
      <c r="H1" s="190"/>
      <c r="I1" s="190"/>
      <c r="J1" s="190"/>
      <c r="K1" s="190"/>
      <c r="L1" s="190"/>
      <c r="M1" s="190"/>
      <c r="N1" s="190"/>
      <c r="O1" s="257"/>
      <c r="P1" s="257"/>
      <c r="Q1" s="257"/>
      <c r="R1" s="257"/>
      <c r="S1" s="257"/>
      <c r="T1" s="257"/>
      <c r="U1" s="257"/>
      <c r="V1" s="257"/>
      <c r="W1" s="257"/>
      <c r="X1" s="257"/>
      <c r="Y1" s="257"/>
      <c r="Z1" s="257"/>
    </row>
    <row r="2" spans="1:14">
      <c r="A2" s="191"/>
      <c r="B2" s="54"/>
      <c r="C2" s="54"/>
      <c r="D2" s="61"/>
      <c r="E2" s="54"/>
      <c r="F2" s="54"/>
      <c r="G2" s="54"/>
      <c r="H2" s="54"/>
      <c r="I2" s="54"/>
      <c r="J2" s="54"/>
      <c r="K2" s="54"/>
      <c r="L2" s="54"/>
      <c r="M2" s="54"/>
      <c r="N2" s="54"/>
    </row>
    <row r="3" ht="17.4" spans="1:14">
      <c r="A3" s="54"/>
      <c r="B3" s="54"/>
      <c r="C3" s="54"/>
      <c r="D3" s="192"/>
      <c r="E3" s="54"/>
      <c r="F3" s="54"/>
      <c r="G3" s="54"/>
      <c r="H3" s="54"/>
      <c r="I3" s="54"/>
      <c r="J3" s="54"/>
      <c r="K3" s="54"/>
      <c r="L3" s="54"/>
      <c r="M3" s="54"/>
      <c r="N3" s="54"/>
    </row>
    <row r="4" spans="1:14">
      <c r="A4" s="54"/>
      <c r="B4" s="54"/>
      <c r="C4" s="54"/>
      <c r="D4" s="54"/>
      <c r="E4" s="54"/>
      <c r="F4" s="54"/>
      <c r="G4" s="54"/>
      <c r="H4" s="54"/>
      <c r="I4" s="54"/>
      <c r="J4" s="54"/>
      <c r="K4" s="54"/>
      <c r="L4" s="54"/>
      <c r="M4" s="54"/>
      <c r="N4" s="54"/>
    </row>
    <row r="5" ht="18" spans="1:14">
      <c r="A5" s="54"/>
      <c r="B5" s="54"/>
      <c r="C5" s="54"/>
      <c r="D5" s="54"/>
      <c r="E5" s="54"/>
      <c r="F5" s="193"/>
      <c r="G5" s="54"/>
      <c r="H5" s="54"/>
      <c r="I5" s="54"/>
      <c r="J5" s="54"/>
      <c r="K5" s="258"/>
      <c r="L5" s="54"/>
      <c r="M5" s="54"/>
      <c r="N5" s="54"/>
    </row>
    <row r="6" spans="1:22">
      <c r="A6" s="54"/>
      <c r="B6" s="54"/>
      <c r="C6" s="54"/>
      <c r="D6" s="54"/>
      <c r="E6" s="54"/>
      <c r="F6" s="54"/>
      <c r="G6" s="54"/>
      <c r="H6" s="54"/>
      <c r="I6" s="54"/>
      <c r="J6" s="54"/>
      <c r="K6" s="259"/>
      <c r="L6" s="54"/>
      <c r="M6" s="54"/>
      <c r="N6" s="54"/>
      <c r="R6" s="34"/>
      <c r="S6" s="34"/>
      <c r="T6" s="34"/>
      <c r="U6" s="34"/>
      <c r="V6" s="270"/>
    </row>
    <row r="7" ht="30" customHeight="1" spans="1:22">
      <c r="A7" s="194" t="s">
        <v>849</v>
      </c>
      <c r="B7" s="194"/>
      <c r="C7" s="194"/>
      <c r="D7" s="194"/>
      <c r="E7" s="194"/>
      <c r="F7" s="194"/>
      <c r="G7" s="54"/>
      <c r="H7" s="54"/>
      <c r="I7" s="54"/>
      <c r="J7" s="54"/>
      <c r="K7" s="54"/>
      <c r="L7" s="54"/>
      <c r="M7" s="54"/>
      <c r="N7" s="54"/>
      <c r="R7" s="34"/>
      <c r="T7" s="34"/>
      <c r="U7" s="34"/>
      <c r="V7" s="23"/>
    </row>
    <row r="8" ht="30" customHeight="1" spans="1:22">
      <c r="A8" s="195" t="s">
        <v>850</v>
      </c>
      <c r="B8" s="196"/>
      <c r="C8" s="197" t="s">
        <v>851</v>
      </c>
      <c r="D8" s="197"/>
      <c r="E8" s="198" t="s">
        <v>852</v>
      </c>
      <c r="F8" s="199"/>
      <c r="G8" s="54"/>
      <c r="H8" s="54"/>
      <c r="I8" s="54"/>
      <c r="J8" s="54"/>
      <c r="K8" s="54"/>
      <c r="L8" s="54"/>
      <c r="M8" s="54"/>
      <c r="N8" s="54"/>
      <c r="T8" s="34"/>
      <c r="U8" s="34"/>
      <c r="V8" s="23"/>
    </row>
    <row r="9" ht="15" customHeight="1" spans="1:22">
      <c r="A9" s="200" t="s">
        <v>853</v>
      </c>
      <c r="B9" s="201">
        <f>SUM(B43:B48)</f>
        <v>8861</v>
      </c>
      <c r="C9" s="200" t="s">
        <v>854</v>
      </c>
      <c r="D9" s="202">
        <f>G108</f>
        <v>4800</v>
      </c>
      <c r="E9" s="203" t="s">
        <v>855</v>
      </c>
      <c r="F9" s="204" t="s">
        <v>856</v>
      </c>
      <c r="G9" s="54"/>
      <c r="H9" s="54"/>
      <c r="I9" s="54"/>
      <c r="J9" s="54"/>
      <c r="K9" s="54"/>
      <c r="L9" s="54"/>
      <c r="M9" s="54"/>
      <c r="N9" s="54"/>
      <c r="R9" s="34"/>
      <c r="T9" s="34"/>
      <c r="V9" s="23"/>
    </row>
    <row r="10" ht="18" spans="1:22">
      <c r="A10" s="200" t="s">
        <v>857</v>
      </c>
      <c r="B10" s="205">
        <f>B29*2</f>
        <v>5302</v>
      </c>
      <c r="C10" s="200" t="s">
        <v>858</v>
      </c>
      <c r="D10" s="206">
        <f>I108</f>
        <v>137</v>
      </c>
      <c r="E10" s="203" t="s">
        <v>859</v>
      </c>
      <c r="F10" s="204" t="s">
        <v>860</v>
      </c>
      <c r="G10" s="54"/>
      <c r="H10" s="54"/>
      <c r="I10" s="54"/>
      <c r="J10" s="54"/>
      <c r="K10" s="54"/>
      <c r="L10" s="54"/>
      <c r="M10" s="54"/>
      <c r="N10" s="54"/>
      <c r="T10" s="34"/>
      <c r="V10" s="23"/>
    </row>
    <row r="11" ht="21" customHeight="1" spans="1:22">
      <c r="A11" s="200" t="s">
        <v>861</v>
      </c>
      <c r="B11" s="205" cm="1">
        <f t="array" ref="B11">Tableau6[sensor_cost_per_dryer_€]*2</f>
        <v>152</v>
      </c>
      <c r="C11" s="200" t="s">
        <v>627</v>
      </c>
      <c r="D11" s="206">
        <v>46</v>
      </c>
      <c r="E11" s="203" t="s">
        <v>862</v>
      </c>
      <c r="F11" s="207">
        <v>48000</v>
      </c>
      <c r="G11" s="54"/>
      <c r="H11" s="208"/>
      <c r="I11" s="54"/>
      <c r="J11" s="54"/>
      <c r="K11" s="54"/>
      <c r="L11" s="54"/>
      <c r="M11" s="54"/>
      <c r="N11" s="54"/>
      <c r="T11" s="34"/>
      <c r="V11" s="23"/>
    </row>
    <row r="12" ht="16.5" customHeight="1" spans="1:24">
      <c r="A12" s="200" t="s">
        <v>863</v>
      </c>
      <c r="B12" s="205" cm="1">
        <f t="array" ref="B12">Tableau6[installation_cost_per_dryer_€]*2</f>
        <v>60</v>
      </c>
      <c r="C12" s="200" t="s">
        <v>864</v>
      </c>
      <c r="D12" s="209">
        <v>48</v>
      </c>
      <c r="E12" s="210" t="s">
        <v>865</v>
      </c>
      <c r="F12" s="211">
        <f>F11-D14</f>
        <v>42787</v>
      </c>
      <c r="G12" s="54"/>
      <c r="H12" s="54"/>
      <c r="I12" s="54"/>
      <c r="J12" s="54"/>
      <c r="K12" s="54"/>
      <c r="L12" s="54"/>
      <c r="M12" s="54"/>
      <c r="N12" s="54"/>
      <c r="T12" s="34"/>
      <c r="V12" s="23"/>
      <c r="X12" s="271"/>
    </row>
    <row r="13" ht="24" customHeight="1" spans="1:24">
      <c r="A13" s="200" t="s">
        <v>866</v>
      </c>
      <c r="B13" s="205">
        <v>227</v>
      </c>
      <c r="C13" s="200" t="s">
        <v>867</v>
      </c>
      <c r="D13" s="212">
        <v>182</v>
      </c>
      <c r="E13" s="203" t="s">
        <v>868</v>
      </c>
      <c r="F13" s="213">
        <v>2.93</v>
      </c>
      <c r="G13" s="54"/>
      <c r="H13" s="54"/>
      <c r="I13" s="54"/>
      <c r="J13" s="54"/>
      <c r="K13" s="54"/>
      <c r="L13" s="54"/>
      <c r="M13" s="54"/>
      <c r="N13" s="54"/>
      <c r="T13" s="34"/>
      <c r="V13" s="23"/>
      <c r="X13" s="271"/>
    </row>
    <row r="14" ht="18" spans="1:22">
      <c r="A14" s="214" t="s">
        <v>869</v>
      </c>
      <c r="B14" s="215">
        <f>SUM(B9:B13)</f>
        <v>14602</v>
      </c>
      <c r="C14" s="214" t="s">
        <v>870</v>
      </c>
      <c r="D14" s="216">
        <f>SUM(D9:D13)</f>
        <v>5213</v>
      </c>
      <c r="E14" s="217" t="s">
        <v>871</v>
      </c>
      <c r="F14" s="218">
        <v>8.21</v>
      </c>
      <c r="G14" s="54"/>
      <c r="H14" s="54"/>
      <c r="I14" s="54"/>
      <c r="J14" s="54"/>
      <c r="K14" s="54"/>
      <c r="L14" s="54"/>
      <c r="M14" s="54"/>
      <c r="N14" s="54"/>
      <c r="R14" s="34"/>
      <c r="U14" s="34"/>
      <c r="V14" s="23"/>
    </row>
    <row r="15" spans="1:22">
      <c r="A15" s="219"/>
      <c r="B15" s="219"/>
      <c r="C15" s="219"/>
      <c r="D15" s="220"/>
      <c r="E15" s="54"/>
      <c r="F15" s="54"/>
      <c r="G15" s="54"/>
      <c r="H15" s="54"/>
      <c r="I15" s="54"/>
      <c r="J15" s="54"/>
      <c r="K15" s="54"/>
      <c r="L15" s="54"/>
      <c r="M15" s="54"/>
      <c r="N15" s="54"/>
      <c r="T15" s="34"/>
      <c r="U15" s="34"/>
      <c r="V15" s="23"/>
    </row>
    <row r="16" spans="1:22">
      <c r="A16" s="219"/>
      <c r="B16" s="219"/>
      <c r="C16" s="219"/>
      <c r="D16" s="221"/>
      <c r="E16" s="54"/>
      <c r="F16" s="54"/>
      <c r="G16" s="54"/>
      <c r="H16" s="54"/>
      <c r="I16" s="54"/>
      <c r="J16" s="54"/>
      <c r="K16" s="54"/>
      <c r="L16" s="54"/>
      <c r="M16" s="54"/>
      <c r="N16" s="54"/>
      <c r="U16" s="34"/>
      <c r="V16" s="23"/>
    </row>
    <row r="17" spans="1:30">
      <c r="A17" s="54"/>
      <c r="B17" s="54"/>
      <c r="C17" s="54"/>
      <c r="D17" s="54"/>
      <c r="E17" s="54"/>
      <c r="F17" s="54"/>
      <c r="G17" s="54"/>
      <c r="H17" s="54"/>
      <c r="I17" s="54"/>
      <c r="J17" s="54"/>
      <c r="K17" s="54"/>
      <c r="L17" s="54"/>
      <c r="M17" s="54"/>
      <c r="N17" s="54"/>
      <c r="Q17" s="272"/>
      <c r="R17" s="273"/>
      <c r="S17" s="273"/>
      <c r="T17" s="273"/>
      <c r="U17" s="273"/>
      <c r="V17" s="273"/>
      <c r="W17" s="273"/>
      <c r="X17" s="273"/>
      <c r="Y17" s="273"/>
      <c r="Z17" s="273"/>
      <c r="AA17" s="273"/>
      <c r="AB17" s="273"/>
      <c r="AC17" s="273"/>
      <c r="AD17" s="273"/>
    </row>
    <row r="18" spans="1:30">
      <c r="A18" s="54"/>
      <c r="B18" s="54"/>
      <c r="C18" s="54"/>
      <c r="D18" s="54"/>
      <c r="E18" s="54"/>
      <c r="F18" s="54"/>
      <c r="G18" s="54"/>
      <c r="H18" s="54"/>
      <c r="I18" s="54"/>
      <c r="J18" s="54"/>
      <c r="K18" s="54"/>
      <c r="L18" s="54"/>
      <c r="M18" s="54"/>
      <c r="N18" s="54"/>
      <c r="Q18" s="273"/>
      <c r="R18" s="273"/>
      <c r="S18" s="273"/>
      <c r="T18" s="273"/>
      <c r="U18" s="273"/>
      <c r="V18" s="273"/>
      <c r="W18" s="273"/>
      <c r="X18" s="273"/>
      <c r="Y18" s="273"/>
      <c r="Z18" s="273"/>
      <c r="AA18" s="273"/>
      <c r="AB18" s="273"/>
      <c r="AC18" s="273"/>
      <c r="AD18" s="273"/>
    </row>
    <row r="19" ht="30" spans="1:30">
      <c r="A19" s="222" t="s">
        <v>872</v>
      </c>
      <c r="B19" s="222"/>
      <c r="C19" s="222"/>
      <c r="D19" s="223"/>
      <c r="E19" s="54"/>
      <c r="F19" s="54"/>
      <c r="G19" s="54"/>
      <c r="H19" s="54"/>
      <c r="I19" s="54"/>
      <c r="J19" s="54"/>
      <c r="K19" s="54"/>
      <c r="L19" s="54"/>
      <c r="M19" s="54"/>
      <c r="N19" s="54"/>
      <c r="Q19" s="273"/>
      <c r="R19" s="273"/>
      <c r="S19" s="273"/>
      <c r="T19" s="273"/>
      <c r="U19" s="273"/>
      <c r="V19" s="273"/>
      <c r="W19" s="273"/>
      <c r="X19" s="273"/>
      <c r="Y19" s="273"/>
      <c r="Z19" s="273"/>
      <c r="AA19" s="273"/>
      <c r="AB19" s="273"/>
      <c r="AC19" s="273"/>
      <c r="AD19" s="273"/>
    </row>
    <row r="20" ht="17.25" customHeight="1" spans="1:29">
      <c r="A20" s="224" t="s">
        <v>291</v>
      </c>
      <c r="B20" s="225" t="s">
        <v>281</v>
      </c>
      <c r="C20" s="225" t="s">
        <v>873</v>
      </c>
      <c r="D20" s="54"/>
      <c r="E20" s="54"/>
      <c r="F20" s="54"/>
      <c r="G20" s="54"/>
      <c r="H20" s="54"/>
      <c r="I20" s="54"/>
      <c r="J20" s="54"/>
      <c r="K20" s="54"/>
      <c r="L20" s="54"/>
      <c r="M20" s="54"/>
      <c r="O20" s="260"/>
      <c r="P20" s="261"/>
      <c r="Q20" s="261"/>
      <c r="R20" s="261"/>
      <c r="S20" s="261"/>
      <c r="T20" s="261"/>
      <c r="U20" s="261"/>
      <c r="V20" s="261"/>
      <c r="W20" s="261"/>
      <c r="X20" s="261"/>
      <c r="Y20" s="262"/>
      <c r="Z20" s="262"/>
      <c r="AA20" s="262"/>
      <c r="AB20" s="262"/>
      <c r="AC20" s="262"/>
    </row>
    <row r="21" ht="18" spans="1:29">
      <c r="A21" s="226" t="s">
        <v>874</v>
      </c>
      <c r="B21" s="227">
        <v>10000</v>
      </c>
      <c r="C21" s="227" t="s">
        <v>875</v>
      </c>
      <c r="D21" s="54"/>
      <c r="E21" s="54"/>
      <c r="F21" s="54"/>
      <c r="G21" s="54"/>
      <c r="H21" s="54"/>
      <c r="I21" s="54"/>
      <c r="J21" s="54"/>
      <c r="K21" s="54"/>
      <c r="L21" s="54"/>
      <c r="M21" s="54"/>
      <c r="O21" s="66"/>
      <c r="P21" s="262"/>
      <c r="Q21" s="262"/>
      <c r="R21" s="262"/>
      <c r="S21" s="262"/>
      <c r="T21" s="262"/>
      <c r="U21" s="262"/>
      <c r="V21" s="262"/>
      <c r="W21" s="262"/>
      <c r="X21" s="262"/>
      <c r="Y21" s="262"/>
      <c r="Z21" s="262"/>
      <c r="AA21" s="262"/>
      <c r="AB21" s="262"/>
      <c r="AC21" s="262"/>
    </row>
    <row r="22" ht="13.5" customHeight="1" spans="1:29">
      <c r="A22" s="226" t="s">
        <v>876</v>
      </c>
      <c r="B22" s="227">
        <v>0.8</v>
      </c>
      <c r="C22" s="227" t="s">
        <v>877</v>
      </c>
      <c r="D22" s="54"/>
      <c r="E22" s="54"/>
      <c r="F22" s="54"/>
      <c r="G22" s="54"/>
      <c r="H22" s="54"/>
      <c r="I22" s="54"/>
      <c r="J22" s="54"/>
      <c r="K22" s="54"/>
      <c r="L22" s="54"/>
      <c r="M22" s="54"/>
      <c r="O22" s="66"/>
      <c r="P22" s="262"/>
      <c r="Q22" s="262"/>
      <c r="R22" s="262"/>
      <c r="S22" s="262"/>
      <c r="T22" s="262"/>
      <c r="U22" s="262"/>
      <c r="V22" s="262"/>
      <c r="W22" s="262"/>
      <c r="X22" s="262"/>
      <c r="Y22" s="262"/>
      <c r="Z22" s="262"/>
      <c r="AA22" s="262"/>
      <c r="AB22" s="262"/>
      <c r="AC22" s="262"/>
    </row>
    <row r="23" ht="15.75" customHeight="1" spans="1:29">
      <c r="A23" s="226" t="s">
        <v>878</v>
      </c>
      <c r="B23" s="227">
        <v>4</v>
      </c>
      <c r="C23" s="227" t="s">
        <v>879</v>
      </c>
      <c r="D23" s="54"/>
      <c r="E23" s="54"/>
      <c r="F23" s="54"/>
      <c r="G23" s="54"/>
      <c r="H23" s="54"/>
      <c r="I23" s="54"/>
      <c r="J23" s="54"/>
      <c r="K23" s="54"/>
      <c r="L23" s="54"/>
      <c r="M23" s="54"/>
      <c r="O23" s="66"/>
      <c r="P23" s="263"/>
      <c r="Q23" s="263"/>
      <c r="R23" s="263"/>
      <c r="S23" s="263"/>
      <c r="T23" s="263"/>
      <c r="U23" s="263"/>
      <c r="V23" s="263"/>
      <c r="W23" s="263"/>
      <c r="X23" s="262"/>
      <c r="Y23" s="262"/>
      <c r="Z23" s="262"/>
      <c r="AA23" s="262"/>
      <c r="AB23" s="262"/>
      <c r="AC23" s="262"/>
    </row>
    <row r="24" ht="18" spans="1:29">
      <c r="A24" s="226" t="s">
        <v>880</v>
      </c>
      <c r="B24" s="227">
        <v>0.5</v>
      </c>
      <c r="C24" s="227" t="s">
        <v>881</v>
      </c>
      <c r="D24" s="54"/>
      <c r="E24" s="54"/>
      <c r="F24" s="54"/>
      <c r="G24" s="54"/>
      <c r="H24" s="54"/>
      <c r="I24" s="54"/>
      <c r="J24" s="54"/>
      <c r="K24" s="54"/>
      <c r="L24" s="54"/>
      <c r="M24" s="54"/>
      <c r="O24" s="66"/>
      <c r="P24" s="262"/>
      <c r="Q24" s="262"/>
      <c r="R24" s="262"/>
      <c r="S24" s="262"/>
      <c r="T24" s="262"/>
      <c r="U24" s="262"/>
      <c r="V24" s="262"/>
      <c r="W24" s="262"/>
      <c r="X24" s="262"/>
      <c r="Y24" s="262"/>
      <c r="Z24" s="262"/>
      <c r="AA24" s="262"/>
      <c r="AB24" s="262"/>
      <c r="AC24" s="262"/>
    </row>
    <row r="25" ht="18" spans="1:29">
      <c r="A25" s="226" t="s">
        <v>882</v>
      </c>
      <c r="B25" s="227">
        <v>30</v>
      </c>
      <c r="C25" s="227" t="s">
        <v>883</v>
      </c>
      <c r="D25" s="54"/>
      <c r="E25" s="54"/>
      <c r="F25" s="54"/>
      <c r="G25" s="54"/>
      <c r="H25" s="54"/>
      <c r="I25" s="54"/>
      <c r="J25" s="54"/>
      <c r="K25" s="54"/>
      <c r="L25" s="54"/>
      <c r="M25" s="54"/>
      <c r="O25" s="66"/>
      <c r="P25" s="262"/>
      <c r="Q25" s="262"/>
      <c r="R25" s="262"/>
      <c r="S25" s="262"/>
      <c r="T25" s="262"/>
      <c r="U25" s="262"/>
      <c r="V25" s="262"/>
      <c r="W25" s="262"/>
      <c r="X25" s="262"/>
      <c r="Y25" s="262"/>
      <c r="Z25" s="262"/>
      <c r="AA25" s="262"/>
      <c r="AB25" s="262"/>
      <c r="AC25" s="262"/>
    </row>
    <row r="26" ht="18" spans="1:29">
      <c r="A26" s="226" t="s">
        <v>884</v>
      </c>
      <c r="B26" s="227">
        <v>500</v>
      </c>
      <c r="C26" s="227" t="s">
        <v>885</v>
      </c>
      <c r="D26" s="54"/>
      <c r="E26" s="54"/>
      <c r="F26" s="54"/>
      <c r="G26" s="54"/>
      <c r="H26" s="54"/>
      <c r="I26" s="54"/>
      <c r="J26" s="54"/>
      <c r="K26" s="54"/>
      <c r="L26" s="54"/>
      <c r="M26" s="54"/>
      <c r="O26" s="66"/>
      <c r="P26" s="262"/>
      <c r="Q26" s="262"/>
      <c r="R26" s="262"/>
      <c r="S26" s="262"/>
      <c r="T26" s="262"/>
      <c r="U26" s="262"/>
      <c r="V26" s="262"/>
      <c r="W26" s="262"/>
      <c r="X26" s="262"/>
      <c r="Y26" s="262"/>
      <c r="Z26" s="262"/>
      <c r="AA26" s="262"/>
      <c r="AB26" s="262"/>
      <c r="AC26" s="262"/>
    </row>
    <row r="27" ht="18" spans="1:29">
      <c r="A27" s="226" t="s">
        <v>886</v>
      </c>
      <c r="B27" s="227">
        <v>120</v>
      </c>
      <c r="C27" s="227" t="s">
        <v>887</v>
      </c>
      <c r="D27" s="54"/>
      <c r="E27" s="54"/>
      <c r="F27" s="54"/>
      <c r="G27" s="54"/>
      <c r="H27" s="54"/>
      <c r="I27" s="54"/>
      <c r="J27" s="54"/>
      <c r="K27" s="54"/>
      <c r="L27" s="54"/>
      <c r="M27" s="54"/>
      <c r="O27" s="66"/>
      <c r="P27" s="262"/>
      <c r="Q27" s="262"/>
      <c r="R27" s="262"/>
      <c r="S27" s="262"/>
      <c r="T27" s="262"/>
      <c r="U27" s="262"/>
      <c r="V27" s="262"/>
      <c r="W27" s="262"/>
      <c r="X27" s="262"/>
      <c r="Y27" s="262"/>
      <c r="Z27" s="262"/>
      <c r="AA27" s="262"/>
      <c r="AB27" s="262"/>
      <c r="AC27" s="262"/>
    </row>
    <row r="28" ht="18" spans="1:29">
      <c r="A28" s="226" t="s">
        <v>888</v>
      </c>
      <c r="B28" s="227">
        <v>32</v>
      </c>
      <c r="C28" s="227" t="s">
        <v>889</v>
      </c>
      <c r="D28" s="54"/>
      <c r="E28" s="54"/>
      <c r="F28" s="54"/>
      <c r="G28" s="54"/>
      <c r="H28" s="54"/>
      <c r="I28" s="54"/>
      <c r="J28" s="54"/>
      <c r="K28" s="54"/>
      <c r="L28" s="54"/>
      <c r="M28" s="54"/>
      <c r="O28" s="66"/>
      <c r="P28" s="262"/>
      <c r="Q28" s="262"/>
      <c r="R28" s="262"/>
      <c r="S28" s="262"/>
      <c r="T28" s="262"/>
      <c r="U28" s="262"/>
      <c r="V28" s="262"/>
      <c r="W28" s="262"/>
      <c r="X28" s="262"/>
      <c r="Y28" s="262"/>
      <c r="Z28" s="262"/>
      <c r="AA28" s="262"/>
      <c r="AB28" s="262"/>
      <c r="AC28" s="262"/>
    </row>
    <row r="29" ht="18" spans="1:29">
      <c r="A29" s="226" t="s">
        <v>890</v>
      </c>
      <c r="B29" s="228">
        <v>2651</v>
      </c>
      <c r="C29" s="227" t="s">
        <v>481</v>
      </c>
      <c r="D29" s="54"/>
      <c r="E29" s="54"/>
      <c r="F29" s="54"/>
      <c r="G29" s="54"/>
      <c r="H29" s="54"/>
      <c r="I29" s="54"/>
      <c r="J29" s="54"/>
      <c r="K29" s="54"/>
      <c r="L29" s="54"/>
      <c r="M29" s="54"/>
      <c r="O29" s="66"/>
      <c r="P29" s="262"/>
      <c r="Q29" s="262"/>
      <c r="R29" s="262"/>
      <c r="S29" s="262"/>
      <c r="T29" s="262"/>
      <c r="U29" s="262"/>
      <c r="V29" s="262"/>
      <c r="W29" s="262"/>
      <c r="X29" s="262"/>
      <c r="Y29" s="262"/>
      <c r="Z29" s="262"/>
      <c r="AA29" s="262"/>
      <c r="AB29" s="262"/>
      <c r="AC29" s="262"/>
    </row>
    <row r="30" ht="15" customHeight="1" spans="1:24">
      <c r="A30" s="229" t="s">
        <v>891</v>
      </c>
      <c r="B30" s="230">
        <v>3</v>
      </c>
      <c r="C30" s="230" t="s">
        <v>883</v>
      </c>
      <c r="D30" s="54"/>
      <c r="E30" s="54"/>
      <c r="F30" s="54"/>
      <c r="G30" s="54"/>
      <c r="H30" s="54"/>
      <c r="I30" s="54"/>
      <c r="J30" s="54"/>
      <c r="K30" s="54"/>
      <c r="L30" s="54"/>
      <c r="M30" s="54"/>
      <c r="O30" s="66"/>
      <c r="P30" s="66"/>
      <c r="Q30" s="66"/>
      <c r="R30" s="66"/>
      <c r="S30" s="66"/>
      <c r="T30" s="66"/>
      <c r="U30" s="66"/>
      <c r="V30" s="66"/>
      <c r="W30" s="66"/>
      <c r="X30" s="66"/>
    </row>
    <row r="31" ht="15" customHeight="1" spans="1:25">
      <c r="A31" s="54"/>
      <c r="B31" s="54"/>
      <c r="C31" s="54"/>
      <c r="D31" s="54"/>
      <c r="E31" s="54"/>
      <c r="F31" s="54"/>
      <c r="G31" s="54"/>
      <c r="H31" s="54"/>
      <c r="I31" s="54"/>
      <c r="J31" s="54"/>
      <c r="K31" s="54"/>
      <c r="L31" s="54"/>
      <c r="M31" s="54"/>
      <c r="N31" s="54"/>
      <c r="P31" s="66"/>
      <c r="Q31" s="66"/>
      <c r="R31" s="66"/>
      <c r="S31" s="66"/>
      <c r="T31" s="66"/>
      <c r="U31" s="66"/>
      <c r="V31" s="66"/>
      <c r="W31" s="66"/>
      <c r="X31" s="66"/>
      <c r="Y31" s="66"/>
    </row>
    <row r="32" ht="15" customHeight="1" spans="1:25">
      <c r="A32" s="54"/>
      <c r="B32" s="54"/>
      <c r="C32" s="54"/>
      <c r="D32" s="54"/>
      <c r="E32" s="54"/>
      <c r="F32" s="54"/>
      <c r="G32" s="54"/>
      <c r="H32" s="54"/>
      <c r="I32" s="54"/>
      <c r="J32" s="54"/>
      <c r="K32" s="54"/>
      <c r="L32" s="54"/>
      <c r="M32" s="54"/>
      <c r="N32" s="54"/>
      <c r="P32" s="66"/>
      <c r="Q32" s="66"/>
      <c r="R32" s="66"/>
      <c r="S32" s="66"/>
      <c r="T32" s="66"/>
      <c r="U32" s="66"/>
      <c r="V32" s="66"/>
      <c r="W32" s="66"/>
      <c r="X32" s="66"/>
      <c r="Y32" s="66"/>
    </row>
    <row r="33" ht="18.75" customHeight="1" spans="1:25">
      <c r="A33" s="54"/>
      <c r="B33" s="54"/>
      <c r="C33" s="54"/>
      <c r="D33" s="54"/>
      <c r="E33" s="54"/>
      <c r="F33" s="54"/>
      <c r="G33" s="54"/>
      <c r="H33" s="54"/>
      <c r="I33" s="54"/>
      <c r="J33" s="54"/>
      <c r="K33" s="54"/>
      <c r="L33" s="54"/>
      <c r="M33" s="54"/>
      <c r="N33" s="54"/>
      <c r="P33" s="66"/>
      <c r="Q33" s="274"/>
      <c r="R33" s="274"/>
      <c r="S33" s="274"/>
      <c r="T33" s="274"/>
      <c r="U33" s="274"/>
      <c r="V33" s="274"/>
      <c r="W33" s="274"/>
      <c r="X33" s="274"/>
      <c r="Y33" s="274"/>
    </row>
    <row r="34" spans="1:25">
      <c r="A34" s="54"/>
      <c r="B34" s="54"/>
      <c r="C34" s="54"/>
      <c r="D34" s="54"/>
      <c r="E34" s="54"/>
      <c r="F34" s="54"/>
      <c r="G34" s="54"/>
      <c r="H34" s="54"/>
      <c r="I34" s="54"/>
      <c r="J34" s="54"/>
      <c r="K34" s="54"/>
      <c r="L34" s="54"/>
      <c r="M34" s="54"/>
      <c r="N34" s="54"/>
      <c r="P34" s="66"/>
      <c r="Q34" s="66"/>
      <c r="R34" s="66"/>
      <c r="S34" s="66"/>
      <c r="T34" s="66"/>
      <c r="U34" s="66"/>
      <c r="V34" s="66"/>
      <c r="W34" s="66"/>
      <c r="X34" s="66"/>
      <c r="Y34" s="66"/>
    </row>
    <row r="35" spans="1:14">
      <c r="A35" s="54"/>
      <c r="B35" s="54"/>
      <c r="C35" s="54"/>
      <c r="D35" s="54"/>
      <c r="E35" s="54"/>
      <c r="F35" s="54"/>
      <c r="G35" s="54"/>
      <c r="H35" s="54"/>
      <c r="I35" s="54"/>
      <c r="J35" s="54"/>
      <c r="K35" s="54"/>
      <c r="L35" s="54"/>
      <c r="M35" s="54"/>
      <c r="N35" s="54"/>
    </row>
    <row r="36" ht="17.4" spans="1:14">
      <c r="A36" s="231" t="s">
        <v>892</v>
      </c>
      <c r="B36" s="231"/>
      <c r="C36" s="231"/>
      <c r="D36" s="231"/>
      <c r="E36" s="231"/>
      <c r="F36" s="231"/>
      <c r="G36" s="231"/>
      <c r="H36" s="232"/>
      <c r="I36" s="54"/>
      <c r="J36" s="54"/>
      <c r="K36" s="54"/>
      <c r="L36" s="54"/>
      <c r="M36" s="54"/>
      <c r="N36" s="54"/>
    </row>
    <row r="37" ht="17.4" spans="1:14">
      <c r="A37" s="233" t="s">
        <v>893</v>
      </c>
      <c r="B37" s="234" t="s">
        <v>894</v>
      </c>
      <c r="C37" s="234" t="s">
        <v>895</v>
      </c>
      <c r="D37" s="234" t="s">
        <v>896</v>
      </c>
      <c r="E37" s="234" t="s">
        <v>897</v>
      </c>
      <c r="F37" s="234" t="s">
        <v>898</v>
      </c>
      <c r="G37" s="234" t="s">
        <v>899</v>
      </c>
      <c r="H37" s="192"/>
      <c r="I37" s="54"/>
      <c r="J37" s="54"/>
      <c r="K37" s="54"/>
      <c r="L37" s="54"/>
      <c r="M37" s="54"/>
      <c r="N37" s="54"/>
    </row>
    <row r="38" ht="18" spans="1:14">
      <c r="A38" s="235">
        <v>1.5</v>
      </c>
      <c r="B38" s="236">
        <v>76</v>
      </c>
      <c r="C38" s="236">
        <v>227</v>
      </c>
      <c r="D38" s="236">
        <v>2</v>
      </c>
      <c r="E38" s="236">
        <v>182</v>
      </c>
      <c r="F38" s="236">
        <v>30</v>
      </c>
      <c r="G38" s="236">
        <v>5</v>
      </c>
      <c r="H38" s="192"/>
      <c r="I38" s="54"/>
      <c r="J38" s="54"/>
      <c r="K38" s="54"/>
      <c r="L38" s="54"/>
      <c r="M38" s="54"/>
      <c r="N38" s="54"/>
    </row>
    <row r="39" ht="17.4" spans="1:14">
      <c r="A39" s="61"/>
      <c r="B39" s="232"/>
      <c r="C39" s="232"/>
      <c r="D39" s="232"/>
      <c r="E39" s="237"/>
      <c r="F39" s="238"/>
      <c r="G39" s="192"/>
      <c r="H39" s="192"/>
      <c r="I39" s="54"/>
      <c r="J39" s="54"/>
      <c r="K39" s="54"/>
      <c r="L39" s="54"/>
      <c r="M39" s="54"/>
      <c r="N39" s="54"/>
    </row>
    <row r="40" ht="17.4" spans="1:14">
      <c r="A40" s="61"/>
      <c r="B40" s="192"/>
      <c r="C40" s="192"/>
      <c r="D40" s="192"/>
      <c r="E40" s="192"/>
      <c r="F40" s="192"/>
      <c r="G40" s="192"/>
      <c r="H40" s="192"/>
      <c r="I40" s="54"/>
      <c r="J40" s="54"/>
      <c r="K40" s="54"/>
      <c r="L40" s="54"/>
      <c r="M40" s="54"/>
      <c r="N40" s="54"/>
    </row>
    <row r="41" ht="17.4" spans="1:14">
      <c r="A41" s="54"/>
      <c r="B41" s="192"/>
      <c r="C41" s="192"/>
      <c r="D41" s="192"/>
      <c r="E41" s="192"/>
      <c r="F41" s="192"/>
      <c r="G41" s="192"/>
      <c r="H41" s="192"/>
      <c r="I41" s="54"/>
      <c r="J41" s="54"/>
      <c r="K41" s="54"/>
      <c r="L41" s="54"/>
      <c r="M41" s="54"/>
      <c r="N41" s="54"/>
    </row>
    <row r="42" ht="17.4" spans="1:14">
      <c r="A42" s="239" t="s">
        <v>900</v>
      </c>
      <c r="B42" s="239" t="s">
        <v>901</v>
      </c>
      <c r="C42" s="192"/>
      <c r="D42" s="192"/>
      <c r="E42" s="192"/>
      <c r="F42" s="192"/>
      <c r="G42" s="192"/>
      <c r="H42" s="192"/>
      <c r="I42" s="54"/>
      <c r="J42" s="54"/>
      <c r="K42" s="54"/>
      <c r="L42" s="54"/>
      <c r="M42" s="54"/>
      <c r="N42" s="54"/>
    </row>
    <row r="43" ht="18" spans="1:14">
      <c r="A43" s="227" t="s">
        <v>902</v>
      </c>
      <c r="B43" s="227">
        <v>909</v>
      </c>
      <c r="C43" s="54"/>
      <c r="D43" s="54"/>
      <c r="E43" s="54"/>
      <c r="F43" s="54"/>
      <c r="G43" s="54"/>
      <c r="H43" s="54"/>
      <c r="I43" s="264"/>
      <c r="J43" s="264"/>
      <c r="K43" s="54"/>
      <c r="L43" s="265"/>
      <c r="M43" s="266"/>
      <c r="N43" s="266"/>
    </row>
    <row r="44" ht="18" spans="1:14">
      <c r="A44" s="227" t="s">
        <v>903</v>
      </c>
      <c r="B44" s="228">
        <v>1060</v>
      </c>
      <c r="C44" s="54"/>
      <c r="D44" s="54"/>
      <c r="E44" s="54"/>
      <c r="F44" s="54"/>
      <c r="G44" s="54"/>
      <c r="H44" s="54"/>
      <c r="I44" s="54"/>
      <c r="J44" s="54"/>
      <c r="K44" s="54"/>
      <c r="L44" s="54"/>
      <c r="M44" s="54"/>
      <c r="N44" s="54"/>
    </row>
    <row r="45" ht="15" customHeight="1" spans="1:14">
      <c r="A45" s="227" t="s">
        <v>904</v>
      </c>
      <c r="B45" s="228">
        <v>2271</v>
      </c>
      <c r="C45" s="54"/>
      <c r="D45" s="54"/>
      <c r="E45" s="54"/>
      <c r="F45" s="54"/>
      <c r="G45" s="54"/>
      <c r="H45" s="54"/>
      <c r="I45" s="54"/>
      <c r="J45" s="54"/>
      <c r="K45" s="54"/>
      <c r="L45" s="54"/>
      <c r="M45" s="54"/>
      <c r="N45" s="54"/>
    </row>
    <row r="46" ht="15" customHeight="1" spans="1:14">
      <c r="A46" s="227" t="s">
        <v>905</v>
      </c>
      <c r="B46" s="227">
        <v>758</v>
      </c>
      <c r="C46" s="232"/>
      <c r="D46" s="232"/>
      <c r="E46" s="232"/>
      <c r="F46" s="232"/>
      <c r="G46" s="232"/>
      <c r="H46" s="240"/>
      <c r="I46" s="267"/>
      <c r="J46" s="267"/>
      <c r="K46" s="54"/>
      <c r="L46" s="54"/>
      <c r="M46" s="54"/>
      <c r="N46" s="54"/>
    </row>
    <row r="47" ht="15" customHeight="1" spans="1:14">
      <c r="A47" s="227" t="s">
        <v>255</v>
      </c>
      <c r="B47" s="228">
        <v>2651</v>
      </c>
      <c r="C47" s="54"/>
      <c r="D47" s="54"/>
      <c r="E47" s="54"/>
      <c r="F47" s="54"/>
      <c r="G47" s="54"/>
      <c r="H47" s="54"/>
      <c r="I47" s="54"/>
      <c r="J47" s="54"/>
      <c r="K47" s="54"/>
      <c r="L47" s="54"/>
      <c r="M47" s="54"/>
      <c r="N47" s="54"/>
    </row>
    <row r="48" ht="18" spans="1:14">
      <c r="A48" s="227" t="s">
        <v>906</v>
      </c>
      <c r="B48" s="227">
        <v>1212</v>
      </c>
      <c r="C48" s="54"/>
      <c r="D48" s="54"/>
      <c r="E48" s="54"/>
      <c r="F48" s="54"/>
      <c r="G48" s="54"/>
      <c r="H48" s="54"/>
      <c r="I48" s="54"/>
      <c r="J48" s="54"/>
      <c r="K48" s="54"/>
      <c r="L48" s="54"/>
      <c r="M48" s="54"/>
      <c r="N48" s="54"/>
    </row>
    <row r="49" ht="18" spans="1:14">
      <c r="A49" s="241" t="s">
        <v>240</v>
      </c>
      <c r="B49" s="242">
        <f>SUM(B43:B48)</f>
        <v>8861</v>
      </c>
      <c r="C49" s="54"/>
      <c r="D49" s="54"/>
      <c r="E49" s="54"/>
      <c r="F49" s="54"/>
      <c r="G49" s="54"/>
      <c r="H49" s="54"/>
      <c r="I49" s="54"/>
      <c r="J49" s="54"/>
      <c r="K49" s="54"/>
      <c r="L49" s="54"/>
      <c r="M49" s="54"/>
      <c r="N49" s="54"/>
    </row>
    <row r="50" ht="15" customHeight="1" spans="1:14">
      <c r="A50" s="54"/>
      <c r="B50" s="54"/>
      <c r="C50" s="54"/>
      <c r="D50" s="54"/>
      <c r="E50" s="54"/>
      <c r="F50" s="54"/>
      <c r="G50" s="54"/>
      <c r="H50" s="54"/>
      <c r="I50" s="54"/>
      <c r="J50" s="54"/>
      <c r="K50" s="54"/>
      <c r="L50" s="54"/>
      <c r="M50" s="54"/>
      <c r="N50" s="54"/>
    </row>
    <row r="51" ht="15" customHeight="1" spans="1:14">
      <c r="A51" s="54"/>
      <c r="B51" s="54"/>
      <c r="C51" s="54"/>
      <c r="D51" s="54"/>
      <c r="E51" s="54"/>
      <c r="F51" s="54"/>
      <c r="G51" s="54"/>
      <c r="H51" s="54"/>
      <c r="I51" s="54"/>
      <c r="J51" s="54"/>
      <c r="K51" s="54"/>
      <c r="L51" s="54"/>
      <c r="M51" s="54"/>
      <c r="N51" s="54"/>
    </row>
    <row r="52" ht="15" customHeight="1" spans="1:15">
      <c r="A52" s="54"/>
      <c r="B52" s="54"/>
      <c r="C52" s="54"/>
      <c r="D52" s="54"/>
      <c r="E52" s="54"/>
      <c r="F52" s="54"/>
      <c r="G52" s="54"/>
      <c r="H52" s="54"/>
      <c r="I52" s="54"/>
      <c r="J52" s="54"/>
      <c r="K52" s="54"/>
      <c r="L52" s="54"/>
      <c r="M52" s="54"/>
      <c r="N52" s="54"/>
      <c r="O52" s="261"/>
    </row>
    <row r="53" spans="1:15">
      <c r="A53" s="54"/>
      <c r="B53" s="54"/>
      <c r="C53" s="54"/>
      <c r="D53" s="54"/>
      <c r="E53" s="54"/>
      <c r="F53" s="54"/>
      <c r="G53" s="54"/>
      <c r="H53" s="54"/>
      <c r="I53" s="54"/>
      <c r="J53" s="54"/>
      <c r="K53" s="54"/>
      <c r="L53" s="54"/>
      <c r="M53" s="54"/>
      <c r="N53" s="54"/>
      <c r="O53" s="268"/>
    </row>
    <row r="54" ht="15" customHeight="1" spans="1:15">
      <c r="A54" s="243" t="s">
        <v>907</v>
      </c>
      <c r="B54" s="243"/>
      <c r="C54" s="243"/>
      <c r="D54" s="243"/>
      <c r="E54" s="244"/>
      <c r="F54" s="54"/>
      <c r="G54" s="54"/>
      <c r="H54" s="54"/>
      <c r="I54" s="54"/>
      <c r="J54" s="54"/>
      <c r="K54" s="54"/>
      <c r="L54" s="54"/>
      <c r="M54" s="54"/>
      <c r="N54" s="54"/>
      <c r="O54" s="269"/>
    </row>
    <row r="55" ht="15" customHeight="1" spans="1:15">
      <c r="A55" s="243"/>
      <c r="B55" s="243"/>
      <c r="C55" s="243"/>
      <c r="D55" s="243"/>
      <c r="E55" s="223"/>
      <c r="F55" s="54"/>
      <c r="G55" s="54"/>
      <c r="H55" s="54"/>
      <c r="I55" s="54"/>
      <c r="J55" s="54"/>
      <c r="K55" s="54"/>
      <c r="L55" s="54"/>
      <c r="M55" s="54"/>
      <c r="N55" s="54"/>
      <c r="O55" s="269"/>
    </row>
    <row r="56" ht="17.4" spans="1:15">
      <c r="A56" s="245" t="s">
        <v>908</v>
      </c>
      <c r="B56" s="245" t="s">
        <v>909</v>
      </c>
      <c r="C56" s="246" t="s">
        <v>910</v>
      </c>
      <c r="D56" s="246"/>
      <c r="E56" s="247"/>
      <c r="F56" s="54"/>
      <c r="G56" s="54"/>
      <c r="H56" s="54"/>
      <c r="I56" s="54"/>
      <c r="J56" s="54"/>
      <c r="K56" s="54"/>
      <c r="L56" s="54"/>
      <c r="M56" s="54"/>
      <c r="N56" s="54"/>
      <c r="O56" s="269"/>
    </row>
    <row r="57" ht="18" spans="1:15">
      <c r="A57" s="245" t="s">
        <v>91</v>
      </c>
      <c r="B57" s="245" t="s">
        <v>91</v>
      </c>
      <c r="C57" s="248" t="s">
        <v>911</v>
      </c>
      <c r="D57" s="248" t="s">
        <v>912</v>
      </c>
      <c r="E57" s="247"/>
      <c r="F57" s="54"/>
      <c r="G57" s="54"/>
      <c r="H57" s="54"/>
      <c r="I57" s="54"/>
      <c r="J57" s="54"/>
      <c r="K57" s="54"/>
      <c r="L57" s="54"/>
      <c r="M57" s="54"/>
      <c r="N57" s="54"/>
      <c r="O57" s="269"/>
    </row>
    <row r="58" ht="18.75" customHeight="1" spans="1:15">
      <c r="A58" s="249" t="s">
        <v>913</v>
      </c>
      <c r="B58" s="250" t="s">
        <v>914</v>
      </c>
      <c r="C58" s="248">
        <v>91.67</v>
      </c>
      <c r="D58" s="248">
        <v>100</v>
      </c>
      <c r="E58" s="251"/>
      <c r="F58" s="54"/>
      <c r="G58" s="54"/>
      <c r="H58" s="54"/>
      <c r="I58" s="54"/>
      <c r="J58" s="54"/>
      <c r="K58" s="54"/>
      <c r="L58" s="54"/>
      <c r="M58" s="54"/>
      <c r="N58" s="54"/>
      <c r="O58" s="269"/>
    </row>
    <row r="59" ht="18.75" customHeight="1" spans="1:15">
      <c r="A59" s="252"/>
      <c r="B59" s="253" t="s">
        <v>915</v>
      </c>
      <c r="C59" s="253">
        <v>8.33</v>
      </c>
      <c r="D59" s="248">
        <v>0</v>
      </c>
      <c r="E59" s="251"/>
      <c r="F59" s="54"/>
      <c r="G59" s="54"/>
      <c r="H59" s="54"/>
      <c r="I59" s="54"/>
      <c r="J59" s="54"/>
      <c r="K59" s="54"/>
      <c r="L59" s="54"/>
      <c r="M59" s="54"/>
      <c r="N59" s="54"/>
      <c r="O59" s="269"/>
    </row>
    <row r="60" ht="15" customHeight="1" spans="1:14">
      <c r="A60" s="254" t="s">
        <v>916</v>
      </c>
      <c r="B60" s="255" t="s">
        <v>917</v>
      </c>
      <c r="C60" s="248">
        <v>10.83</v>
      </c>
      <c r="D60" s="248" t="s">
        <v>91</v>
      </c>
      <c r="E60" s="251"/>
      <c r="F60" s="54"/>
      <c r="G60" s="54"/>
      <c r="H60" s="54"/>
      <c r="I60" s="54"/>
      <c r="J60" s="54"/>
      <c r="K60" s="54"/>
      <c r="L60" s="54"/>
      <c r="M60" s="54"/>
      <c r="N60" s="54"/>
    </row>
    <row r="61" ht="15" customHeight="1" spans="1:14">
      <c r="A61" s="254"/>
      <c r="B61" s="255" t="s">
        <v>918</v>
      </c>
      <c r="C61" s="248" t="s">
        <v>919</v>
      </c>
      <c r="D61" s="248" t="s">
        <v>91</v>
      </c>
      <c r="E61" s="251"/>
      <c r="F61" s="54"/>
      <c r="G61" s="54"/>
      <c r="H61" s="54"/>
      <c r="I61" s="54"/>
      <c r="J61" s="54"/>
      <c r="K61" s="54"/>
      <c r="L61" s="54"/>
      <c r="M61" s="54"/>
      <c r="N61" s="54"/>
    </row>
    <row r="62" ht="15" customHeight="1" spans="1:14">
      <c r="A62" s="254"/>
      <c r="B62" s="255" t="s">
        <v>920</v>
      </c>
      <c r="C62" s="248">
        <v>53.61</v>
      </c>
      <c r="D62" s="248" t="s">
        <v>91</v>
      </c>
      <c r="E62" s="251"/>
      <c r="F62" s="54"/>
      <c r="G62" s="54"/>
      <c r="H62" s="54"/>
      <c r="I62" s="54"/>
      <c r="J62" s="54"/>
      <c r="K62" s="54"/>
      <c r="L62" s="54"/>
      <c r="M62" s="54"/>
      <c r="N62" s="54"/>
    </row>
    <row r="63" ht="15" customHeight="1" spans="1:14">
      <c r="A63" s="254"/>
      <c r="B63" s="255" t="s">
        <v>921</v>
      </c>
      <c r="C63" s="248">
        <v>18.33</v>
      </c>
      <c r="D63" s="248" t="s">
        <v>91</v>
      </c>
      <c r="E63" s="251"/>
      <c r="F63" s="54"/>
      <c r="G63" s="54"/>
      <c r="H63" s="54"/>
      <c r="I63" s="54"/>
      <c r="J63" s="54"/>
      <c r="K63" s="54"/>
      <c r="L63" s="54"/>
      <c r="M63" s="54"/>
      <c r="N63" s="54"/>
    </row>
    <row r="64" ht="18" spans="1:14">
      <c r="A64" s="254"/>
      <c r="B64" s="256" t="s">
        <v>922</v>
      </c>
      <c r="C64" s="248">
        <v>8.89</v>
      </c>
      <c r="D64" s="248" t="s">
        <v>91</v>
      </c>
      <c r="E64" s="251"/>
      <c r="F64" s="54"/>
      <c r="G64" s="54"/>
      <c r="H64" s="54"/>
      <c r="I64" s="54"/>
      <c r="J64" s="54"/>
      <c r="K64" s="54"/>
      <c r="L64" s="54"/>
      <c r="M64" s="54"/>
      <c r="N64" s="54"/>
    </row>
    <row r="65" ht="18" spans="1:14">
      <c r="A65" s="249" t="s">
        <v>923</v>
      </c>
      <c r="B65" s="248" t="s">
        <v>924</v>
      </c>
      <c r="C65" s="248" t="s">
        <v>91</v>
      </c>
      <c r="D65" s="253" t="s">
        <v>925</v>
      </c>
      <c r="E65" s="251"/>
      <c r="F65" s="54"/>
      <c r="G65" s="54"/>
      <c r="H65" s="54"/>
      <c r="I65" s="54"/>
      <c r="J65" s="54"/>
      <c r="K65" s="54"/>
      <c r="L65" s="54"/>
      <c r="M65" s="54"/>
      <c r="N65" s="54"/>
    </row>
    <row r="66" ht="18" spans="1:14">
      <c r="A66" s="275"/>
      <c r="B66" s="248" t="s">
        <v>926</v>
      </c>
      <c r="C66" s="248">
        <v>4.17</v>
      </c>
      <c r="D66" s="253" t="s">
        <v>927</v>
      </c>
      <c r="E66" s="251"/>
      <c r="F66" s="54"/>
      <c r="G66" s="54"/>
      <c r="H66" s="54"/>
      <c r="I66" s="54"/>
      <c r="J66" s="54"/>
      <c r="K66" s="54"/>
      <c r="L66" s="54"/>
      <c r="M66" s="54"/>
      <c r="N66" s="54"/>
    </row>
    <row r="67" ht="18" spans="1:14">
      <c r="A67" s="275"/>
      <c r="B67" s="248" t="s">
        <v>928</v>
      </c>
      <c r="C67" s="248" t="s">
        <v>91</v>
      </c>
      <c r="D67" s="253" t="s">
        <v>929</v>
      </c>
      <c r="E67" s="251"/>
      <c r="F67" s="54"/>
      <c r="G67" s="54"/>
      <c r="H67" s="54"/>
      <c r="I67" s="54"/>
      <c r="J67" s="54"/>
      <c r="K67" s="54"/>
      <c r="L67" s="54"/>
      <c r="M67" s="54"/>
      <c r="N67" s="54"/>
    </row>
    <row r="68" ht="18" spans="1:15">
      <c r="A68" s="275"/>
      <c r="B68" s="276" t="s">
        <v>930</v>
      </c>
      <c r="C68" s="276" t="s">
        <v>931</v>
      </c>
      <c r="D68" s="253" t="s">
        <v>927</v>
      </c>
      <c r="E68" s="251"/>
      <c r="F68" s="54"/>
      <c r="G68" s="54"/>
      <c r="H68" s="54"/>
      <c r="I68" s="54"/>
      <c r="J68" s="54"/>
      <c r="K68" s="54"/>
      <c r="L68" s="54"/>
      <c r="M68" s="54"/>
      <c r="N68" s="54"/>
      <c r="O68" s="268"/>
    </row>
    <row r="69" ht="14.25" customHeight="1" spans="1:15">
      <c r="A69" s="252"/>
      <c r="B69" s="276" t="s">
        <v>932</v>
      </c>
      <c r="C69" s="253" t="s">
        <v>933</v>
      </c>
      <c r="D69" s="814" t="s">
        <v>91</v>
      </c>
      <c r="E69" s="251"/>
      <c r="F69" s="54"/>
      <c r="G69" s="54"/>
      <c r="H69" s="54"/>
      <c r="I69" s="54"/>
      <c r="J69" s="54"/>
      <c r="K69" s="54"/>
      <c r="L69" s="54"/>
      <c r="M69" s="54"/>
      <c r="N69" s="54"/>
      <c r="O69" s="269"/>
    </row>
    <row r="70" ht="18" spans="1:15">
      <c r="A70" s="249" t="s">
        <v>934</v>
      </c>
      <c r="B70" s="253" t="s">
        <v>935</v>
      </c>
      <c r="C70" s="253" t="s">
        <v>936</v>
      </c>
      <c r="D70" s="253" t="s">
        <v>937</v>
      </c>
      <c r="E70" s="251"/>
      <c r="F70" s="54"/>
      <c r="G70" s="54"/>
      <c r="H70" s="54"/>
      <c r="I70" s="54"/>
      <c r="J70" s="54"/>
      <c r="K70" s="54"/>
      <c r="L70" s="54"/>
      <c r="M70" s="54"/>
      <c r="N70" s="54"/>
      <c r="O70" s="269"/>
    </row>
    <row r="71" ht="18" spans="1:14">
      <c r="A71" s="275"/>
      <c r="B71" s="253" t="s">
        <v>938</v>
      </c>
      <c r="C71" s="253" t="s">
        <v>939</v>
      </c>
      <c r="D71" s="253" t="s">
        <v>940</v>
      </c>
      <c r="E71" s="251"/>
      <c r="F71" s="54"/>
      <c r="G71" s="54"/>
      <c r="H71" s="54"/>
      <c r="I71" s="54"/>
      <c r="J71" s="54"/>
      <c r="K71" s="54"/>
      <c r="L71" s="54"/>
      <c r="M71" s="54"/>
      <c r="N71" s="54"/>
    </row>
    <row r="72" ht="18" spans="1:14">
      <c r="A72" s="275"/>
      <c r="B72" s="253" t="s">
        <v>941</v>
      </c>
      <c r="C72" s="253" t="s">
        <v>942</v>
      </c>
      <c r="D72" s="253" t="s">
        <v>925</v>
      </c>
      <c r="E72" s="251"/>
      <c r="F72" s="54"/>
      <c r="G72" s="54"/>
      <c r="H72" s="54"/>
      <c r="I72" s="54"/>
      <c r="J72" s="54"/>
      <c r="K72" s="54"/>
      <c r="L72" s="54"/>
      <c r="M72" s="54"/>
      <c r="N72" s="54"/>
    </row>
    <row r="73" ht="18" spans="1:14">
      <c r="A73" s="252"/>
      <c r="B73" s="253" t="s">
        <v>943</v>
      </c>
      <c r="C73" s="253" t="s">
        <v>939</v>
      </c>
      <c r="D73" s="253" t="s">
        <v>927</v>
      </c>
      <c r="E73" s="251"/>
      <c r="F73" s="54"/>
      <c r="G73" s="54"/>
      <c r="H73" s="54"/>
      <c r="I73" s="54"/>
      <c r="J73" s="54"/>
      <c r="K73" s="54"/>
      <c r="L73" s="54"/>
      <c r="M73" s="54"/>
      <c r="N73" s="54"/>
    </row>
    <row r="74" spans="1:14">
      <c r="A74" s="54"/>
      <c r="B74" s="54"/>
      <c r="C74" s="54"/>
      <c r="D74" s="54"/>
      <c r="E74" s="54"/>
      <c r="F74" s="54"/>
      <c r="G74" s="54"/>
      <c r="H74" s="54"/>
      <c r="I74" s="54"/>
      <c r="J74" s="54"/>
      <c r="K74" s="54"/>
      <c r="L74" s="54"/>
      <c r="M74" s="54"/>
      <c r="N74" s="54"/>
    </row>
    <row r="75" ht="15.75" customHeight="1" spans="1:14">
      <c r="A75" s="54"/>
      <c r="B75" s="54"/>
      <c r="C75" s="54"/>
      <c r="D75" s="54"/>
      <c r="E75" s="54"/>
      <c r="F75" s="54"/>
      <c r="G75" s="54"/>
      <c r="H75" s="54"/>
      <c r="I75" s="54"/>
      <c r="J75" s="54"/>
      <c r="K75" s="54"/>
      <c r="L75" s="54"/>
      <c r="M75" s="54"/>
      <c r="N75" s="54"/>
    </row>
    <row r="76" spans="1:14">
      <c r="A76" s="54"/>
      <c r="B76" s="54"/>
      <c r="C76" s="54"/>
      <c r="D76" s="54"/>
      <c r="E76" s="54"/>
      <c r="F76" s="54"/>
      <c r="G76" s="54"/>
      <c r="H76" s="54"/>
      <c r="I76" s="54"/>
      <c r="J76" s="54"/>
      <c r="K76" s="54"/>
      <c r="L76" s="54"/>
      <c r="M76" s="54"/>
      <c r="N76" s="54"/>
    </row>
    <row r="77" spans="1:14">
      <c r="A77" s="54"/>
      <c r="B77" s="54"/>
      <c r="C77" s="54"/>
      <c r="D77" s="54"/>
      <c r="E77" s="54"/>
      <c r="F77" s="54"/>
      <c r="G77" s="54"/>
      <c r="H77" s="54"/>
      <c r="I77" s="54"/>
      <c r="J77" s="54"/>
      <c r="K77" s="54"/>
      <c r="L77" s="54"/>
      <c r="M77" s="54"/>
      <c r="N77" s="54"/>
    </row>
    <row r="78" spans="1:14">
      <c r="A78" s="54"/>
      <c r="B78" s="54"/>
      <c r="C78" s="54"/>
      <c r="D78" s="54"/>
      <c r="E78" s="54"/>
      <c r="F78" s="54"/>
      <c r="G78" s="54"/>
      <c r="H78" s="54"/>
      <c r="I78" s="54"/>
      <c r="J78" s="54"/>
      <c r="K78" s="54"/>
      <c r="L78" s="54"/>
      <c r="M78" s="54"/>
      <c r="N78" s="54"/>
    </row>
    <row r="79" ht="7.5" customHeight="1" spans="1:15">
      <c r="A79" s="54"/>
      <c r="B79" s="54"/>
      <c r="C79" s="54"/>
      <c r="D79" s="54"/>
      <c r="E79" s="54"/>
      <c r="F79" s="54"/>
      <c r="G79" s="54"/>
      <c r="H79" s="54"/>
      <c r="I79" s="54"/>
      <c r="J79" s="54"/>
      <c r="K79" s="54"/>
      <c r="L79" s="54"/>
      <c r="M79" s="54"/>
      <c r="N79" s="54"/>
      <c r="O79" s="66"/>
    </row>
    <row r="80" ht="44.25" customHeight="1" spans="1:15">
      <c r="A80" s="277" t="s">
        <v>944</v>
      </c>
      <c r="B80" s="277"/>
      <c r="C80" s="277"/>
      <c r="D80" s="277"/>
      <c r="E80" s="277"/>
      <c r="F80" s="277"/>
      <c r="G80" s="277"/>
      <c r="H80" s="277"/>
      <c r="I80" s="277"/>
      <c r="J80" s="277"/>
      <c r="K80" s="277"/>
      <c r="L80" s="277"/>
      <c r="M80" s="277"/>
      <c r="N80" s="277"/>
      <c r="O80" s="297"/>
    </row>
    <row r="81" ht="12" customHeight="1" spans="1:15">
      <c r="A81" s="278"/>
      <c r="B81" s="278"/>
      <c r="C81" s="278"/>
      <c r="D81" s="278"/>
      <c r="E81" s="278"/>
      <c r="F81" s="278"/>
      <c r="G81" s="278"/>
      <c r="H81" s="278"/>
      <c r="I81" s="278"/>
      <c r="J81" s="278"/>
      <c r="K81" s="278"/>
      <c r="L81" s="278"/>
      <c r="M81" s="278"/>
      <c r="N81" s="278"/>
      <c r="O81" s="297"/>
    </row>
    <row r="82" ht="17.25" customHeight="1" spans="1:14">
      <c r="A82" s="278"/>
      <c r="B82" s="278"/>
      <c r="C82" s="278"/>
      <c r="D82" s="278"/>
      <c r="E82" s="278"/>
      <c r="F82" s="278"/>
      <c r="G82" s="278"/>
      <c r="H82" s="278"/>
      <c r="I82" s="278"/>
      <c r="J82" s="278"/>
      <c r="K82" s="278"/>
      <c r="L82" s="278"/>
      <c r="M82" s="278"/>
      <c r="N82" s="278"/>
    </row>
    <row r="83" spans="1:14">
      <c r="A83" s="54"/>
      <c r="B83" s="54"/>
      <c r="C83" s="54"/>
      <c r="D83" s="54"/>
      <c r="E83" s="54"/>
      <c r="F83" s="54"/>
      <c r="G83" s="54"/>
      <c r="H83" s="54"/>
      <c r="I83" s="54"/>
      <c r="J83" s="54"/>
      <c r="K83" s="54"/>
      <c r="L83" s="54"/>
      <c r="M83" s="54"/>
      <c r="N83" s="54"/>
    </row>
    <row r="84" spans="1:14">
      <c r="A84" s="54"/>
      <c r="B84" s="54"/>
      <c r="C84" s="54"/>
      <c r="D84" s="54"/>
      <c r="E84" s="54"/>
      <c r="F84" s="54"/>
      <c r="G84" s="54"/>
      <c r="H84" s="54"/>
      <c r="I84" s="54"/>
      <c r="J84" s="54"/>
      <c r="K84" s="54"/>
      <c r="L84" s="54"/>
      <c r="M84" s="54"/>
      <c r="N84" s="54"/>
    </row>
    <row r="85" ht="18" spans="1:14">
      <c r="A85" s="279" t="s">
        <v>945</v>
      </c>
      <c r="B85" s="279" t="s">
        <v>946</v>
      </c>
      <c r="C85" s="279" t="s">
        <v>947</v>
      </c>
      <c r="D85" s="279" t="s">
        <v>948</v>
      </c>
      <c r="E85" s="279" t="s">
        <v>949</v>
      </c>
      <c r="F85" s="279" t="s">
        <v>950</v>
      </c>
      <c r="G85" s="280" t="s">
        <v>951</v>
      </c>
      <c r="H85" s="54"/>
      <c r="I85" s="267"/>
      <c r="J85" s="54"/>
      <c r="K85" s="54"/>
      <c r="L85" s="54"/>
      <c r="M85" s="54"/>
      <c r="N85" s="54"/>
    </row>
    <row r="86" ht="18" spans="1:14">
      <c r="A86" s="281">
        <v>2</v>
      </c>
      <c r="B86" s="281">
        <v>31</v>
      </c>
      <c r="C86" s="282">
        <v>938</v>
      </c>
      <c r="D86" s="282">
        <v>86</v>
      </c>
      <c r="E86" s="282">
        <v>3</v>
      </c>
      <c r="F86" s="281">
        <v>1</v>
      </c>
      <c r="G86" s="283">
        <f>Table173[[#This Row],[Weekly_revenue_avg_€]]-Table173[[#This Row],[Weekly_prod_cost_avg_€]]-Table173[[#This Row],[Weekly_energy_avg_€]]-Table173[[#This Row],[Weekly_maintenance_avg_€]]</f>
        <v>848</v>
      </c>
      <c r="H86" s="54"/>
      <c r="I86" s="267"/>
      <c r="J86" s="54"/>
      <c r="K86" s="54"/>
      <c r="L86" s="54"/>
      <c r="M86" s="54"/>
      <c r="N86" s="54"/>
    </row>
    <row r="87" ht="30" spans="1:14">
      <c r="A87" s="61"/>
      <c r="B87" s="267"/>
      <c r="C87" s="267"/>
      <c r="D87" s="267"/>
      <c r="E87" s="267"/>
      <c r="F87" s="267"/>
      <c r="G87" s="267"/>
      <c r="H87" s="267"/>
      <c r="I87" s="267"/>
      <c r="J87" s="261"/>
      <c r="K87" s="261"/>
      <c r="L87" s="261"/>
      <c r="M87" s="261"/>
      <c r="N87" s="261"/>
    </row>
    <row r="88" spans="1:14">
      <c r="A88" s="54"/>
      <c r="B88" s="232"/>
      <c r="C88" s="232"/>
      <c r="D88" s="232"/>
      <c r="E88" s="232"/>
      <c r="F88" s="232"/>
      <c r="G88" s="232"/>
      <c r="H88" s="232"/>
      <c r="I88" s="232"/>
      <c r="J88" s="232"/>
      <c r="K88" s="232"/>
      <c r="L88" s="232"/>
      <c r="M88" s="232"/>
      <c r="N88" s="232"/>
    </row>
    <row r="89" spans="1:14">
      <c r="A89" s="54"/>
      <c r="B89" s="54"/>
      <c r="C89" s="54"/>
      <c r="D89" s="54"/>
      <c r="E89" s="54"/>
      <c r="F89" s="54"/>
      <c r="G89" s="54"/>
      <c r="H89" s="54"/>
      <c r="I89" s="54"/>
      <c r="J89" s="54"/>
      <c r="K89" s="54"/>
      <c r="L89" s="54"/>
      <c r="M89" s="54"/>
      <c r="N89" s="54"/>
    </row>
    <row r="90" ht="67.5" customHeight="1" spans="1:14">
      <c r="A90" s="284" t="s">
        <v>952</v>
      </c>
      <c r="B90" s="284"/>
      <c r="C90" s="284"/>
      <c r="D90" s="284"/>
      <c r="E90" s="284"/>
      <c r="F90" s="284"/>
      <c r="G90" s="284"/>
      <c r="H90" s="284"/>
      <c r="I90" s="284"/>
      <c r="J90" s="284"/>
      <c r="K90" s="284"/>
      <c r="L90" s="284"/>
      <c r="M90" s="284"/>
      <c r="N90" s="284"/>
    </row>
    <row r="91" ht="11.25" customHeight="1" spans="1:14">
      <c r="A91" s="278"/>
      <c r="B91" s="278"/>
      <c r="C91" s="278"/>
      <c r="D91" s="278"/>
      <c r="E91" s="278"/>
      <c r="F91" s="278"/>
      <c r="G91" s="278"/>
      <c r="H91" s="278"/>
      <c r="I91" s="278"/>
      <c r="J91" s="278"/>
      <c r="K91" s="278"/>
      <c r="L91" s="278"/>
      <c r="M91" s="278"/>
      <c r="N91" s="278"/>
    </row>
    <row r="92" ht="9" customHeight="1" spans="1:14">
      <c r="A92" s="278"/>
      <c r="B92" s="278"/>
      <c r="C92" s="278"/>
      <c r="D92" s="278"/>
      <c r="E92" s="278"/>
      <c r="F92" s="278"/>
      <c r="G92" s="278"/>
      <c r="H92" s="278"/>
      <c r="I92" s="278"/>
      <c r="J92" s="278"/>
      <c r="K92" s="278"/>
      <c r="L92" s="278"/>
      <c r="M92" s="278"/>
      <c r="N92" s="278"/>
    </row>
    <row r="93" spans="1:14">
      <c r="A93" s="54"/>
      <c r="B93" s="54"/>
      <c r="C93" s="54"/>
      <c r="D93" s="54"/>
      <c r="E93" s="54"/>
      <c r="F93" s="54"/>
      <c r="G93" s="54"/>
      <c r="H93" s="54"/>
      <c r="I93" s="54"/>
      <c r="J93" s="54"/>
      <c r="K93" s="54"/>
      <c r="L93" s="54"/>
      <c r="M93" s="54"/>
      <c r="N93" s="54"/>
    </row>
    <row r="94" spans="1:14">
      <c r="A94" s="54"/>
      <c r="B94" s="54"/>
      <c r="C94" s="54"/>
      <c r="D94" s="54"/>
      <c r="E94" s="54"/>
      <c r="F94" s="54"/>
      <c r="G94" s="54"/>
      <c r="H94" s="54"/>
      <c r="I94" s="54"/>
      <c r="J94" s="54"/>
      <c r="K94" s="54"/>
      <c r="L94" s="54"/>
      <c r="M94" s="54"/>
      <c r="N94" s="54"/>
    </row>
    <row r="95" ht="18" spans="1:14">
      <c r="A95" s="285" t="s">
        <v>945</v>
      </c>
      <c r="B95" s="286" t="s">
        <v>953</v>
      </c>
      <c r="C95" s="287" t="s">
        <v>954</v>
      </c>
      <c r="D95" s="286" t="s">
        <v>955</v>
      </c>
      <c r="E95" s="286" t="s">
        <v>956</v>
      </c>
      <c r="F95" s="286" t="s">
        <v>957</v>
      </c>
      <c r="G95" s="288" t="s">
        <v>958</v>
      </c>
      <c r="H95" s="54"/>
      <c r="I95" s="267"/>
      <c r="J95" s="54"/>
      <c r="K95" s="54"/>
      <c r="L95" s="54"/>
      <c r="M95" s="54"/>
      <c r="N95" s="54"/>
    </row>
    <row r="96" ht="18" spans="1:14">
      <c r="A96" s="281">
        <v>2</v>
      </c>
      <c r="B96" s="281">
        <v>133</v>
      </c>
      <c r="C96" s="282">
        <v>4066</v>
      </c>
      <c r="D96" s="282">
        <v>370</v>
      </c>
      <c r="E96" s="282">
        <v>12</v>
      </c>
      <c r="F96" s="289">
        <v>4</v>
      </c>
      <c r="G96" s="283">
        <f>Table1736[[#This Row],[Monthly_revenue_avg_€]]-Table1736[[#This Row],[Monthly_prod_cost_avg_€]]-Table1736[[#This Row],[Monthly_energy_avg_€]]-Table1736[[#This Row],[Monthly_maintenance_avg_€]]</f>
        <v>3680</v>
      </c>
      <c r="H96" s="54"/>
      <c r="I96" s="298"/>
      <c r="J96" s="54"/>
      <c r="K96" s="54"/>
      <c r="L96" s="54"/>
      <c r="M96" s="54"/>
      <c r="N96" s="54"/>
    </row>
    <row r="97" spans="1:14">
      <c r="A97" s="54"/>
      <c r="B97" s="267"/>
      <c r="C97" s="267"/>
      <c r="D97" s="267"/>
      <c r="E97" s="267"/>
      <c r="F97" s="267"/>
      <c r="G97" s="267"/>
      <c r="H97" s="267"/>
      <c r="I97" s="267"/>
      <c r="J97" s="299"/>
      <c r="K97" s="299"/>
      <c r="L97" s="299"/>
      <c r="M97" s="299"/>
      <c r="N97" s="299"/>
    </row>
    <row r="98" spans="1:14">
      <c r="A98" s="54"/>
      <c r="B98" s="267"/>
      <c r="C98" s="267"/>
      <c r="D98" s="267"/>
      <c r="E98" s="267"/>
      <c r="F98" s="267"/>
      <c r="G98" s="267"/>
      <c r="H98" s="267"/>
      <c r="I98" s="267"/>
      <c r="J98" s="232"/>
      <c r="K98" s="232"/>
      <c r="L98" s="232"/>
      <c r="M98" s="232"/>
      <c r="N98" s="232"/>
    </row>
    <row r="99" spans="1:14">
      <c r="A99" s="54"/>
      <c r="B99" s="267"/>
      <c r="C99" s="267"/>
      <c r="D99" s="267"/>
      <c r="E99" s="267"/>
      <c r="F99" s="267"/>
      <c r="G99" s="267"/>
      <c r="H99" s="267"/>
      <c r="I99" s="267"/>
      <c r="J99" s="232"/>
      <c r="K99" s="232"/>
      <c r="L99" s="232"/>
      <c r="M99" s="232"/>
      <c r="N99" s="232"/>
    </row>
    <row r="100" spans="1:14">
      <c r="A100" s="54"/>
      <c r="B100" s="54"/>
      <c r="C100" s="54"/>
      <c r="D100" s="54"/>
      <c r="E100" s="54"/>
      <c r="F100" s="54"/>
      <c r="G100" s="54"/>
      <c r="H100" s="54"/>
      <c r="I100" s="54"/>
      <c r="J100" s="54"/>
      <c r="K100" s="54"/>
      <c r="L100" s="54"/>
      <c r="M100" s="54"/>
      <c r="N100" s="54"/>
    </row>
    <row r="101" spans="1:14">
      <c r="A101" s="54"/>
      <c r="B101" s="54"/>
      <c r="C101" s="54"/>
      <c r="D101" s="54"/>
      <c r="E101" s="54"/>
      <c r="F101" s="54"/>
      <c r="G101" s="54"/>
      <c r="H101" s="54"/>
      <c r="I101" s="54"/>
      <c r="J101" s="54"/>
      <c r="K101" s="54"/>
      <c r="L101" s="54"/>
      <c r="M101" s="54"/>
      <c r="N101" s="54"/>
    </row>
    <row r="102" spans="1:14">
      <c r="A102" s="54"/>
      <c r="B102" s="54"/>
      <c r="C102" s="54"/>
      <c r="D102" s="54"/>
      <c r="E102" s="54"/>
      <c r="F102" s="54"/>
      <c r="G102" s="54"/>
      <c r="H102" s="54"/>
      <c r="I102" s="54"/>
      <c r="J102" s="54"/>
      <c r="K102" s="54"/>
      <c r="L102" s="54"/>
      <c r="M102" s="54"/>
      <c r="N102" s="54"/>
    </row>
    <row r="103" hidden="1" spans="1:14">
      <c r="A103" s="54"/>
      <c r="B103" s="54"/>
      <c r="C103" s="54"/>
      <c r="D103" s="54"/>
      <c r="E103" s="54"/>
      <c r="F103" s="54"/>
      <c r="G103" s="54"/>
      <c r="H103" s="54"/>
      <c r="I103" s="54"/>
      <c r="J103" s="54"/>
      <c r="K103" s="54"/>
      <c r="L103" s="54"/>
      <c r="M103" s="54"/>
      <c r="N103" s="54"/>
    </row>
    <row r="104" ht="48" customHeight="1" spans="1:14">
      <c r="A104" s="290" t="s">
        <v>959</v>
      </c>
      <c r="B104" s="290"/>
      <c r="C104" s="290"/>
      <c r="D104" s="290"/>
      <c r="E104" s="290"/>
      <c r="F104" s="290"/>
      <c r="G104" s="290"/>
      <c r="H104" s="290"/>
      <c r="I104" s="290"/>
      <c r="J104" s="290"/>
      <c r="K104" s="290"/>
      <c r="L104" s="290"/>
      <c r="M104" s="290"/>
      <c r="N104" s="290"/>
    </row>
    <row r="105" spans="1:14">
      <c r="A105" s="54"/>
      <c r="B105" s="54"/>
      <c r="C105" s="54"/>
      <c r="D105" s="54"/>
      <c r="E105" s="54"/>
      <c r="F105" s="54"/>
      <c r="G105" s="54"/>
      <c r="H105" s="54"/>
      <c r="I105" s="54"/>
      <c r="J105" s="54"/>
      <c r="K105" s="54"/>
      <c r="L105" s="54"/>
      <c r="M105" s="54"/>
      <c r="N105" s="54"/>
    </row>
    <row r="106" spans="1:14">
      <c r="A106" s="54"/>
      <c r="B106" s="54"/>
      <c r="C106" s="54"/>
      <c r="D106" s="54"/>
      <c r="E106" s="54"/>
      <c r="F106" s="54"/>
      <c r="G106" s="54"/>
      <c r="H106" s="54"/>
      <c r="I106" s="54"/>
      <c r="J106" s="54"/>
      <c r="K106" s="54"/>
      <c r="L106" s="54"/>
      <c r="M106" s="54"/>
      <c r="N106" s="54"/>
    </row>
    <row r="107" ht="17.4" spans="1:14">
      <c r="A107" s="224" t="s">
        <v>945</v>
      </c>
      <c r="B107" s="225" t="s">
        <v>960</v>
      </c>
      <c r="C107" s="225" t="s">
        <v>961</v>
      </c>
      <c r="D107" s="225" t="s">
        <v>962</v>
      </c>
      <c r="E107" s="225" t="s">
        <v>963</v>
      </c>
      <c r="F107" s="225" t="s">
        <v>964</v>
      </c>
      <c r="G107" s="225" t="s">
        <v>965</v>
      </c>
      <c r="H107" s="225" t="s">
        <v>966</v>
      </c>
      <c r="I107" s="225" t="s">
        <v>967</v>
      </c>
      <c r="J107" s="225" t="s">
        <v>968</v>
      </c>
      <c r="K107" s="225" t="s">
        <v>969</v>
      </c>
      <c r="L107" s="225" t="s">
        <v>970</v>
      </c>
      <c r="M107" s="300" t="s">
        <v>971</v>
      </c>
      <c r="N107" s="301" t="s">
        <v>972</v>
      </c>
    </row>
    <row r="108" ht="18" spans="1:14">
      <c r="A108" s="226">
        <v>2</v>
      </c>
      <c r="B108" s="227">
        <v>1</v>
      </c>
      <c r="C108" s="227">
        <f>B21*B22*Tableau210[[#This Row],[Scenario_ha]]</f>
        <v>16000</v>
      </c>
      <c r="D108" s="227">
        <f>Tableau210[[#This Row],[Usable_fresh_kg]]*0.1</f>
        <v>1600</v>
      </c>
      <c r="E108" s="227">
        <f>Tableau210[[#This Row],[Dried_kg]]*B25</f>
        <v>48000</v>
      </c>
      <c r="F108" s="227">
        <v>3</v>
      </c>
      <c r="G108" s="227">
        <f>Tableau210[[#This Row],[Unit_cost_€_per_kg]]*Tableau210[[#This Row],[Dried_kg]]</f>
        <v>4800</v>
      </c>
      <c r="H108" s="227">
        <v>16</v>
      </c>
      <c r="I108" s="227">
        <v>137</v>
      </c>
      <c r="J108" s="227">
        <v>46</v>
      </c>
      <c r="K108" s="227">
        <f>Tableau210[[#This Row],[Yearly_dried_mango_cost_€]]+Tableau210[[#This Row],[Export_price_€]]</f>
        <v>52800</v>
      </c>
      <c r="L108" s="227">
        <f>Tableau210[[#This Row],[Yearly_dried_mango_cost_€]]-Tableau210[[#This Row],[Energy_cost_€]]-Tableau210[[#This Row],[Maintenance_€]]</f>
        <v>4617</v>
      </c>
      <c r="M108" s="302">
        <v>4.61</v>
      </c>
      <c r="N108" s="302">
        <v>2</v>
      </c>
    </row>
    <row r="109" ht="18" spans="1:14">
      <c r="A109" s="226">
        <v>2</v>
      </c>
      <c r="B109" s="227">
        <v>2</v>
      </c>
      <c r="C109" s="227">
        <f>B21*B22*Tableau210[[#This Row],[Scenario_ha]]</f>
        <v>16000</v>
      </c>
      <c r="D109" s="227">
        <f>Tableau210[[#This Row],[Usable_fresh_kg]]*0.1</f>
        <v>1600</v>
      </c>
      <c r="E109" s="227">
        <f>Tableau210[[#This Row],[Dried_kg]]*B25</f>
        <v>48000</v>
      </c>
      <c r="F109" s="227">
        <v>3</v>
      </c>
      <c r="G109" s="227">
        <f>Tableau210[[#This Row],[Unit_cost_€_per_kg]]*Tableau210[[#This Row],[Dried_kg]]</f>
        <v>4800</v>
      </c>
      <c r="H109" s="227">
        <v>16</v>
      </c>
      <c r="I109" s="227">
        <v>137</v>
      </c>
      <c r="J109" s="227">
        <v>46</v>
      </c>
      <c r="K109" s="227">
        <f>Tableau210[[#This Row],[Yearly_dried_mango_cost_€]]+Tableau210[[#This Row],[Export_price_€]]</f>
        <v>52800</v>
      </c>
      <c r="L109" s="227">
        <f>Tableau210[[#This Row],[Yearly_dried_mango_cost_€]]-Tableau210[[#This Row],[Energy_cost_€]]-Tableau210[[#This Row],[Maintenance_€]]</f>
        <v>4617</v>
      </c>
      <c r="M109" s="302">
        <v>4.67</v>
      </c>
      <c r="N109" s="302">
        <v>2</v>
      </c>
    </row>
    <row r="110" ht="18" spans="1:14">
      <c r="A110" s="226">
        <v>2</v>
      </c>
      <c r="B110" s="227">
        <v>3</v>
      </c>
      <c r="C110" s="227">
        <f>B21*B22*Tableau210[[#This Row],[Scenario_ha]]</f>
        <v>16000</v>
      </c>
      <c r="D110" s="227">
        <f>Tableau210[[#This Row],[Usable_fresh_kg]]*0.1</f>
        <v>1600</v>
      </c>
      <c r="E110" s="227">
        <f>Tableau210[[#This Row],[Dried_kg]]*B25</f>
        <v>48000</v>
      </c>
      <c r="F110" s="227">
        <v>3</v>
      </c>
      <c r="G110" s="227">
        <f>Tableau210[[#This Row],[Unit_cost_€_per_kg]]*Tableau210[[#This Row],[Dried_kg]]</f>
        <v>4800</v>
      </c>
      <c r="H110" s="227">
        <v>16</v>
      </c>
      <c r="I110" s="227">
        <v>137</v>
      </c>
      <c r="J110" s="227">
        <v>46</v>
      </c>
      <c r="K110" s="227">
        <f>Tableau210[[#This Row],[Yearly_dried_mango_cost_€]]+Tableau210[[#This Row],[Export_price_€]]</f>
        <v>52800</v>
      </c>
      <c r="L110" s="227">
        <f>Tableau210[[#This Row],[Yearly_dried_mango_cost_€]]-Tableau210[[#This Row],[Energy_cost_€]]-Tableau210[[#This Row],[Maintenance_€]]</f>
        <v>4617</v>
      </c>
      <c r="M110" s="227">
        <v>4.73</v>
      </c>
      <c r="N110" s="302">
        <v>2</v>
      </c>
    </row>
    <row r="111" ht="18" spans="1:14">
      <c r="A111" s="226">
        <v>2</v>
      </c>
      <c r="B111" s="227">
        <v>4</v>
      </c>
      <c r="C111" s="227">
        <f>B21*B22*Tableau210[[#This Row],[Scenario_ha]]</f>
        <v>16000</v>
      </c>
      <c r="D111" s="227">
        <f>Tableau210[[#This Row],[Usable_fresh_kg]]*0.1</f>
        <v>1600</v>
      </c>
      <c r="E111" s="227">
        <f>Tableau210[[#This Row],[Dried_kg]]*B25</f>
        <v>48000</v>
      </c>
      <c r="F111" s="227">
        <v>3</v>
      </c>
      <c r="G111" s="227">
        <f>Tableau210[[#This Row],[Unit_cost_€_per_kg]]*Tableau210[[#This Row],[Dried_kg]]</f>
        <v>4800</v>
      </c>
      <c r="H111" s="227">
        <v>16</v>
      </c>
      <c r="I111" s="227">
        <v>137</v>
      </c>
      <c r="J111" s="227">
        <v>46</v>
      </c>
      <c r="K111" s="227">
        <f>Tableau210[[#This Row],[Yearly_dried_mango_cost_€]]+Tableau210[[#This Row],[Export_price_€]]</f>
        <v>52800</v>
      </c>
      <c r="L111" s="227">
        <f>Tableau210[[#This Row],[Yearly_dried_mango_cost_€]]-Tableau210[[#This Row],[Energy_cost_€]]-Tableau210[[#This Row],[Maintenance_€]]</f>
        <v>4617</v>
      </c>
      <c r="M111" s="227">
        <v>4.79</v>
      </c>
      <c r="N111" s="302">
        <v>2</v>
      </c>
    </row>
    <row r="112" ht="18" spans="1:14">
      <c r="A112" s="226">
        <v>2</v>
      </c>
      <c r="B112" s="227">
        <v>5</v>
      </c>
      <c r="C112" s="227">
        <f>B21*B22*Tableau210[[#This Row],[Scenario_ha]]</f>
        <v>16000</v>
      </c>
      <c r="D112" s="227">
        <f>Tableau210[[#This Row],[Usable_fresh_kg]]*0.1</f>
        <v>1600</v>
      </c>
      <c r="E112" s="227">
        <f>Tableau210[[#This Row],[Dried_kg]]*B25</f>
        <v>48000</v>
      </c>
      <c r="F112" s="227">
        <v>3</v>
      </c>
      <c r="G112" s="227">
        <f>Tableau210[[#This Row],[Unit_cost_€_per_kg]]*Tableau210[[#This Row],[Dried_kg]]</f>
        <v>4800</v>
      </c>
      <c r="H112" s="227">
        <v>16</v>
      </c>
      <c r="I112" s="227">
        <v>137</v>
      </c>
      <c r="J112" s="227">
        <v>46</v>
      </c>
      <c r="K112" s="227">
        <f>Tableau210[[#This Row],[Yearly_dried_mango_cost_€]]+Tableau210[[#This Row],[Export_price_€]]</f>
        <v>52800</v>
      </c>
      <c r="L112" s="227">
        <f>Tableau210[[#This Row],[Yearly_dried_mango_cost_€]]-Tableau210[[#This Row],[Energy_cost_€]]-Tableau210[[#This Row],[Maintenance_€]]</f>
        <v>4617</v>
      </c>
      <c r="M112" s="227">
        <v>4.86</v>
      </c>
      <c r="N112" s="302">
        <v>2</v>
      </c>
    </row>
    <row r="113" ht="18" spans="1:14">
      <c r="A113" s="226">
        <v>2</v>
      </c>
      <c r="B113" s="227">
        <v>6</v>
      </c>
      <c r="C113" s="227">
        <f>B21*B22*Tableau210[[#This Row],[Scenario_ha]]</f>
        <v>16000</v>
      </c>
      <c r="D113" s="227">
        <f>Tableau210[[#This Row],[Usable_fresh_kg]]*0.1</f>
        <v>1600</v>
      </c>
      <c r="E113" s="227">
        <f>Tableau210[[#This Row],[Dried_kg]]*B25</f>
        <v>48000</v>
      </c>
      <c r="F113" s="227">
        <v>3</v>
      </c>
      <c r="G113" s="227">
        <f>Tableau210[[#This Row],[Unit_cost_€_per_kg]]*Tableau210[[#This Row],[Dried_kg]]</f>
        <v>4800</v>
      </c>
      <c r="H113" s="227">
        <v>16</v>
      </c>
      <c r="I113" s="227">
        <v>137</v>
      </c>
      <c r="J113" s="227">
        <v>46</v>
      </c>
      <c r="K113" s="227">
        <f>Tableau210[[#This Row],[Yearly_dried_mango_cost_€]]+Tableau210[[#This Row],[Export_price_€]]</f>
        <v>52800</v>
      </c>
      <c r="L113" s="227">
        <f>Tableau210[[#This Row],[Yearly_dried_mango_cost_€]]-Tableau210[[#This Row],[Energy_cost_€]]-Tableau210[[#This Row],[Maintenance_€]]</f>
        <v>4617</v>
      </c>
      <c r="M113" s="227">
        <v>4.92</v>
      </c>
      <c r="N113" s="302">
        <v>2</v>
      </c>
    </row>
    <row r="114" ht="18" spans="1:14">
      <c r="A114" s="226">
        <v>2</v>
      </c>
      <c r="B114" s="227">
        <v>7</v>
      </c>
      <c r="C114" s="227">
        <f>B21*B22*Tableau210[[#This Row],[Scenario_ha]]</f>
        <v>16000</v>
      </c>
      <c r="D114" s="227">
        <f>Tableau210[[#This Row],[Usable_fresh_kg]]*0.1</f>
        <v>1600</v>
      </c>
      <c r="E114" s="227">
        <f>Tableau210[[#This Row],[Dried_kg]]*B25</f>
        <v>48000</v>
      </c>
      <c r="F114" s="227">
        <v>3</v>
      </c>
      <c r="G114" s="227">
        <f>Tableau210[[#This Row],[Unit_cost_€_per_kg]]*Tableau210[[#This Row],[Dried_kg]]</f>
        <v>4800</v>
      </c>
      <c r="H114" s="227">
        <v>16</v>
      </c>
      <c r="I114" s="227">
        <v>137</v>
      </c>
      <c r="J114" s="227">
        <v>46</v>
      </c>
      <c r="K114" s="227">
        <f>Tableau210[[#This Row],[Yearly_dried_mango_cost_€]]+Tableau210[[#This Row],[Export_price_€]]</f>
        <v>52800</v>
      </c>
      <c r="L114" s="227">
        <f>Tableau210[[#This Row],[Yearly_dried_mango_cost_€]]-Tableau210[[#This Row],[Energy_cost_€]]-Tableau210[[#This Row],[Maintenance_€]]</f>
        <v>4617</v>
      </c>
      <c r="M114" s="227">
        <v>4.98</v>
      </c>
      <c r="N114" s="302">
        <v>2</v>
      </c>
    </row>
    <row r="115" ht="18" spans="1:14">
      <c r="A115" s="226">
        <v>2</v>
      </c>
      <c r="B115" s="227">
        <v>8</v>
      </c>
      <c r="C115" s="227">
        <f>B21*B22*Tableau210[[#This Row],[Scenario_ha]]</f>
        <v>16000</v>
      </c>
      <c r="D115" s="227">
        <f>Tableau210[[#This Row],[Usable_fresh_kg]]*0.1</f>
        <v>1600</v>
      </c>
      <c r="E115" s="227">
        <f>Tableau210[[#This Row],[Dried_kg]]*B25</f>
        <v>48000</v>
      </c>
      <c r="F115" s="227">
        <v>3</v>
      </c>
      <c r="G115" s="227">
        <f>Tableau210[[#This Row],[Unit_cost_€_per_kg]]*Tableau210[[#This Row],[Dried_kg]]</f>
        <v>4800</v>
      </c>
      <c r="H115" s="227">
        <v>16</v>
      </c>
      <c r="I115" s="227">
        <v>137</v>
      </c>
      <c r="J115" s="227">
        <v>46</v>
      </c>
      <c r="K115" s="227">
        <f>Tableau210[[#This Row],[Yearly_dried_mango_cost_€]]+Tableau210[[#This Row],[Export_price_€]]</f>
        <v>52800</v>
      </c>
      <c r="L115" s="227">
        <f>Tableau210[[#This Row],[Yearly_dried_mango_cost_€]]-Tableau210[[#This Row],[Energy_cost_€]]-Tableau210[[#This Row],[Maintenance_€]]</f>
        <v>4617</v>
      </c>
      <c r="M115" s="227">
        <v>5.04</v>
      </c>
      <c r="N115" s="302">
        <v>2</v>
      </c>
    </row>
    <row r="116" ht="18" spans="1:14">
      <c r="A116" s="226">
        <v>2</v>
      </c>
      <c r="B116" s="227">
        <v>9</v>
      </c>
      <c r="C116" s="227">
        <f>B21*B22*Tableau210[[#This Row],[Scenario_ha]]</f>
        <v>16000</v>
      </c>
      <c r="D116" s="227">
        <f>Tableau210[[#This Row],[Usable_fresh_kg]]*0.1</f>
        <v>1600</v>
      </c>
      <c r="E116" s="227">
        <f>Tableau210[[#This Row],[Dried_kg]]*B25</f>
        <v>48000</v>
      </c>
      <c r="F116" s="227">
        <v>3</v>
      </c>
      <c r="G116" s="227">
        <f>Tableau210[[#This Row],[Unit_cost_€_per_kg]]*Tableau210[[#This Row],[Dried_kg]]</f>
        <v>4800</v>
      </c>
      <c r="H116" s="227">
        <v>16</v>
      </c>
      <c r="I116" s="227">
        <v>137</v>
      </c>
      <c r="J116" s="227">
        <v>46</v>
      </c>
      <c r="K116" s="227">
        <f>Tableau210[[#This Row],[Yearly_dried_mango_cost_€]]+Tableau210[[#This Row],[Export_price_€]]</f>
        <v>52800</v>
      </c>
      <c r="L116" s="227">
        <f>Tableau210[[#This Row],[Yearly_dried_mango_cost_€]]-Tableau210[[#This Row],[Energy_cost_€]]-Tableau210[[#This Row],[Maintenance_€]]</f>
        <v>4617</v>
      </c>
      <c r="M116" s="227">
        <v>5.1</v>
      </c>
      <c r="N116" s="302">
        <v>2</v>
      </c>
    </row>
    <row r="117" ht="18" spans="1:14">
      <c r="A117" s="229">
        <v>2</v>
      </c>
      <c r="B117" s="230">
        <v>10</v>
      </c>
      <c r="C117" s="227">
        <f>B21*B22*Tableau210[[#This Row],[Scenario_ha]]</f>
        <v>16000</v>
      </c>
      <c r="D117" s="227">
        <f>Tableau210[[#This Row],[Usable_fresh_kg]]*0.1</f>
        <v>1600</v>
      </c>
      <c r="E117" s="227">
        <f>Tableau210[[#This Row],[Dried_kg]]*B25</f>
        <v>48000</v>
      </c>
      <c r="F117" s="227">
        <v>3</v>
      </c>
      <c r="G117" s="227">
        <f>Tableau210[[#This Row],[Unit_cost_€_per_kg]]*Tableau210[[#This Row],[Dried_kg]]</f>
        <v>4800</v>
      </c>
      <c r="H117" s="230">
        <v>16</v>
      </c>
      <c r="I117" s="227">
        <v>137</v>
      </c>
      <c r="J117" s="227">
        <v>46</v>
      </c>
      <c r="K117" s="303">
        <f>Tableau210[[#This Row],[Yearly_dried_mango_cost_€]]+Tableau210[[#This Row],[Export_price_€]]</f>
        <v>52800</v>
      </c>
      <c r="L117" s="227">
        <f>Tableau210[[#This Row],[Yearly_dried_mango_cost_€]]-Tableau210[[#This Row],[Energy_cost_€]]-Tableau210[[#This Row],[Maintenance_€]]</f>
        <v>4617</v>
      </c>
      <c r="M117" s="230">
        <v>5.17</v>
      </c>
      <c r="N117" s="302">
        <v>2</v>
      </c>
    </row>
    <row r="118" spans="1:14">
      <c r="A118" s="54"/>
      <c r="B118" s="54"/>
      <c r="C118" s="54"/>
      <c r="D118" s="54"/>
      <c r="E118" s="54"/>
      <c r="F118" s="54"/>
      <c r="G118" s="54"/>
      <c r="H118" s="54"/>
      <c r="I118" s="54"/>
      <c r="J118" s="54"/>
      <c r="K118" s="54"/>
      <c r="L118" s="54"/>
      <c r="M118" s="54"/>
      <c r="N118" s="54"/>
    </row>
    <row r="119" spans="1:14">
      <c r="A119" s="54"/>
      <c r="B119" s="54"/>
      <c r="C119" s="54"/>
      <c r="D119" s="54"/>
      <c r="E119" s="54"/>
      <c r="F119" s="54"/>
      <c r="G119" s="54"/>
      <c r="H119" s="54"/>
      <c r="I119" s="54"/>
      <c r="J119" s="54"/>
      <c r="K119" s="54"/>
      <c r="L119" s="54"/>
      <c r="M119" s="54"/>
      <c r="N119" s="54"/>
    </row>
    <row r="120" spans="1:14">
      <c r="A120" s="54"/>
      <c r="B120" s="54"/>
      <c r="C120" s="54"/>
      <c r="D120" s="54"/>
      <c r="E120" s="54"/>
      <c r="F120" s="54"/>
      <c r="G120" s="54"/>
      <c r="H120" s="54"/>
      <c r="I120" s="54"/>
      <c r="J120" s="54"/>
      <c r="K120" s="54"/>
      <c r="L120" s="54"/>
      <c r="M120" s="54"/>
      <c r="N120" s="54"/>
    </row>
    <row r="121" spans="1:14">
      <c r="A121" s="54"/>
      <c r="B121" s="54"/>
      <c r="C121" s="54"/>
      <c r="D121" s="54"/>
      <c r="E121" s="54"/>
      <c r="F121" s="54"/>
      <c r="G121" s="54"/>
      <c r="H121" s="54"/>
      <c r="I121" s="54"/>
      <c r="J121" s="54"/>
      <c r="K121" s="54"/>
      <c r="L121" s="54"/>
      <c r="M121" s="54"/>
      <c r="N121" s="54"/>
    </row>
    <row r="122" spans="1:14">
      <c r="A122" s="54"/>
      <c r="B122" s="54"/>
      <c r="C122" s="54"/>
      <c r="D122" s="54"/>
      <c r="E122" s="54"/>
      <c r="F122" s="54"/>
      <c r="G122" s="54"/>
      <c r="H122" s="54"/>
      <c r="I122" s="54"/>
      <c r="J122" s="54"/>
      <c r="K122" s="54"/>
      <c r="L122" s="54"/>
      <c r="M122" s="54"/>
      <c r="N122" s="54"/>
    </row>
    <row r="123" spans="1:14">
      <c r="A123" s="54"/>
      <c r="B123" s="54"/>
      <c r="C123" s="54"/>
      <c r="D123" s="54"/>
      <c r="E123" s="54"/>
      <c r="F123" s="54"/>
      <c r="G123" s="54"/>
      <c r="H123" s="54"/>
      <c r="I123" s="54"/>
      <c r="J123" s="54"/>
      <c r="K123" s="54"/>
      <c r="L123" s="54"/>
      <c r="M123" s="54"/>
      <c r="N123" s="54"/>
    </row>
    <row r="124" ht="30" spans="1:14">
      <c r="A124" s="291" t="s">
        <v>234</v>
      </c>
      <c r="B124" s="291"/>
      <c r="C124" s="291"/>
      <c r="D124" s="54"/>
      <c r="E124" s="54"/>
      <c r="F124" s="54"/>
      <c r="G124" s="54"/>
      <c r="H124" s="54"/>
      <c r="I124" s="54"/>
      <c r="J124" s="54"/>
      <c r="K124" s="54"/>
      <c r="L124" s="54"/>
      <c r="M124" s="54"/>
      <c r="N124" s="54"/>
    </row>
    <row r="125" ht="17.4" spans="1:14">
      <c r="A125" s="239" t="s">
        <v>363</v>
      </c>
      <c r="B125" s="239" t="s">
        <v>973</v>
      </c>
      <c r="C125" s="239" t="s">
        <v>449</v>
      </c>
      <c r="D125" s="54"/>
      <c r="E125" s="54"/>
      <c r="F125" s="54"/>
      <c r="G125" s="54"/>
      <c r="H125" s="54"/>
      <c r="I125" s="54"/>
      <c r="J125" s="54"/>
      <c r="K125" s="54"/>
      <c r="L125" s="54"/>
      <c r="M125" s="54"/>
      <c r="N125" s="54"/>
    </row>
    <row r="126" ht="105" spans="1:14">
      <c r="A126" s="292" t="s">
        <v>974</v>
      </c>
      <c r="B126" s="293" t="s">
        <v>975</v>
      </c>
      <c r="C126" s="294" t="s">
        <v>976</v>
      </c>
      <c r="D126" s="54"/>
      <c r="E126" s="54"/>
      <c r="F126" s="54"/>
      <c r="G126" s="54"/>
      <c r="H126" s="54"/>
      <c r="I126" s="54"/>
      <c r="J126" s="54"/>
      <c r="K126" s="54"/>
      <c r="L126" s="54"/>
      <c r="M126" s="54"/>
      <c r="N126" s="54"/>
    </row>
    <row r="127" ht="69.6" spans="1:14">
      <c r="A127" s="295" t="s">
        <v>269</v>
      </c>
      <c r="B127" s="296" t="s">
        <v>977</v>
      </c>
      <c r="C127" s="294" t="s">
        <v>978</v>
      </c>
      <c r="D127" s="54"/>
      <c r="E127" s="54"/>
      <c r="F127" s="54"/>
      <c r="G127" s="54"/>
      <c r="H127" s="54"/>
      <c r="I127" s="54"/>
      <c r="J127" s="54"/>
      <c r="K127" s="54"/>
      <c r="L127" s="54"/>
      <c r="M127" s="54"/>
      <c r="N127" s="54"/>
    </row>
    <row r="128" ht="69.6" spans="1:14">
      <c r="A128" s="295" t="s">
        <v>979</v>
      </c>
      <c r="B128" s="296" t="s">
        <v>980</v>
      </c>
      <c r="C128" s="294" t="s">
        <v>981</v>
      </c>
      <c r="D128" s="54"/>
      <c r="E128" s="54"/>
      <c r="F128" s="54"/>
      <c r="G128" s="54"/>
      <c r="H128" s="54"/>
      <c r="I128" s="54"/>
      <c r="J128" s="54"/>
      <c r="K128" s="54"/>
      <c r="L128" s="54"/>
      <c r="M128" s="54"/>
      <c r="N128" s="54"/>
    </row>
    <row r="129" ht="52.2" spans="1:14">
      <c r="A129" s="295" t="s">
        <v>982</v>
      </c>
      <c r="B129" s="296" t="s">
        <v>980</v>
      </c>
      <c r="C129" s="294" t="s">
        <v>983</v>
      </c>
      <c r="D129" s="54"/>
      <c r="E129" s="54"/>
      <c r="F129" s="54"/>
      <c r="G129" s="54"/>
      <c r="H129" s="54"/>
      <c r="I129" s="54"/>
      <c r="J129" s="54"/>
      <c r="K129" s="54"/>
      <c r="L129" s="54"/>
      <c r="M129" s="54"/>
      <c r="N129" s="54"/>
    </row>
    <row r="130" ht="52.2" spans="1:14">
      <c r="A130" s="292" t="s">
        <v>984</v>
      </c>
      <c r="B130" s="296" t="s">
        <v>985</v>
      </c>
      <c r="C130" s="304" t="s">
        <v>986</v>
      </c>
      <c r="D130" s="54"/>
      <c r="E130" s="54"/>
      <c r="F130" s="54"/>
      <c r="G130" s="54"/>
      <c r="H130" s="54"/>
      <c r="I130" s="54"/>
      <c r="J130" s="54"/>
      <c r="K130" s="54"/>
      <c r="L130" s="54"/>
      <c r="M130" s="54"/>
      <c r="N130" s="54"/>
    </row>
  </sheetData>
  <mergeCells count="17">
    <mergeCell ref="A7:F7"/>
    <mergeCell ref="A8:B8"/>
    <mergeCell ref="C8:D8"/>
    <mergeCell ref="E8:F8"/>
    <mergeCell ref="A19:C19"/>
    <mergeCell ref="A36:G36"/>
    <mergeCell ref="A80:N80"/>
    <mergeCell ref="A90:N90"/>
    <mergeCell ref="A104:N104"/>
    <mergeCell ref="A124:C124"/>
    <mergeCell ref="A58:A59"/>
    <mergeCell ref="A60:A64"/>
    <mergeCell ref="A65:A69"/>
    <mergeCell ref="A70:A73"/>
    <mergeCell ref="E58:E73"/>
    <mergeCell ref="Q17:AD19"/>
    <mergeCell ref="A54:D55"/>
  </mergeCells>
  <hyperlinks>
    <hyperlink ref="A126" r:id="rId8" location="read" display="https://www.researchgate.net/publication/242642925_The_mango_tree_in_central_and_northern_Benin_Cultivar_inventory_yield_assessment_infested_stages_and_loss_due_to_fruit_flies_Diptera_Tephritidae#read"/>
    <hyperlink ref="A127" r:id="rId9" display="https://www.cbi.eu/market-information/processed-fruit-vegetables-edible-nuts/dried-mango/market-potential"/>
    <hyperlink ref="A128" r:id="rId10" display="https://www.gebana.com/eu-en/dried-fruits-mangos-amelie-bio-burkina-faso-quantity"/>
    <hyperlink ref="A129" r:id="rId11" display="https://thaiscience.info/Journals/Article/SNRU/10997761.pdf"/>
    <hyperlink ref="A130" r:id="rId12" display="https://www.researchgate.net/publication/376603746_POTENTIAL_AVAILABILITY_OF_MANGO_BY-PRODUCTS_IN_THE_BOBO-DIOULASSO_AND_ORODARA_AREAS_OF_BURKINA_FASO_ASSESSMENT_OF_THE_QUANTITIES_OF_MANGO_BY-PRODUCTS_AND_MANGO_FEED_PRODUCIBLE_FOR_RUMINANTS"/>
  </hyperlinks>
  <pageMargins left="0.7" right="0.7" top="0.75" bottom="0.75" header="0.3" footer="0.3"/>
  <headerFooter/>
  <legacyDrawing r:id="rId2"/>
  <tableParts count="5">
    <tablePart r:id="rId3"/>
    <tablePart r:id="rId4"/>
    <tablePart r:id="rId5"/>
    <tablePart r:id="rId6"/>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75"/>
  <sheetViews>
    <sheetView topLeftCell="A32" workbookViewId="0">
      <selection activeCell="D53" sqref="D53"/>
    </sheetView>
  </sheetViews>
  <sheetFormatPr defaultColWidth="9" defaultRowHeight="15.6"/>
  <cols>
    <col min="1" max="1" width="9.13888888888889" style="116"/>
    <col min="2" max="2" width="34.287037037037" style="116" customWidth="1"/>
    <col min="3" max="3" width="30.287037037037" style="116" customWidth="1"/>
    <col min="4" max="4" width="40.287037037037" style="116" customWidth="1"/>
    <col min="5" max="5" width="26.712962962963" style="116" customWidth="1"/>
    <col min="6" max="6" width="28.1388888888889" style="116" customWidth="1"/>
    <col min="7" max="7" width="37.712962962963" style="116" customWidth="1"/>
    <col min="8" max="8" width="39" style="116" customWidth="1"/>
    <col min="9" max="9" width="32.712962962963" style="116" customWidth="1"/>
    <col min="10" max="10" width="20.4259259259259" style="116" customWidth="1"/>
    <col min="11" max="11" width="16.287037037037" style="116" customWidth="1"/>
    <col min="12" max="12" width="31.712962962963" style="116" customWidth="1"/>
    <col min="13" max="13" width="20" style="116" customWidth="1"/>
    <col min="14" max="15" width="9.13888888888889" style="116"/>
    <col min="16" max="16" width="30.8518518518519" style="116" customWidth="1"/>
    <col min="17" max="16384" width="9.13888888888889" style="116"/>
  </cols>
  <sheetData>
    <row r="1" spans="3:11">
      <c r="C1" s="117"/>
      <c r="G1" s="117"/>
      <c r="K1" s="117"/>
    </row>
    <row r="2" ht="30.75" customHeight="1" spans="2:13">
      <c r="B2" s="118" t="s">
        <v>987</v>
      </c>
      <c r="C2" s="119"/>
      <c r="D2" s="120"/>
      <c r="E2" s="121" t="s">
        <v>988</v>
      </c>
      <c r="F2" s="122"/>
      <c r="G2" s="123"/>
      <c r="H2" s="120"/>
      <c r="I2" s="180" t="s">
        <v>989</v>
      </c>
      <c r="J2" s="181"/>
      <c r="K2" s="181"/>
      <c r="L2" s="181"/>
      <c r="M2" s="182"/>
    </row>
    <row r="3" spans="2:18">
      <c r="B3" s="124" t="s">
        <v>289</v>
      </c>
      <c r="C3" s="124" t="s">
        <v>290</v>
      </c>
      <c r="E3" s="125" t="s">
        <v>291</v>
      </c>
      <c r="F3" s="125" t="s">
        <v>281</v>
      </c>
      <c r="G3" s="125" t="s">
        <v>362</v>
      </c>
      <c r="I3" s="183" t="s">
        <v>990</v>
      </c>
      <c r="J3" s="183" t="s">
        <v>991</v>
      </c>
      <c r="K3" s="183" t="s">
        <v>992</v>
      </c>
      <c r="L3" s="183" t="s">
        <v>255</v>
      </c>
      <c r="M3" s="183" t="s">
        <v>993</v>
      </c>
      <c r="N3" s="136"/>
      <c r="O3" s="136"/>
      <c r="P3" s="136"/>
      <c r="Q3" s="136"/>
      <c r="R3" s="138"/>
    </row>
    <row r="4" spans="2:18">
      <c r="B4" s="126" t="s">
        <v>306</v>
      </c>
      <c r="C4" s="126" t="s">
        <v>994</v>
      </c>
      <c r="E4" s="127" t="s">
        <v>995</v>
      </c>
      <c r="F4" s="128" t="s">
        <v>996</v>
      </c>
      <c r="G4" s="127" t="s">
        <v>997</v>
      </c>
      <c r="I4" s="145" t="s">
        <v>998</v>
      </c>
      <c r="J4" s="127">
        <v>6</v>
      </c>
      <c r="K4" s="127">
        <v>15</v>
      </c>
      <c r="L4" s="127">
        <v>0</v>
      </c>
      <c r="M4" s="145">
        <v>21</v>
      </c>
      <c r="N4" s="136"/>
      <c r="O4" s="136"/>
      <c r="P4" s="136"/>
      <c r="Q4" s="136"/>
      <c r="R4" s="138"/>
    </row>
    <row r="5" ht="31.2" spans="2:18">
      <c r="B5" s="126" t="s">
        <v>999</v>
      </c>
      <c r="C5" s="126" t="s">
        <v>1000</v>
      </c>
      <c r="E5" s="127" t="s">
        <v>1001</v>
      </c>
      <c r="F5" s="128" t="s">
        <v>1002</v>
      </c>
      <c r="G5" s="127" t="s">
        <v>1003</v>
      </c>
      <c r="I5" s="145" t="s">
        <v>1004</v>
      </c>
      <c r="J5" s="127">
        <v>6</v>
      </c>
      <c r="K5" s="127">
        <v>15</v>
      </c>
      <c r="L5" s="127">
        <v>150</v>
      </c>
      <c r="M5" s="145">
        <v>171</v>
      </c>
      <c r="N5" s="136"/>
      <c r="O5" s="136"/>
      <c r="P5" s="136"/>
      <c r="Q5" s="136"/>
      <c r="R5" s="138"/>
    </row>
    <row r="6" ht="31.2" spans="2:18">
      <c r="B6" s="126" t="s">
        <v>1005</v>
      </c>
      <c r="C6" s="126" t="s">
        <v>1006</v>
      </c>
      <c r="E6" s="127" t="s">
        <v>1007</v>
      </c>
      <c r="F6" s="128" t="s">
        <v>1008</v>
      </c>
      <c r="G6" s="127" t="s">
        <v>1009</v>
      </c>
      <c r="I6" s="145" t="s">
        <v>1010</v>
      </c>
      <c r="J6" s="127">
        <v>6</v>
      </c>
      <c r="K6" s="127">
        <v>15</v>
      </c>
      <c r="L6" s="127">
        <v>600</v>
      </c>
      <c r="M6" s="145">
        <v>621</v>
      </c>
      <c r="N6" s="136"/>
      <c r="O6" s="136"/>
      <c r="P6" s="136"/>
      <c r="Q6" s="136"/>
      <c r="R6" s="138"/>
    </row>
    <row r="7" ht="31.2" spans="2:18">
      <c r="B7" s="126" t="s">
        <v>346</v>
      </c>
      <c r="C7" s="126" t="s">
        <v>1011</v>
      </c>
      <c r="E7" s="127" t="s">
        <v>1012</v>
      </c>
      <c r="F7" s="128" t="s">
        <v>1013</v>
      </c>
      <c r="G7" s="127" t="s">
        <v>1014</v>
      </c>
      <c r="I7" s="145" t="s">
        <v>1015</v>
      </c>
      <c r="J7" s="127">
        <v>6</v>
      </c>
      <c r="K7" s="127">
        <v>15</v>
      </c>
      <c r="L7" s="146">
        <v>3000</v>
      </c>
      <c r="M7" s="184">
        <v>3021</v>
      </c>
      <c r="N7" s="136"/>
      <c r="O7" s="136"/>
      <c r="P7" s="136"/>
      <c r="Q7" s="136"/>
      <c r="R7" s="138"/>
    </row>
    <row r="8" ht="31.2" spans="2:18">
      <c r="B8" s="126" t="s">
        <v>354</v>
      </c>
      <c r="C8" s="126" t="s">
        <v>1016</v>
      </c>
      <c r="F8" s="129"/>
      <c r="G8" s="130"/>
      <c r="I8" s="137"/>
      <c r="J8" s="137"/>
      <c r="K8" s="138"/>
      <c r="L8" s="89"/>
      <c r="M8" s="138"/>
      <c r="N8" s="136"/>
      <c r="O8" s="136"/>
      <c r="P8" s="136"/>
      <c r="Q8" s="136"/>
      <c r="R8" s="138"/>
    </row>
    <row r="9" ht="45.75" customHeight="1" spans="2:12">
      <c r="B9" s="126" t="s">
        <v>368</v>
      </c>
      <c r="C9" s="126" t="s">
        <v>1017</v>
      </c>
      <c r="E9" s="131" t="s">
        <v>1018</v>
      </c>
      <c r="F9" s="132"/>
      <c r="K9" s="138"/>
      <c r="L9" s="89"/>
    </row>
    <row r="10" ht="31.2" spans="2:18">
      <c r="B10" s="126" t="s">
        <v>383</v>
      </c>
      <c r="C10" s="126" t="s">
        <v>1019</v>
      </c>
      <c r="E10" s="133" t="s">
        <v>291</v>
      </c>
      <c r="F10" s="133" t="s">
        <v>281</v>
      </c>
      <c r="K10" s="138"/>
      <c r="L10" s="89"/>
      <c r="M10" s="138"/>
      <c r="N10" s="136"/>
      <c r="O10" s="136"/>
      <c r="P10" s="136"/>
      <c r="Q10" s="136"/>
      <c r="R10" s="138"/>
    </row>
    <row r="11" ht="31.2" spans="2:18">
      <c r="B11" s="126" t="s">
        <v>393</v>
      </c>
      <c r="C11" s="126" t="s">
        <v>1020</v>
      </c>
      <c r="D11" s="134"/>
      <c r="E11" s="127" t="s">
        <v>1021</v>
      </c>
      <c r="F11" s="135" t="s">
        <v>1022</v>
      </c>
      <c r="G11" s="136"/>
      <c r="H11" s="137"/>
      <c r="K11" s="138"/>
      <c r="L11" s="89"/>
      <c r="M11" s="138"/>
      <c r="N11" s="136"/>
      <c r="O11" s="136"/>
      <c r="P11" s="136"/>
      <c r="Q11" s="136"/>
      <c r="R11" s="138"/>
    </row>
    <row r="12" ht="31.2" spans="2:18">
      <c r="B12" s="126" t="s">
        <v>1023</v>
      </c>
      <c r="C12" s="126" t="s">
        <v>1024</v>
      </c>
      <c r="D12" s="134"/>
      <c r="E12" s="127" t="s">
        <v>1025</v>
      </c>
      <c r="F12" s="135" t="s">
        <v>1004</v>
      </c>
      <c r="G12" s="136"/>
      <c r="H12" s="136"/>
      <c r="I12" s="136"/>
      <c r="J12" s="136"/>
      <c r="K12" s="138"/>
      <c r="L12" s="89"/>
      <c r="M12" s="138"/>
      <c r="N12" s="136"/>
      <c r="O12" s="136"/>
      <c r="P12" s="136"/>
      <c r="Q12" s="136"/>
      <c r="R12" s="138"/>
    </row>
    <row r="13" ht="31.2" spans="2:8">
      <c r="B13" s="126" t="s">
        <v>1026</v>
      </c>
      <c r="C13" s="126" t="s">
        <v>1027</v>
      </c>
      <c r="D13" s="134"/>
      <c r="E13" s="127" t="s">
        <v>1028</v>
      </c>
      <c r="F13" s="135" t="s">
        <v>1010</v>
      </c>
      <c r="G13" s="136"/>
      <c r="H13" s="136"/>
    </row>
    <row r="14" ht="31.2" spans="2:18">
      <c r="B14" s="126" t="s">
        <v>1029</v>
      </c>
      <c r="C14" s="126" t="s">
        <v>1030</v>
      </c>
      <c r="D14" s="120"/>
      <c r="E14" s="127" t="s">
        <v>1031</v>
      </c>
      <c r="F14" s="135" t="s">
        <v>1015</v>
      </c>
      <c r="G14" s="120"/>
      <c r="H14" s="120"/>
      <c r="O14" s="136"/>
      <c r="P14" s="136"/>
      <c r="Q14" s="136"/>
      <c r="R14" s="138"/>
    </row>
    <row r="15" spans="2:18">
      <c r="B15" s="129"/>
      <c r="F15" s="138"/>
      <c r="H15" s="130"/>
      <c r="O15" s="136"/>
      <c r="P15" s="136"/>
      <c r="Q15" s="136"/>
      <c r="R15" s="138"/>
    </row>
    <row r="16" ht="30.75" customHeight="1" spans="2:18">
      <c r="B16" s="139" t="s">
        <v>1032</v>
      </c>
      <c r="C16" s="139"/>
      <c r="D16" s="139"/>
      <c r="F16" s="140" t="s">
        <v>1033</v>
      </c>
      <c r="G16" s="140"/>
      <c r="H16" s="130"/>
      <c r="O16" s="136"/>
      <c r="P16" s="136"/>
      <c r="Q16" s="136"/>
      <c r="R16" s="138"/>
    </row>
    <row r="17" spans="2:18">
      <c r="B17" s="124" t="s">
        <v>291</v>
      </c>
      <c r="C17" s="125" t="s">
        <v>281</v>
      </c>
      <c r="D17" s="125" t="s">
        <v>456</v>
      </c>
      <c r="E17" s="117"/>
      <c r="F17" s="125" t="s">
        <v>291</v>
      </c>
      <c r="G17" s="125" t="s">
        <v>281</v>
      </c>
      <c r="O17" s="136"/>
      <c r="P17" s="136"/>
      <c r="Q17" s="136"/>
      <c r="R17" s="138"/>
    </row>
    <row r="18" spans="2:7">
      <c r="B18" s="126" t="s">
        <v>1034</v>
      </c>
      <c r="C18" s="128" t="s">
        <v>1035</v>
      </c>
      <c r="D18" s="127"/>
      <c r="F18" s="127" t="s">
        <v>1036</v>
      </c>
      <c r="G18" s="128" t="s">
        <v>1037</v>
      </c>
    </row>
    <row r="19" spans="2:12">
      <c r="B19" s="126" t="s">
        <v>1038</v>
      </c>
      <c r="C19" s="141">
        <v>0.2</v>
      </c>
      <c r="D19" s="127"/>
      <c r="F19" s="127" t="s">
        <v>1023</v>
      </c>
      <c r="G19" s="141">
        <v>0.8</v>
      </c>
      <c r="H19" s="120"/>
      <c r="I19" s="120"/>
      <c r="J19" s="129"/>
      <c r="K19" s="138"/>
      <c r="L19" s="89"/>
    </row>
    <row r="20" spans="2:12">
      <c r="B20" s="126" t="s">
        <v>1039</v>
      </c>
      <c r="C20" s="128" t="s">
        <v>1040</v>
      </c>
      <c r="D20" s="127"/>
      <c r="F20" s="127" t="s">
        <v>1041</v>
      </c>
      <c r="G20" s="141">
        <v>0.9</v>
      </c>
      <c r="L20" s="89"/>
    </row>
    <row r="21" spans="2:12">
      <c r="B21" s="126" t="s">
        <v>1042</v>
      </c>
      <c r="C21" s="141">
        <v>0.25</v>
      </c>
      <c r="D21" s="127"/>
      <c r="F21" s="127" t="s">
        <v>1043</v>
      </c>
      <c r="G21" s="128" t="s">
        <v>1044</v>
      </c>
      <c r="H21" s="136"/>
      <c r="I21" s="136"/>
      <c r="J21" s="136"/>
      <c r="K21" s="138"/>
      <c r="L21" s="89"/>
    </row>
    <row r="22" spans="2:12">
      <c r="B22" s="126" t="s">
        <v>1045</v>
      </c>
      <c r="C22" s="128">
        <v>0.75</v>
      </c>
      <c r="D22" s="127"/>
      <c r="F22" s="138"/>
      <c r="G22" s="136"/>
      <c r="H22" s="136"/>
      <c r="I22" s="136"/>
      <c r="J22" s="136"/>
      <c r="K22" s="138"/>
      <c r="L22" s="89"/>
    </row>
    <row r="23" spans="2:12">
      <c r="B23" s="126" t="s">
        <v>1046</v>
      </c>
      <c r="C23" s="128" t="s">
        <v>1047</v>
      </c>
      <c r="D23" s="127" t="s">
        <v>1048</v>
      </c>
      <c r="E23" s="120"/>
      <c r="F23" s="142"/>
      <c r="G23" s="136"/>
      <c r="H23" s="120"/>
      <c r="I23" s="120"/>
      <c r="J23" s="120"/>
      <c r="K23" s="120"/>
      <c r="L23" s="89"/>
    </row>
    <row r="24" spans="3:12">
      <c r="C24" s="129"/>
      <c r="F24" s="142"/>
      <c r="G24" s="136"/>
      <c r="K24" s="185"/>
      <c r="L24" s="89"/>
    </row>
    <row r="25" spans="2:12">
      <c r="B25" s="143" t="s">
        <v>1049</v>
      </c>
      <c r="C25" s="143"/>
      <c r="D25" s="143"/>
      <c r="E25" s="143"/>
      <c r="F25" s="143"/>
      <c r="G25" s="143"/>
      <c r="H25" s="143"/>
      <c r="I25" s="143"/>
      <c r="J25" s="143"/>
      <c r="K25" s="185"/>
      <c r="L25" s="89"/>
    </row>
    <row r="26" spans="2:12">
      <c r="B26" s="125" t="s">
        <v>188</v>
      </c>
      <c r="C26" s="125" t="s">
        <v>281</v>
      </c>
      <c r="D26" s="144"/>
      <c r="E26" s="125" t="s">
        <v>990</v>
      </c>
      <c r="F26" s="125" t="s">
        <v>296</v>
      </c>
      <c r="G26" s="124" t="s">
        <v>1050</v>
      </c>
      <c r="H26" s="125" t="s">
        <v>1051</v>
      </c>
      <c r="I26" s="125" t="s">
        <v>1052</v>
      </c>
      <c r="J26" s="125" t="s">
        <v>1053</v>
      </c>
      <c r="K26" s="185"/>
      <c r="L26" s="89"/>
    </row>
    <row r="27" spans="2:12">
      <c r="B27" s="127" t="s">
        <v>1054</v>
      </c>
      <c r="C27" s="127" t="s">
        <v>1055</v>
      </c>
      <c r="E27" s="145" t="s">
        <v>998</v>
      </c>
      <c r="F27" s="127">
        <v>21</v>
      </c>
      <c r="G27" s="126">
        <v>4.24</v>
      </c>
      <c r="H27" s="127">
        <v>11</v>
      </c>
      <c r="I27" s="127">
        <v>36</v>
      </c>
      <c r="J27" s="127">
        <v>0.004</v>
      </c>
      <c r="K27" s="185"/>
      <c r="L27" s="89"/>
    </row>
    <row r="28" spans="3:12">
      <c r="C28" s="129"/>
      <c r="E28" s="145" t="s">
        <v>1004</v>
      </c>
      <c r="F28" s="127">
        <v>171</v>
      </c>
      <c r="G28" s="126">
        <v>34.55</v>
      </c>
      <c r="H28" s="127">
        <v>87</v>
      </c>
      <c r="I28" s="127">
        <v>294</v>
      </c>
      <c r="J28" s="127">
        <v>0.029</v>
      </c>
      <c r="K28" s="185"/>
      <c r="L28" s="89"/>
    </row>
    <row r="29" spans="3:12">
      <c r="C29" s="129"/>
      <c r="E29" s="145" t="s">
        <v>1010</v>
      </c>
      <c r="F29" s="127">
        <v>621</v>
      </c>
      <c r="G29" s="126">
        <v>125.45</v>
      </c>
      <c r="H29" s="127">
        <v>314</v>
      </c>
      <c r="I29" s="146">
        <v>1066</v>
      </c>
      <c r="J29" s="127">
        <v>0.107</v>
      </c>
      <c r="K29" s="185"/>
      <c r="L29" s="89"/>
    </row>
    <row r="30" spans="3:12">
      <c r="C30" s="129"/>
      <c r="E30" s="145" t="s">
        <v>1015</v>
      </c>
      <c r="F30" s="146">
        <v>3021</v>
      </c>
      <c r="G30" s="126">
        <v>610.3</v>
      </c>
      <c r="H30" s="146">
        <v>1526</v>
      </c>
      <c r="I30" s="146">
        <v>5188</v>
      </c>
      <c r="J30" s="127">
        <v>0.519</v>
      </c>
      <c r="K30" s="185"/>
      <c r="L30" s="89"/>
    </row>
    <row r="31" spans="3:12">
      <c r="C31" s="129"/>
      <c r="F31" s="142"/>
      <c r="G31" s="136"/>
      <c r="K31" s="185"/>
      <c r="L31" s="89"/>
    </row>
    <row r="32" spans="3:12">
      <c r="C32" s="129"/>
      <c r="F32" s="142"/>
      <c r="G32" s="136"/>
      <c r="K32" s="185"/>
      <c r="L32" s="89"/>
    </row>
    <row r="33" spans="2:11">
      <c r="B33" s="147" t="s">
        <v>1056</v>
      </c>
      <c r="C33" s="147"/>
      <c r="D33" s="147"/>
      <c r="E33" s="147"/>
      <c r="F33" s="147"/>
      <c r="G33" s="147"/>
      <c r="H33" s="147"/>
      <c r="J33" s="186"/>
      <c r="K33" s="186"/>
    </row>
    <row r="34" spans="2:11">
      <c r="B34" s="124" t="s">
        <v>291</v>
      </c>
      <c r="C34" s="124" t="s">
        <v>601</v>
      </c>
      <c r="D34" s="144"/>
      <c r="E34" s="125" t="s">
        <v>990</v>
      </c>
      <c r="F34" s="125" t="s">
        <v>1057</v>
      </c>
      <c r="G34" s="125" t="s">
        <v>1058</v>
      </c>
      <c r="H34" s="125" t="s">
        <v>1059</v>
      </c>
      <c r="J34" s="186"/>
      <c r="K34" s="186"/>
    </row>
    <row r="35" ht="30" customHeight="1" spans="2:8">
      <c r="B35" s="126" t="s">
        <v>1060</v>
      </c>
      <c r="C35" s="148" t="s">
        <v>1061</v>
      </c>
      <c r="D35" s="149"/>
      <c r="E35" s="145" t="s">
        <v>998</v>
      </c>
      <c r="F35" s="127">
        <v>7</v>
      </c>
      <c r="G35" s="127">
        <v>7.78</v>
      </c>
      <c r="H35" s="145">
        <v>9.72</v>
      </c>
    </row>
    <row r="36" ht="31.5" customHeight="1" spans="2:8">
      <c r="B36" s="126" t="s">
        <v>1062</v>
      </c>
      <c r="C36" s="148" t="s">
        <v>1063</v>
      </c>
      <c r="D36" s="150"/>
      <c r="E36" s="145" t="s">
        <v>1004</v>
      </c>
      <c r="F36" s="127">
        <v>57</v>
      </c>
      <c r="G36" s="127">
        <v>63.33</v>
      </c>
      <c r="H36" s="145">
        <v>79.17</v>
      </c>
    </row>
    <row r="37" spans="2:8">
      <c r="B37" s="126" t="s">
        <v>1064</v>
      </c>
      <c r="C37" s="148" t="s">
        <v>1065</v>
      </c>
      <c r="D37" s="120"/>
      <c r="E37" s="145" t="s">
        <v>1010</v>
      </c>
      <c r="F37" s="127">
        <v>207</v>
      </c>
      <c r="G37" s="127">
        <v>230</v>
      </c>
      <c r="H37" s="145">
        <v>287.5</v>
      </c>
    </row>
    <row r="38" spans="4:8">
      <c r="D38" s="151"/>
      <c r="E38" s="145" t="s">
        <v>1015</v>
      </c>
      <c r="F38" s="146">
        <v>1007</v>
      </c>
      <c r="G38" s="152">
        <v>1118.89</v>
      </c>
      <c r="H38" s="153">
        <v>1398.61</v>
      </c>
    </row>
    <row r="39" spans="4:7">
      <c r="D39" s="151"/>
      <c r="E39" s="151"/>
      <c r="G39" s="150"/>
    </row>
    <row r="40" spans="2:9">
      <c r="B40" s="154" t="s">
        <v>1066</v>
      </c>
      <c r="C40" s="154"/>
      <c r="D40" s="154"/>
      <c r="E40" s="154"/>
      <c r="F40" s="154"/>
      <c r="G40" s="154"/>
      <c r="H40" s="154"/>
      <c r="I40" s="154"/>
    </row>
    <row r="41" spans="2:9">
      <c r="B41" s="125" t="s">
        <v>1067</v>
      </c>
      <c r="C41" s="125" t="s">
        <v>1068</v>
      </c>
      <c r="D41" s="155"/>
      <c r="E41" s="125" t="s">
        <v>990</v>
      </c>
      <c r="F41" s="125" t="s">
        <v>1069</v>
      </c>
      <c r="G41" s="125" t="s">
        <v>1070</v>
      </c>
      <c r="H41" s="125" t="s">
        <v>1071</v>
      </c>
      <c r="I41" s="125" t="s">
        <v>1072</v>
      </c>
    </row>
    <row r="42" spans="2:9">
      <c r="B42" s="127" t="s">
        <v>1073</v>
      </c>
      <c r="C42" s="127" t="s">
        <v>1074</v>
      </c>
      <c r="D42" s="150"/>
      <c r="E42" s="145" t="s">
        <v>998</v>
      </c>
      <c r="F42" s="146">
        <v>5088</v>
      </c>
      <c r="G42" s="146">
        <v>3888</v>
      </c>
      <c r="H42" s="146">
        <v>4500</v>
      </c>
      <c r="I42" s="184">
        <v>13476</v>
      </c>
    </row>
    <row r="43" spans="2:9">
      <c r="B43" s="127" t="s">
        <v>1075</v>
      </c>
      <c r="C43" s="127" t="s">
        <v>1076</v>
      </c>
      <c r="D43" s="149"/>
      <c r="E43" s="145" t="s">
        <v>1004</v>
      </c>
      <c r="F43" s="146">
        <v>41460</v>
      </c>
      <c r="G43" s="146">
        <v>31668</v>
      </c>
      <c r="H43" s="146">
        <v>30000</v>
      </c>
      <c r="I43" s="184">
        <v>103128</v>
      </c>
    </row>
    <row r="44" spans="2:9">
      <c r="B44" s="127" t="s">
        <v>1077</v>
      </c>
      <c r="C44" s="127" t="s">
        <v>1078</v>
      </c>
      <c r="D44" s="150"/>
      <c r="E44" s="145" t="s">
        <v>1010</v>
      </c>
      <c r="F44" s="146">
        <v>150540</v>
      </c>
      <c r="G44" s="146">
        <v>115000</v>
      </c>
      <c r="H44" s="146">
        <v>110000</v>
      </c>
      <c r="I44" s="184">
        <v>375540</v>
      </c>
    </row>
    <row r="45" spans="2:9">
      <c r="B45" s="150"/>
      <c r="C45" s="156"/>
      <c r="D45" s="150"/>
      <c r="E45" s="145" t="s">
        <v>1015</v>
      </c>
      <c r="F45" s="146">
        <v>732360</v>
      </c>
      <c r="G45" s="146">
        <v>559444</v>
      </c>
      <c r="H45" s="146">
        <v>540000</v>
      </c>
      <c r="I45" s="184">
        <v>1831804</v>
      </c>
    </row>
    <row r="46" spans="2:7">
      <c r="B46" s="157"/>
      <c r="C46" s="158"/>
      <c r="D46" s="159"/>
      <c r="E46" s="159"/>
      <c r="F46" s="159"/>
      <c r="G46" s="159"/>
    </row>
    <row r="47" spans="2:7">
      <c r="B47" s="159"/>
      <c r="C47" s="160"/>
      <c r="D47" s="159"/>
      <c r="E47" s="161"/>
      <c r="F47" s="161"/>
      <c r="G47" s="159"/>
    </row>
    <row r="48" spans="2:10">
      <c r="B48" s="162" t="s">
        <v>1079</v>
      </c>
      <c r="C48" s="162"/>
      <c r="D48" s="162"/>
      <c r="E48" s="162"/>
      <c r="F48" s="162"/>
      <c r="G48" s="162"/>
      <c r="H48" s="162"/>
      <c r="I48" s="162"/>
      <c r="J48" s="162"/>
    </row>
    <row r="49" spans="2:10">
      <c r="B49" s="125" t="s">
        <v>291</v>
      </c>
      <c r="C49" s="125" t="s">
        <v>281</v>
      </c>
      <c r="D49" s="163"/>
      <c r="E49" s="125" t="s">
        <v>990</v>
      </c>
      <c r="F49" s="125" t="s">
        <v>1080</v>
      </c>
      <c r="G49" s="125" t="s">
        <v>1081</v>
      </c>
      <c r="H49" s="164" t="s">
        <v>1082</v>
      </c>
      <c r="I49" s="125" t="s">
        <v>1083</v>
      </c>
      <c r="J49" s="125" t="s">
        <v>1084</v>
      </c>
    </row>
    <row r="50" spans="2:10">
      <c r="B50" s="127" t="s">
        <v>1085</v>
      </c>
      <c r="C50" s="127" t="s">
        <v>1086</v>
      </c>
      <c r="D50" s="157"/>
      <c r="E50" s="145" t="s">
        <v>998</v>
      </c>
      <c r="F50" s="127">
        <v>8.4</v>
      </c>
      <c r="G50" s="146">
        <v>3066</v>
      </c>
      <c r="H50" s="165">
        <v>270</v>
      </c>
      <c r="I50" s="146">
        <v>2796</v>
      </c>
      <c r="J50" s="145">
        <v>4.82</v>
      </c>
    </row>
    <row r="51" spans="2:10">
      <c r="B51" s="127" t="s">
        <v>1087</v>
      </c>
      <c r="C51" s="127">
        <v>365</v>
      </c>
      <c r="D51" s="157"/>
      <c r="E51" s="145" t="s">
        <v>1004</v>
      </c>
      <c r="F51" s="127">
        <v>68.4</v>
      </c>
      <c r="G51" s="146">
        <v>24966</v>
      </c>
      <c r="H51" s="166">
        <v>2063</v>
      </c>
      <c r="I51" s="146">
        <v>22903</v>
      </c>
      <c r="J51" s="145">
        <v>4.5</v>
      </c>
    </row>
    <row r="52" spans="2:10">
      <c r="B52" s="127" t="s">
        <v>627</v>
      </c>
      <c r="C52" s="127" t="s">
        <v>1088</v>
      </c>
      <c r="E52" s="145" t="s">
        <v>1010</v>
      </c>
      <c r="F52" s="127">
        <v>248.4</v>
      </c>
      <c r="G52" s="146">
        <v>90666</v>
      </c>
      <c r="H52" s="166">
        <v>7511</v>
      </c>
      <c r="I52" s="146">
        <v>83155</v>
      </c>
      <c r="J52" s="145">
        <v>4.52</v>
      </c>
    </row>
    <row r="53" spans="2:10">
      <c r="B53" s="167"/>
      <c r="C53" s="168"/>
      <c r="D53" s="169"/>
      <c r="E53" s="145" t="s">
        <v>1015</v>
      </c>
      <c r="F53" s="152">
        <v>1208.4</v>
      </c>
      <c r="G53" s="146">
        <v>441066</v>
      </c>
      <c r="H53" s="166">
        <v>36636</v>
      </c>
      <c r="I53" s="146">
        <v>404430</v>
      </c>
      <c r="J53" s="145">
        <v>4.53</v>
      </c>
    </row>
    <row r="54" spans="2:7">
      <c r="B54" s="169"/>
      <c r="C54" s="170"/>
      <c r="D54" s="169"/>
      <c r="E54" s="169"/>
      <c r="F54" s="167"/>
      <c r="G54" s="171"/>
    </row>
    <row r="55" spans="2:7">
      <c r="B55" s="169"/>
      <c r="C55" s="170"/>
      <c r="D55" s="169"/>
      <c r="E55" s="169"/>
      <c r="F55" s="169"/>
      <c r="G55" s="169"/>
    </row>
    <row r="56" spans="2:7">
      <c r="B56" s="169"/>
      <c r="C56" s="170"/>
      <c r="D56" s="169"/>
      <c r="E56" s="167"/>
      <c r="F56" s="167"/>
      <c r="G56" s="169"/>
    </row>
    <row r="57" spans="2:7">
      <c r="B57" s="169"/>
      <c r="C57" s="168"/>
      <c r="D57" s="167"/>
      <c r="E57" s="172"/>
      <c r="F57" s="172"/>
      <c r="G57" s="169"/>
    </row>
    <row r="58" spans="2:7">
      <c r="B58" s="167"/>
      <c r="C58" s="168"/>
      <c r="D58" s="167"/>
      <c r="E58" s="167"/>
      <c r="F58" s="167"/>
      <c r="G58" s="169"/>
    </row>
    <row r="60" spans="2:7">
      <c r="B60" s="173"/>
      <c r="C60" s="174"/>
      <c r="D60" s="175"/>
      <c r="E60" s="175"/>
      <c r="F60" s="175"/>
      <c r="G60" s="175"/>
    </row>
    <row r="61" spans="2:7">
      <c r="B61" s="175"/>
      <c r="C61" s="176"/>
      <c r="D61" s="175"/>
      <c r="E61" s="175"/>
      <c r="F61" s="175"/>
      <c r="G61" s="177"/>
    </row>
    <row r="62" spans="2:7">
      <c r="B62" s="175"/>
      <c r="C62" s="176"/>
      <c r="D62" s="175"/>
      <c r="E62" s="175"/>
      <c r="F62" s="175"/>
      <c r="G62" s="175"/>
    </row>
    <row r="63" spans="2:7">
      <c r="B63" s="175"/>
      <c r="C63" s="176"/>
      <c r="D63" s="175"/>
      <c r="E63" s="178"/>
      <c r="F63" s="178"/>
      <c r="G63" s="175"/>
    </row>
    <row r="64" spans="2:7">
      <c r="B64" s="173"/>
      <c r="C64" s="174"/>
      <c r="D64" s="173"/>
      <c r="E64" s="179"/>
      <c r="F64" s="179"/>
      <c r="G64" s="175"/>
    </row>
    <row r="65" spans="2:7">
      <c r="B65" s="173"/>
      <c r="C65" s="174"/>
      <c r="D65" s="173"/>
      <c r="E65" s="179"/>
      <c r="F65" s="179"/>
      <c r="G65" s="177"/>
    </row>
    <row r="66" spans="2:7">
      <c r="B66" s="173"/>
      <c r="C66" s="174"/>
      <c r="D66" s="173"/>
      <c r="E66" s="179"/>
      <c r="F66" s="179"/>
      <c r="G66" s="175"/>
    </row>
    <row r="67" spans="2:8">
      <c r="B67" s="173"/>
      <c r="C67" s="174"/>
      <c r="D67" s="173"/>
      <c r="E67" s="179"/>
      <c r="F67" s="179"/>
      <c r="G67" s="175"/>
      <c r="H67" s="150"/>
    </row>
    <row r="69" spans="2:7">
      <c r="B69" s="187"/>
      <c r="C69" s="188"/>
      <c r="D69" s="136"/>
      <c r="E69" s="136"/>
      <c r="F69" s="136"/>
      <c r="G69" s="136"/>
    </row>
    <row r="70" spans="2:7">
      <c r="B70" s="136"/>
      <c r="C70" s="138"/>
      <c r="D70" s="136"/>
      <c r="E70" s="136"/>
      <c r="F70" s="136"/>
      <c r="G70" s="136"/>
    </row>
    <row r="71" spans="2:7">
      <c r="B71" s="136"/>
      <c r="C71" s="138"/>
      <c r="D71" s="136"/>
      <c r="E71" s="136"/>
      <c r="F71" s="136"/>
      <c r="G71" s="136"/>
    </row>
    <row r="72" spans="2:7">
      <c r="B72" s="187"/>
      <c r="C72" s="188"/>
      <c r="D72" s="187"/>
      <c r="E72" s="187"/>
      <c r="F72" s="187"/>
      <c r="G72" s="189"/>
    </row>
    <row r="73" spans="2:7">
      <c r="B73" s="136"/>
      <c r="C73" s="138"/>
      <c r="D73" s="136"/>
      <c r="E73" s="136"/>
      <c r="F73" s="136"/>
      <c r="G73" s="136"/>
    </row>
    <row r="74" spans="2:7">
      <c r="B74" s="136"/>
      <c r="C74" s="138"/>
      <c r="D74" s="136"/>
      <c r="E74" s="136"/>
      <c r="F74" s="136"/>
      <c r="G74" s="136"/>
    </row>
    <row r="75" spans="2:7">
      <c r="B75" s="136"/>
      <c r="C75" s="138"/>
      <c r="D75" s="136"/>
      <c r="E75" s="136"/>
      <c r="F75" s="136"/>
      <c r="G75" s="189"/>
    </row>
  </sheetData>
  <mergeCells count="10">
    <mergeCell ref="B2:C2"/>
    <mergeCell ref="E2:G2"/>
    <mergeCell ref="I2:M2"/>
    <mergeCell ref="E9:F9"/>
    <mergeCell ref="B16:D16"/>
    <mergeCell ref="F16:G16"/>
    <mergeCell ref="B25:J25"/>
    <mergeCell ref="B33:H33"/>
    <mergeCell ref="B40:I40"/>
    <mergeCell ref="B48:J48"/>
  </mergeCells>
  <pageMargins left="0.7" right="0.7" top="0.75" bottom="0.75" header="0.3" footer="0.3"/>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4:K99"/>
  <sheetViews>
    <sheetView topLeftCell="F1" workbookViewId="0">
      <selection activeCell="G100" sqref="G100"/>
    </sheetView>
  </sheetViews>
  <sheetFormatPr defaultColWidth="9" defaultRowHeight="14.4"/>
  <cols>
    <col min="6" max="6" width="74.4259259259259" customWidth="1"/>
    <col min="7" max="7" width="50.287037037037" style="70" customWidth="1"/>
    <col min="8" max="8" width="46.8518518518519" customWidth="1"/>
    <col min="9" max="9" width="127.287037037037" customWidth="1"/>
    <col min="10" max="10" width="36.287037037037" customWidth="1"/>
    <col min="11" max="11" width="36.712962962963" customWidth="1"/>
  </cols>
  <sheetData>
    <row r="4" ht="18" spans="6:11">
      <c r="F4" s="93" t="s">
        <v>990</v>
      </c>
      <c r="G4" s="94" t="s">
        <v>1089</v>
      </c>
      <c r="H4" s="94" t="s">
        <v>1090</v>
      </c>
      <c r="I4" s="94" t="s">
        <v>1091</v>
      </c>
      <c r="J4" s="94" t="s">
        <v>1092</v>
      </c>
      <c r="K4" s="106" t="s">
        <v>1093</v>
      </c>
    </row>
    <row r="5" ht="18" spans="6:11">
      <c r="F5" s="95" t="s">
        <v>1094</v>
      </c>
      <c r="G5" s="96">
        <v>37</v>
      </c>
      <c r="H5" s="96">
        <v>7.5</v>
      </c>
      <c r="I5" s="96">
        <v>19</v>
      </c>
      <c r="J5" s="96">
        <v>52</v>
      </c>
      <c r="K5" s="96">
        <v>6.3</v>
      </c>
    </row>
    <row r="6" spans="8:8">
      <c r="H6" t="s">
        <v>122</v>
      </c>
    </row>
    <row r="7" ht="18" spans="6:9">
      <c r="F7" s="67"/>
      <c r="G7" s="67" t="s">
        <v>1095</v>
      </c>
      <c r="H7" s="67"/>
      <c r="I7" s="1"/>
    </row>
    <row r="8" ht="17.4" spans="6:9">
      <c r="F8" s="67" t="s">
        <v>291</v>
      </c>
      <c r="G8" s="67" t="s">
        <v>1096</v>
      </c>
      <c r="H8" s="67" t="s">
        <v>281</v>
      </c>
      <c r="I8" s="67" t="s">
        <v>449</v>
      </c>
    </row>
    <row r="9" ht="18" spans="6:9">
      <c r="F9" s="9" t="s">
        <v>990</v>
      </c>
      <c r="G9" s="9" t="s">
        <v>150</v>
      </c>
      <c r="H9" s="9" t="s">
        <v>1094</v>
      </c>
      <c r="I9" s="9" t="s">
        <v>1097</v>
      </c>
    </row>
    <row r="10" ht="18" spans="6:9">
      <c r="F10" s="9" t="s">
        <v>1098</v>
      </c>
      <c r="G10" s="9" t="s">
        <v>577</v>
      </c>
      <c r="H10" s="9">
        <v>37</v>
      </c>
      <c r="I10" s="9" t="s">
        <v>1099</v>
      </c>
    </row>
    <row r="11" ht="18" spans="6:9">
      <c r="F11" s="9" t="s">
        <v>1100</v>
      </c>
      <c r="G11" s="9" t="s">
        <v>1101</v>
      </c>
      <c r="H11" s="9">
        <v>7.5</v>
      </c>
      <c r="I11" s="9" t="s">
        <v>1102</v>
      </c>
    </row>
    <row r="12" ht="18" spans="6:9">
      <c r="F12" s="9" t="s">
        <v>1100</v>
      </c>
      <c r="G12" s="9" t="s">
        <v>1101</v>
      </c>
      <c r="H12" s="9">
        <v>6</v>
      </c>
      <c r="I12" s="9" t="s">
        <v>1103</v>
      </c>
    </row>
    <row r="13" ht="18" spans="6:9">
      <c r="F13" s="9" t="s">
        <v>1104</v>
      </c>
      <c r="G13" s="9" t="s">
        <v>1105</v>
      </c>
      <c r="H13" s="9">
        <v>19</v>
      </c>
      <c r="I13" s="9" t="s">
        <v>1106</v>
      </c>
    </row>
    <row r="14" ht="18" spans="6:9">
      <c r="F14" s="9" t="s">
        <v>1104</v>
      </c>
      <c r="G14" s="9" t="s">
        <v>1105</v>
      </c>
      <c r="H14" s="9">
        <v>15</v>
      </c>
      <c r="I14" s="9" t="s">
        <v>1107</v>
      </c>
    </row>
    <row r="15" ht="18" spans="6:9">
      <c r="F15" s="9" t="s">
        <v>1108</v>
      </c>
      <c r="G15" s="9" t="s">
        <v>1109</v>
      </c>
      <c r="H15" s="9">
        <v>52</v>
      </c>
      <c r="I15" s="9" t="s">
        <v>1110</v>
      </c>
    </row>
    <row r="16" ht="18" spans="6:9">
      <c r="F16" s="9" t="s">
        <v>1111</v>
      </c>
      <c r="G16" s="9" t="s">
        <v>748</v>
      </c>
      <c r="H16" s="9">
        <v>6.3</v>
      </c>
      <c r="I16" s="9" t="s">
        <v>1112</v>
      </c>
    </row>
    <row r="19" ht="17.4" spans="6:9">
      <c r="F19" s="67"/>
      <c r="G19" s="97" t="s">
        <v>1113</v>
      </c>
      <c r="H19" s="67"/>
      <c r="I19" s="67"/>
    </row>
    <row r="20" ht="18" spans="6:9">
      <c r="F20" s="1"/>
      <c r="G20" s="9"/>
      <c r="H20" s="1"/>
      <c r="I20" s="1"/>
    </row>
    <row r="21" ht="17.4" spans="6:9">
      <c r="F21" s="67" t="s">
        <v>291</v>
      </c>
      <c r="G21" s="67" t="s">
        <v>1096</v>
      </c>
      <c r="H21" s="67" t="s">
        <v>281</v>
      </c>
      <c r="I21" s="67" t="s">
        <v>449</v>
      </c>
    </row>
    <row r="22" ht="18" spans="6:9">
      <c r="F22" s="9" t="s">
        <v>1098</v>
      </c>
      <c r="G22" s="9" t="s">
        <v>577</v>
      </c>
      <c r="H22" s="9">
        <v>37</v>
      </c>
      <c r="I22" s="9" t="s">
        <v>1114</v>
      </c>
    </row>
    <row r="23" ht="18" spans="6:9">
      <c r="F23" s="9" t="s">
        <v>1115</v>
      </c>
      <c r="G23" s="9" t="s">
        <v>1101</v>
      </c>
      <c r="H23" s="9">
        <v>7.6</v>
      </c>
      <c r="I23" s="9" t="s">
        <v>1116</v>
      </c>
    </row>
    <row r="24" ht="18" spans="6:9">
      <c r="F24" s="9" t="s">
        <v>1117</v>
      </c>
      <c r="G24" s="9" t="s">
        <v>1101</v>
      </c>
      <c r="H24" s="9">
        <v>6</v>
      </c>
      <c r="I24" s="9" t="s">
        <v>1118</v>
      </c>
    </row>
    <row r="25" ht="18" spans="6:9">
      <c r="F25" s="9" t="s">
        <v>1119</v>
      </c>
      <c r="G25" s="9" t="s">
        <v>1105</v>
      </c>
      <c r="H25" s="9">
        <v>19</v>
      </c>
      <c r="I25" s="9" t="s">
        <v>1120</v>
      </c>
    </row>
    <row r="26" ht="18" spans="6:9">
      <c r="F26" s="9" t="s">
        <v>1121</v>
      </c>
      <c r="G26" s="9" t="s">
        <v>1105</v>
      </c>
      <c r="H26" s="9">
        <v>15</v>
      </c>
      <c r="I26" s="9" t="s">
        <v>1122</v>
      </c>
    </row>
    <row r="27" ht="18" spans="6:9">
      <c r="F27" s="9" t="s">
        <v>1123</v>
      </c>
      <c r="G27" s="9" t="s">
        <v>481</v>
      </c>
      <c r="H27" s="9">
        <v>43825</v>
      </c>
      <c r="I27" s="9" t="s">
        <v>1124</v>
      </c>
    </row>
    <row r="28" ht="18" spans="6:9">
      <c r="F28" s="9" t="s">
        <v>1125</v>
      </c>
      <c r="G28" s="9" t="s">
        <v>481</v>
      </c>
      <c r="H28" s="9">
        <v>42850</v>
      </c>
      <c r="I28" s="9" t="s">
        <v>1126</v>
      </c>
    </row>
    <row r="29" ht="18" spans="6:9">
      <c r="F29" s="9" t="s">
        <v>1127</v>
      </c>
      <c r="G29" s="9" t="s">
        <v>114</v>
      </c>
      <c r="H29" s="9">
        <v>32</v>
      </c>
      <c r="I29" s="815" t="s">
        <v>1128</v>
      </c>
    </row>
    <row r="30" ht="18" spans="6:9">
      <c r="F30" s="9" t="s">
        <v>1129</v>
      </c>
      <c r="G30" s="9" t="s">
        <v>114</v>
      </c>
      <c r="H30" s="9">
        <v>31</v>
      </c>
      <c r="I30" s="815" t="s">
        <v>1128</v>
      </c>
    </row>
    <row r="31" ht="18" spans="6:9">
      <c r="F31" s="9" t="s">
        <v>1130</v>
      </c>
      <c r="G31" s="9" t="s">
        <v>464</v>
      </c>
      <c r="H31" s="9">
        <v>1351</v>
      </c>
      <c r="I31" s="815" t="s">
        <v>1131</v>
      </c>
    </row>
    <row r="32" ht="20.4" spans="6:9">
      <c r="F32" s="98"/>
      <c r="G32" s="98"/>
      <c r="H32" s="98"/>
      <c r="I32" s="98"/>
    </row>
    <row r="33" ht="20.4" spans="6:9">
      <c r="F33" s="98"/>
      <c r="G33" s="98"/>
      <c r="H33" s="98"/>
      <c r="I33" s="98"/>
    </row>
    <row r="34" ht="17.4" spans="6:9">
      <c r="F34" s="99"/>
      <c r="G34" s="100" t="s">
        <v>1132</v>
      </c>
      <c r="H34" s="100"/>
      <c r="I34" s="67"/>
    </row>
    <row r="35" ht="17.4" spans="6:9">
      <c r="F35" s="101"/>
      <c r="G35" s="100"/>
      <c r="H35" s="101"/>
      <c r="I35" s="67"/>
    </row>
    <row r="36" ht="15" customHeight="1" spans="6:9">
      <c r="F36" s="67" t="s">
        <v>291</v>
      </c>
      <c r="G36" s="67" t="s">
        <v>1096</v>
      </c>
      <c r="H36" s="67" t="s">
        <v>281</v>
      </c>
      <c r="I36" s="67" t="s">
        <v>449</v>
      </c>
    </row>
    <row r="37" ht="30" customHeight="1" spans="6:9">
      <c r="F37" s="9" t="s">
        <v>1133</v>
      </c>
      <c r="G37" s="9" t="s">
        <v>577</v>
      </c>
      <c r="H37" s="9">
        <v>17</v>
      </c>
      <c r="I37" s="9" t="s">
        <v>1134</v>
      </c>
    </row>
    <row r="38" ht="18" spans="6:9">
      <c r="F38" s="9" t="s">
        <v>1135</v>
      </c>
      <c r="G38" s="9" t="s">
        <v>577</v>
      </c>
      <c r="H38" s="9">
        <v>7</v>
      </c>
      <c r="I38" s="9" t="s">
        <v>1136</v>
      </c>
    </row>
    <row r="39" ht="20.4" spans="6:10">
      <c r="F39" s="9" t="s">
        <v>1137</v>
      </c>
      <c r="G39" s="9" t="s">
        <v>577</v>
      </c>
      <c r="H39" s="9">
        <v>5</v>
      </c>
      <c r="I39" s="9" t="s">
        <v>1138</v>
      </c>
      <c r="J39" s="107"/>
    </row>
    <row r="40" ht="20.4" spans="6:10">
      <c r="F40" s="9" t="s">
        <v>1139</v>
      </c>
      <c r="G40" s="9" t="s">
        <v>577</v>
      </c>
      <c r="H40" s="9">
        <v>4</v>
      </c>
      <c r="I40" s="9" t="s">
        <v>1140</v>
      </c>
      <c r="J40" s="102"/>
    </row>
    <row r="41" ht="20.4" spans="6:10">
      <c r="F41" s="9" t="s">
        <v>1141</v>
      </c>
      <c r="G41" s="9" t="s">
        <v>577</v>
      </c>
      <c r="H41" s="9">
        <v>2</v>
      </c>
      <c r="I41" s="9" t="s">
        <v>1142</v>
      </c>
      <c r="J41" s="102"/>
    </row>
    <row r="42" ht="20.4" spans="6:10">
      <c r="F42" s="9" t="s">
        <v>1143</v>
      </c>
      <c r="G42" s="9" t="s">
        <v>577</v>
      </c>
      <c r="H42" s="9">
        <v>2</v>
      </c>
      <c r="I42" s="9" t="s">
        <v>1144</v>
      </c>
      <c r="J42" s="102"/>
    </row>
    <row r="43" ht="20.4" spans="6:10">
      <c r="F43" s="9" t="s">
        <v>240</v>
      </c>
      <c r="G43" s="9" t="s">
        <v>577</v>
      </c>
      <c r="H43" s="9">
        <f>SUM(H37:H42)</f>
        <v>37</v>
      </c>
      <c r="I43" s="9" t="s">
        <v>1145</v>
      </c>
      <c r="J43" s="102"/>
    </row>
    <row r="44" ht="20.4" spans="6:10">
      <c r="F44" s="102"/>
      <c r="G44" s="102"/>
      <c r="H44" s="102"/>
      <c r="I44" s="102"/>
      <c r="J44" s="102"/>
    </row>
    <row r="45" ht="20.4" spans="6:10">
      <c r="F45" s="103"/>
      <c r="G45" s="816" t="s">
        <v>1146</v>
      </c>
      <c r="H45" s="103"/>
      <c r="I45" s="103"/>
      <c r="J45" s="108"/>
    </row>
    <row r="46" ht="18" spans="6:9">
      <c r="F46" s="1"/>
      <c r="G46" s="9"/>
      <c r="H46" s="1"/>
      <c r="I46" s="1"/>
    </row>
    <row r="47" ht="17.4" spans="6:9">
      <c r="F47" s="67" t="s">
        <v>291</v>
      </c>
      <c r="G47" s="67" t="s">
        <v>1096</v>
      </c>
      <c r="H47" s="67" t="s">
        <v>281</v>
      </c>
      <c r="I47" s="67" t="s">
        <v>449</v>
      </c>
    </row>
    <row r="48" ht="18" spans="6:9">
      <c r="F48" s="9" t="s">
        <v>1147</v>
      </c>
      <c r="G48" s="9" t="s">
        <v>1101</v>
      </c>
      <c r="H48" s="9">
        <f>PRODUCT(H13,0.4)</f>
        <v>7.6</v>
      </c>
      <c r="I48" s="9" t="s">
        <v>1148</v>
      </c>
    </row>
    <row r="49" ht="18" spans="6:9">
      <c r="F49" s="9" t="s">
        <v>1149</v>
      </c>
      <c r="G49" s="9" t="s">
        <v>1101</v>
      </c>
      <c r="H49" s="9">
        <f>PRODUCT(H26,0.4)</f>
        <v>6</v>
      </c>
      <c r="I49" s="9" t="s">
        <v>1150</v>
      </c>
    </row>
    <row r="50" ht="18" spans="6:9">
      <c r="F50" s="9" t="s">
        <v>1151</v>
      </c>
      <c r="G50" s="9" t="s">
        <v>358</v>
      </c>
      <c r="H50" s="9">
        <v>30</v>
      </c>
      <c r="I50" s="9" t="s">
        <v>1152</v>
      </c>
    </row>
    <row r="51" ht="20.4" spans="6:10">
      <c r="F51" s="9" t="s">
        <v>1153</v>
      </c>
      <c r="G51" s="9" t="s">
        <v>358</v>
      </c>
      <c r="H51" s="9">
        <v>-20</v>
      </c>
      <c r="I51" s="9" t="s">
        <v>1154</v>
      </c>
      <c r="J51" s="98"/>
    </row>
    <row r="52" ht="20.4" spans="6:10">
      <c r="F52" s="91"/>
      <c r="G52" s="105"/>
      <c r="H52" s="105"/>
      <c r="I52" s="91"/>
      <c r="J52" s="91"/>
    </row>
    <row r="53" ht="20.4" spans="6:10">
      <c r="F53" s="91"/>
      <c r="G53" s="97" t="s">
        <v>1155</v>
      </c>
      <c r="H53" s="91"/>
      <c r="I53" s="91"/>
      <c r="J53" s="91"/>
    </row>
    <row r="54" ht="20.4" spans="6:10">
      <c r="F54" s="67" t="s">
        <v>291</v>
      </c>
      <c r="G54" s="67" t="s">
        <v>1096</v>
      </c>
      <c r="H54" s="67" t="s">
        <v>281</v>
      </c>
      <c r="I54" s="67" t="s">
        <v>449</v>
      </c>
      <c r="J54" s="91"/>
    </row>
    <row r="55" ht="20.4" spans="6:10">
      <c r="F55" s="9" t="s">
        <v>1156</v>
      </c>
      <c r="G55" s="9" t="s">
        <v>481</v>
      </c>
      <c r="H55" s="9">
        <v>9000</v>
      </c>
      <c r="I55" s="9" t="s">
        <v>1157</v>
      </c>
      <c r="J55" s="91"/>
    </row>
    <row r="56" ht="20.4" spans="6:10">
      <c r="F56" s="9" t="s">
        <v>1158</v>
      </c>
      <c r="G56" s="9" t="s">
        <v>481</v>
      </c>
      <c r="H56" s="9">
        <v>7200</v>
      </c>
      <c r="I56" s="9" t="s">
        <v>1126</v>
      </c>
      <c r="J56" s="91"/>
    </row>
    <row r="57" ht="18" spans="6:9">
      <c r="F57" s="9" t="s">
        <v>1159</v>
      </c>
      <c r="G57" s="9" t="s">
        <v>481</v>
      </c>
      <c r="H57" s="9">
        <v>3000</v>
      </c>
      <c r="I57" s="9" t="s">
        <v>1160</v>
      </c>
    </row>
    <row r="58" ht="18" spans="6:9">
      <c r="F58" s="9" t="s">
        <v>1161</v>
      </c>
      <c r="G58" s="9" t="s">
        <v>481</v>
      </c>
      <c r="H58" s="9">
        <v>10875</v>
      </c>
      <c r="I58" s="9" t="s">
        <v>1162</v>
      </c>
    </row>
    <row r="59" ht="18" customHeight="1" spans="6:9">
      <c r="F59" s="9" t="s">
        <v>1163</v>
      </c>
      <c r="G59" s="9" t="s">
        <v>481</v>
      </c>
      <c r="H59" s="9">
        <v>8700</v>
      </c>
      <c r="I59" s="9" t="s">
        <v>1126</v>
      </c>
    </row>
    <row r="60" ht="15" customHeight="1" spans="6:9">
      <c r="F60" s="9" t="s">
        <v>1108</v>
      </c>
      <c r="G60" s="9" t="s">
        <v>481</v>
      </c>
      <c r="H60" s="9">
        <f>PRODUCT(52*400)</f>
        <v>20800</v>
      </c>
      <c r="I60" s="9" t="s">
        <v>1164</v>
      </c>
    </row>
    <row r="61" ht="15" customHeight="1" spans="6:9">
      <c r="F61" s="9" t="s">
        <v>1077</v>
      </c>
      <c r="G61" s="9" t="s">
        <v>481</v>
      </c>
      <c r="H61" s="9">
        <f>PRODUCT(6.3,500)</f>
        <v>3150</v>
      </c>
      <c r="I61" s="9" t="s">
        <v>1165</v>
      </c>
    </row>
    <row r="62" ht="15" customHeight="1" spans="6:9">
      <c r="F62" s="9" t="s">
        <v>1166</v>
      </c>
      <c r="G62" s="9" t="s">
        <v>481</v>
      </c>
      <c r="H62" s="9">
        <f>SUM(H55,H58,H60,H61)</f>
        <v>43825</v>
      </c>
      <c r="I62" s="9" t="s">
        <v>1167</v>
      </c>
    </row>
    <row r="63" ht="15" customHeight="1" spans="6:9">
      <c r="F63" s="9" t="s">
        <v>1168</v>
      </c>
      <c r="G63" s="9" t="s">
        <v>481</v>
      </c>
      <c r="H63" s="9">
        <f>SUM(H56,H57,H59,H60,H61)</f>
        <v>42850</v>
      </c>
      <c r="I63" s="9" t="s">
        <v>1167</v>
      </c>
    </row>
    <row r="64" ht="15" customHeight="1" spans="6:9">
      <c r="F64" s="9" t="s">
        <v>1169</v>
      </c>
      <c r="G64" s="9" t="s">
        <v>481</v>
      </c>
      <c r="H64" s="9">
        <f>H63-H62</f>
        <v>-975</v>
      </c>
      <c r="I64" s="9" t="s">
        <v>1170</v>
      </c>
    </row>
    <row r="65" ht="15" customHeight="1" spans="6:7">
      <c r="F65" s="109"/>
      <c r="G65" s="110"/>
    </row>
    <row r="66" ht="15" customHeight="1" spans="6:7">
      <c r="F66" s="109"/>
      <c r="G66" s="110"/>
    </row>
    <row r="67" ht="15" customHeight="1" spans="6:9">
      <c r="F67" s="111"/>
      <c r="G67" s="67" t="s">
        <v>1171</v>
      </c>
      <c r="H67" s="67"/>
      <c r="I67" s="1"/>
    </row>
    <row r="68" ht="15" customHeight="1" spans="6:9">
      <c r="F68" s="67" t="s">
        <v>291</v>
      </c>
      <c r="G68" s="67" t="s">
        <v>1096</v>
      </c>
      <c r="H68" s="67" t="s">
        <v>281</v>
      </c>
      <c r="I68" s="67" t="s">
        <v>449</v>
      </c>
    </row>
    <row r="69" ht="15" customHeight="1" spans="6:9">
      <c r="F69" s="9" t="s">
        <v>1172</v>
      </c>
      <c r="G69" s="9" t="s">
        <v>586</v>
      </c>
      <c r="H69" s="9">
        <f>PRODUCT(H43,365)</f>
        <v>13505</v>
      </c>
      <c r="I69" s="9" t="s">
        <v>1173</v>
      </c>
    </row>
    <row r="70" ht="15" customHeight="1" spans="6:9">
      <c r="F70" s="9" t="s">
        <v>1174</v>
      </c>
      <c r="G70" s="9" t="s">
        <v>1175</v>
      </c>
      <c r="H70" s="9">
        <v>0.1</v>
      </c>
      <c r="I70" s="9" t="s">
        <v>1176</v>
      </c>
    </row>
    <row r="71" ht="15" customHeight="1" spans="6:9">
      <c r="F71" s="9" t="s">
        <v>1130</v>
      </c>
      <c r="G71" s="9" t="s">
        <v>464</v>
      </c>
      <c r="H71" s="9">
        <f>ROUND(PRODUCT(H69,H70),0)</f>
        <v>1351</v>
      </c>
      <c r="I71" s="9" t="s">
        <v>1177</v>
      </c>
    </row>
    <row r="72" ht="15" customHeight="1" spans="6:9">
      <c r="F72" s="9" t="s">
        <v>1123</v>
      </c>
      <c r="G72" s="9" t="s">
        <v>481</v>
      </c>
      <c r="H72" s="9">
        <v>43825</v>
      </c>
      <c r="I72" s="9" t="s">
        <v>1178</v>
      </c>
    </row>
    <row r="73" ht="15" customHeight="1" spans="6:9">
      <c r="F73" s="9" t="s">
        <v>1125</v>
      </c>
      <c r="G73" s="9" t="s">
        <v>481</v>
      </c>
      <c r="H73" s="9">
        <v>42850</v>
      </c>
      <c r="I73" s="9" t="s">
        <v>1178</v>
      </c>
    </row>
    <row r="74" ht="15" customHeight="1" spans="6:9">
      <c r="F74" s="9" t="s">
        <v>1179</v>
      </c>
      <c r="G74" s="9" t="s">
        <v>114</v>
      </c>
      <c r="H74" s="9">
        <f>ROUND(QUOTIENT(H72,H71),1)</f>
        <v>32</v>
      </c>
      <c r="I74" s="9" t="s">
        <v>1180</v>
      </c>
    </row>
    <row r="75" ht="18" spans="6:9">
      <c r="F75" s="9" t="s">
        <v>1181</v>
      </c>
      <c r="G75" s="9" t="s">
        <v>114</v>
      </c>
      <c r="H75" s="9">
        <f>ROUND(QUOTIENT(H73,H71),1)</f>
        <v>31</v>
      </c>
      <c r="I75" s="9" t="s">
        <v>1180</v>
      </c>
    </row>
    <row r="78" ht="18" spans="6:9">
      <c r="F78" s="1"/>
      <c r="G78" s="67" t="s">
        <v>1182</v>
      </c>
      <c r="H78" s="67"/>
      <c r="I78" s="1"/>
    </row>
    <row r="79" ht="17.4" spans="6:9">
      <c r="F79" s="67" t="s">
        <v>291</v>
      </c>
      <c r="G79" s="67" t="s">
        <v>1096</v>
      </c>
      <c r="H79" s="67" t="s">
        <v>1183</v>
      </c>
      <c r="I79" s="67" t="s">
        <v>449</v>
      </c>
    </row>
    <row r="80" ht="18" spans="6:9">
      <c r="F80" s="9" t="s">
        <v>1184</v>
      </c>
      <c r="G80" s="9" t="s">
        <v>1185</v>
      </c>
      <c r="H80" s="9">
        <v>50</v>
      </c>
      <c r="I80" s="9" t="s">
        <v>1186</v>
      </c>
    </row>
    <row r="81" ht="18" spans="6:9">
      <c r="F81" s="9" t="s">
        <v>1187</v>
      </c>
      <c r="G81" s="9" t="s">
        <v>718</v>
      </c>
      <c r="H81" s="9">
        <v>30</v>
      </c>
      <c r="I81" s="9" t="s">
        <v>1188</v>
      </c>
    </row>
    <row r="82" ht="18" spans="6:9">
      <c r="F82" s="9" t="s">
        <v>1189</v>
      </c>
      <c r="G82" s="9" t="s">
        <v>114</v>
      </c>
      <c r="H82" s="9">
        <v>26</v>
      </c>
      <c r="I82" s="9" t="s">
        <v>1190</v>
      </c>
    </row>
    <row r="86" ht="18" spans="7:8">
      <c r="G86" s="112" t="s">
        <v>1191</v>
      </c>
      <c r="H86" s="70"/>
    </row>
    <row r="88" ht="17.4" spans="6:9">
      <c r="F88" s="67" t="s">
        <v>291</v>
      </c>
      <c r="G88" s="67" t="s">
        <v>1096</v>
      </c>
      <c r="H88" s="67" t="s">
        <v>281</v>
      </c>
      <c r="I88" s="67" t="s">
        <v>449</v>
      </c>
    </row>
    <row r="89" ht="18" spans="6:9">
      <c r="F89" s="9" t="s">
        <v>1192</v>
      </c>
      <c r="G89" s="112" t="s">
        <v>595</v>
      </c>
      <c r="H89" s="9" t="s">
        <v>1193</v>
      </c>
      <c r="I89" s="9" t="s">
        <v>1194</v>
      </c>
    </row>
    <row r="90" ht="18" spans="6:9">
      <c r="F90" s="9" t="s">
        <v>1195</v>
      </c>
      <c r="G90" s="9" t="s">
        <v>577</v>
      </c>
      <c r="H90" s="9">
        <v>37</v>
      </c>
      <c r="I90" s="9" t="s">
        <v>1196</v>
      </c>
    </row>
    <row r="91" ht="36" spans="6:9">
      <c r="F91" s="9" t="s">
        <v>1197</v>
      </c>
      <c r="G91" s="9" t="s">
        <v>1198</v>
      </c>
      <c r="H91" s="9">
        <v>400</v>
      </c>
      <c r="I91" s="115" t="s">
        <v>1199</v>
      </c>
    </row>
    <row r="92" ht="18" spans="6:9">
      <c r="F92" s="9" t="s">
        <v>1200</v>
      </c>
      <c r="G92" s="9" t="s">
        <v>1101</v>
      </c>
      <c r="H92" s="9">
        <v>6</v>
      </c>
      <c r="I92" s="9" t="s">
        <v>1201</v>
      </c>
    </row>
    <row r="93" ht="18" spans="6:9">
      <c r="F93" s="9" t="s">
        <v>1202</v>
      </c>
      <c r="G93" s="9" t="s">
        <v>718</v>
      </c>
      <c r="H93" s="9">
        <v>30</v>
      </c>
      <c r="I93" s="9" t="s">
        <v>1203</v>
      </c>
    </row>
    <row r="94" ht="19.5" customHeight="1" spans="6:9">
      <c r="F94" s="113" t="s">
        <v>1204</v>
      </c>
      <c r="G94" s="114" t="s">
        <v>1205</v>
      </c>
      <c r="H94" s="9">
        <v>0.05</v>
      </c>
      <c r="I94" s="114" t="s">
        <v>1206</v>
      </c>
    </row>
    <row r="95" ht="18" spans="6:9">
      <c r="F95" s="9" t="s">
        <v>1207</v>
      </c>
      <c r="G95" s="9" t="s">
        <v>1208</v>
      </c>
      <c r="H95" s="9">
        <f>PRODUCT(H69,H94)</f>
        <v>675.25</v>
      </c>
      <c r="I95" s="9" t="s">
        <v>1209</v>
      </c>
    </row>
    <row r="96" ht="18" spans="6:9">
      <c r="F96" s="9" t="s">
        <v>1210</v>
      </c>
      <c r="G96" s="9" t="s">
        <v>1208</v>
      </c>
      <c r="H96" s="9">
        <f>PRODUCT(H69,0.5)</f>
        <v>6752.5</v>
      </c>
      <c r="I96" s="9" t="s">
        <v>1211</v>
      </c>
    </row>
    <row r="97" ht="18" spans="6:9">
      <c r="F97" s="9" t="s">
        <v>1212</v>
      </c>
      <c r="G97" s="9" t="s">
        <v>358</v>
      </c>
      <c r="H97" s="9">
        <f>(1-H95/H96)*100</f>
        <v>90</v>
      </c>
      <c r="I97" s="9" t="s">
        <v>1213</v>
      </c>
    </row>
    <row r="98" ht="18" spans="6:9">
      <c r="F98" s="9" t="s">
        <v>1214</v>
      </c>
      <c r="G98" s="9" t="s">
        <v>1215</v>
      </c>
      <c r="H98" s="9" t="s">
        <v>1216</v>
      </c>
      <c r="I98" s="9" t="s">
        <v>1217</v>
      </c>
    </row>
    <row r="99" ht="18" spans="6:9">
      <c r="F99" s="9" t="s">
        <v>1218</v>
      </c>
      <c r="G99" s="9" t="s">
        <v>1219</v>
      </c>
      <c r="H99" s="9" t="s">
        <v>1220</v>
      </c>
      <c r="I99" s="9" t="s">
        <v>1221</v>
      </c>
    </row>
  </sheetData>
  <mergeCells count="8">
    <mergeCell ref="G7:H7"/>
    <mergeCell ref="G19:H19"/>
    <mergeCell ref="G34:H34"/>
    <mergeCell ref="G45:H45"/>
    <mergeCell ref="G53:H53"/>
    <mergeCell ref="G67:H67"/>
    <mergeCell ref="G78:H78"/>
    <mergeCell ref="G86:H86"/>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workbookViewId="0">
      <selection activeCell="A26" sqref="A26"/>
    </sheetView>
  </sheetViews>
  <sheetFormatPr defaultColWidth="9" defaultRowHeight="14.4"/>
  <cols>
    <col min="1" max="1" width="93.287037037037" customWidth="1"/>
    <col min="2" max="2" width="125" customWidth="1"/>
    <col min="3" max="3" width="21.4259259259259" customWidth="1"/>
    <col min="4" max="4" width="17.712962962963" customWidth="1"/>
    <col min="5" max="5" width="21.4259259259259" customWidth="1"/>
    <col min="6" max="7" width="40.8518518518519" customWidth="1"/>
    <col min="8" max="8" width="70.1388888888889" customWidth="1"/>
    <col min="9" max="9" width="110.287037037037" customWidth="1"/>
    <col min="10" max="10" width="29.287037037037" customWidth="1"/>
    <col min="11" max="11" width="40.712962962963" customWidth="1"/>
    <col min="12" max="12" width="38.8518518518519" customWidth="1"/>
  </cols>
  <sheetData>
    <row r="1" ht="22.2" spans="1:10">
      <c r="A1" s="75" t="s">
        <v>1222</v>
      </c>
      <c r="B1" s="75"/>
      <c r="C1" s="75"/>
      <c r="D1" s="75"/>
      <c r="E1" s="75"/>
      <c r="F1" s="75"/>
      <c r="G1" s="75"/>
      <c r="H1" s="75"/>
      <c r="I1" s="75"/>
      <c r="J1" s="75"/>
    </row>
    <row r="3" ht="20.4" spans="1:13">
      <c r="A3" s="76" t="s">
        <v>1223</v>
      </c>
      <c r="B3" s="76" t="s">
        <v>1224</v>
      </c>
      <c r="C3" s="76" t="s">
        <v>1225</v>
      </c>
      <c r="D3" s="76" t="s">
        <v>1226</v>
      </c>
      <c r="E3" s="76" t="s">
        <v>1227</v>
      </c>
      <c r="F3" s="77" t="s">
        <v>1228</v>
      </c>
      <c r="G3" s="78" t="s">
        <v>1229</v>
      </c>
      <c r="H3" s="76" t="s">
        <v>148</v>
      </c>
      <c r="I3" s="78" t="s">
        <v>1230</v>
      </c>
      <c r="J3" s="76" t="s">
        <v>1231</v>
      </c>
      <c r="K3" s="76" t="s">
        <v>1232</v>
      </c>
      <c r="L3" s="76" t="s">
        <v>1233</v>
      </c>
      <c r="M3" s="91"/>
    </row>
    <row r="4" ht="21" spans="1:13">
      <c r="A4" s="79" t="s">
        <v>1234</v>
      </c>
      <c r="B4" s="79" t="s">
        <v>1235</v>
      </c>
      <c r="C4" s="79">
        <v>8</v>
      </c>
      <c r="D4" s="79">
        <v>6</v>
      </c>
      <c r="E4" s="79">
        <v>48</v>
      </c>
      <c r="F4" s="80" t="s">
        <v>1236</v>
      </c>
      <c r="G4" s="81" t="s">
        <v>1237</v>
      </c>
      <c r="H4" s="79" t="s">
        <v>1238</v>
      </c>
      <c r="I4" s="81" t="s">
        <v>1239</v>
      </c>
      <c r="J4" s="92">
        <v>3000</v>
      </c>
      <c r="K4" s="79">
        <v>500</v>
      </c>
      <c r="L4" s="79">
        <v>1.5</v>
      </c>
      <c r="M4" s="91"/>
    </row>
    <row r="5" ht="21" spans="1:13">
      <c r="A5" s="79" t="s">
        <v>1240</v>
      </c>
      <c r="B5" s="79" t="s">
        <v>1241</v>
      </c>
      <c r="C5" s="79">
        <v>6</v>
      </c>
      <c r="D5" s="79">
        <v>5</v>
      </c>
      <c r="E5" s="79">
        <v>30</v>
      </c>
      <c r="F5" s="80" t="s">
        <v>1242</v>
      </c>
      <c r="G5" s="81" t="s">
        <v>1243</v>
      </c>
      <c r="H5" s="79" t="s">
        <v>1244</v>
      </c>
      <c r="I5" s="81" t="s">
        <v>1245</v>
      </c>
      <c r="J5" s="92">
        <v>5000</v>
      </c>
      <c r="K5" s="92">
        <v>1000</v>
      </c>
      <c r="L5" s="79" t="s">
        <v>1246</v>
      </c>
      <c r="M5" s="91"/>
    </row>
    <row r="6" ht="21" spans="1:13">
      <c r="A6" s="79" t="s">
        <v>1247</v>
      </c>
      <c r="B6" s="79" t="s">
        <v>1248</v>
      </c>
      <c r="C6" s="79">
        <v>20</v>
      </c>
      <c r="D6" s="79">
        <v>12</v>
      </c>
      <c r="E6" s="79">
        <v>240</v>
      </c>
      <c r="F6" s="80" t="s">
        <v>1249</v>
      </c>
      <c r="G6" s="81" t="s">
        <v>1250</v>
      </c>
      <c r="H6" s="79" t="s">
        <v>1251</v>
      </c>
      <c r="I6" s="81" t="s">
        <v>1252</v>
      </c>
      <c r="J6" s="92">
        <v>10000</v>
      </c>
      <c r="K6" s="92">
        <v>1500</v>
      </c>
      <c r="L6" s="79">
        <v>8</v>
      </c>
      <c r="M6" s="91"/>
    </row>
    <row r="7" ht="21" spans="1:13">
      <c r="A7" s="79" t="s">
        <v>1253</v>
      </c>
      <c r="B7" s="79" t="s">
        <v>1254</v>
      </c>
      <c r="C7" s="79">
        <v>7</v>
      </c>
      <c r="D7" s="79">
        <v>5</v>
      </c>
      <c r="E7" s="79">
        <v>35</v>
      </c>
      <c r="F7" s="80" t="s">
        <v>1255</v>
      </c>
      <c r="G7" s="81" t="s">
        <v>1256</v>
      </c>
      <c r="H7" s="79" t="s">
        <v>1257</v>
      </c>
      <c r="I7" s="81" t="s">
        <v>1258</v>
      </c>
      <c r="J7" s="92">
        <v>6000</v>
      </c>
      <c r="K7" s="92">
        <v>1000</v>
      </c>
      <c r="L7" s="79">
        <v>2</v>
      </c>
      <c r="M7" s="91"/>
    </row>
    <row r="8" ht="21" spans="1:13">
      <c r="A8" s="79" t="s">
        <v>1259</v>
      </c>
      <c r="B8" s="79" t="s">
        <v>1260</v>
      </c>
      <c r="C8" s="79">
        <v>5</v>
      </c>
      <c r="D8" s="79">
        <v>4</v>
      </c>
      <c r="E8" s="79">
        <v>20</v>
      </c>
      <c r="F8" s="82" t="s">
        <v>1261</v>
      </c>
      <c r="G8" s="81" t="s">
        <v>1262</v>
      </c>
      <c r="H8" s="79" t="s">
        <v>1263</v>
      </c>
      <c r="I8" s="81" t="s">
        <v>1264</v>
      </c>
      <c r="J8" s="92">
        <v>8000</v>
      </c>
      <c r="K8" s="92">
        <v>1200</v>
      </c>
      <c r="L8" s="79">
        <v>5</v>
      </c>
      <c r="M8" s="91"/>
    </row>
    <row r="9" ht="21" spans="1:13">
      <c r="A9" s="79" t="s">
        <v>1265</v>
      </c>
      <c r="B9" s="79" t="s">
        <v>1266</v>
      </c>
      <c r="C9" s="79">
        <v>8</v>
      </c>
      <c r="D9" s="79">
        <v>6</v>
      </c>
      <c r="E9" s="79">
        <v>48</v>
      </c>
      <c r="F9" s="80" t="s">
        <v>1236</v>
      </c>
      <c r="G9" s="81" t="s">
        <v>1237</v>
      </c>
      <c r="H9" s="79" t="s">
        <v>1267</v>
      </c>
      <c r="I9" s="81" t="s">
        <v>1268</v>
      </c>
      <c r="J9" s="92">
        <v>2000</v>
      </c>
      <c r="K9" s="79">
        <v>400</v>
      </c>
      <c r="L9" s="79">
        <v>1</v>
      </c>
      <c r="M9" s="91"/>
    </row>
    <row r="10" ht="21" spans="1:13">
      <c r="A10" s="79" t="s">
        <v>1269</v>
      </c>
      <c r="B10" s="79" t="s">
        <v>1270</v>
      </c>
      <c r="C10" s="79">
        <v>4</v>
      </c>
      <c r="D10" s="79">
        <v>3</v>
      </c>
      <c r="E10" s="79">
        <v>12</v>
      </c>
      <c r="F10" s="80" t="s">
        <v>1271</v>
      </c>
      <c r="G10" s="81" t="s">
        <v>1271</v>
      </c>
      <c r="H10" s="79" t="s">
        <v>1272</v>
      </c>
      <c r="I10" s="81" t="s">
        <v>1273</v>
      </c>
      <c r="J10" s="92">
        <v>12000</v>
      </c>
      <c r="K10" s="92">
        <v>2000</v>
      </c>
      <c r="L10" s="79" t="s">
        <v>1271</v>
      </c>
      <c r="M10" s="91"/>
    </row>
    <row r="11" ht="21" spans="1:13">
      <c r="A11" s="79" t="s">
        <v>1274</v>
      </c>
      <c r="B11" s="79" t="s">
        <v>1275</v>
      </c>
      <c r="C11" s="79">
        <v>6</v>
      </c>
      <c r="D11" s="79">
        <v>4</v>
      </c>
      <c r="E11" s="79">
        <v>24</v>
      </c>
      <c r="F11" s="80" t="s">
        <v>1276</v>
      </c>
      <c r="G11" s="81" t="s">
        <v>1237</v>
      </c>
      <c r="H11" s="79" t="s">
        <v>1277</v>
      </c>
      <c r="I11" s="81" t="s">
        <v>1278</v>
      </c>
      <c r="J11" s="92">
        <v>5000</v>
      </c>
      <c r="K11" s="79">
        <v>800</v>
      </c>
      <c r="L11" s="79">
        <v>0.5</v>
      </c>
      <c r="M11" s="91"/>
    </row>
    <row r="14" ht="20.4" spans="1:1">
      <c r="A14" s="83" t="s">
        <v>1279</v>
      </c>
    </row>
    <row r="15" ht="21" spans="1:2">
      <c r="A15" s="84" t="s">
        <v>1280</v>
      </c>
      <c r="B15" s="76" t="s">
        <v>1281</v>
      </c>
    </row>
    <row r="16" ht="21" spans="1:2">
      <c r="A16" s="84" t="s">
        <v>1282</v>
      </c>
      <c r="B16" s="85" t="s">
        <v>1283</v>
      </c>
    </row>
    <row r="17" ht="21" spans="1:2">
      <c r="A17" s="84" t="s">
        <v>1284</v>
      </c>
      <c r="B17" s="85" t="s">
        <v>1285</v>
      </c>
    </row>
    <row r="18" ht="21" spans="1:2">
      <c r="A18" s="84" t="s">
        <v>1286</v>
      </c>
      <c r="B18" s="86"/>
    </row>
    <row r="19" ht="21" spans="1:2">
      <c r="A19" s="84" t="s">
        <v>1287</v>
      </c>
      <c r="B19" s="87"/>
    </row>
    <row r="20" ht="21" spans="1:2">
      <c r="A20" s="88" t="s">
        <v>1288</v>
      </c>
      <c r="B20" s="87"/>
    </row>
    <row r="21" ht="21" spans="1:1">
      <c r="A21" s="88" t="s">
        <v>1289</v>
      </c>
    </row>
    <row r="22" ht="21" spans="1:1">
      <c r="A22" s="85" t="s">
        <v>1290</v>
      </c>
    </row>
    <row r="27" ht="15" customHeight="1" spans="1:2">
      <c r="A27" s="89"/>
      <c r="B27" s="90" t="s">
        <v>1291</v>
      </c>
    </row>
    <row r="28" spans="2:2">
      <c r="B28" s="90"/>
    </row>
    <row r="29" spans="2:2">
      <c r="B29" s="90"/>
    </row>
    <row r="30" spans="2:2">
      <c r="B30" s="90"/>
    </row>
    <row r="31" spans="2:2">
      <c r="B31" s="90"/>
    </row>
    <row r="32" spans="2:2">
      <c r="B32" s="90"/>
    </row>
    <row r="33" spans="2:2">
      <c r="B33" s="90"/>
    </row>
    <row r="34" spans="2:2">
      <c r="B34" s="90"/>
    </row>
    <row r="35" spans="2:2">
      <c r="B35" s="90"/>
    </row>
    <row r="36" spans="2:2">
      <c r="B36" s="90"/>
    </row>
    <row r="37" spans="2:2">
      <c r="B37" s="90"/>
    </row>
    <row r="38" spans="2:2">
      <c r="B38" s="90"/>
    </row>
    <row r="39" spans="2:2">
      <c r="B39" s="90"/>
    </row>
    <row r="40" spans="2:2">
      <c r="B40" s="90"/>
    </row>
    <row r="41" spans="2:2">
      <c r="B41" s="90"/>
    </row>
    <row r="42" spans="2:2">
      <c r="B42" s="90"/>
    </row>
    <row r="43" spans="2:2">
      <c r="B43" s="90"/>
    </row>
    <row r="44" spans="2:2">
      <c r="B44" s="90"/>
    </row>
    <row r="45" spans="2:2">
      <c r="B45" s="90"/>
    </row>
    <row r="46" spans="2:2">
      <c r="B46" s="90"/>
    </row>
    <row r="47" spans="2:2">
      <c r="B47" s="90"/>
    </row>
  </sheetData>
  <mergeCells count="2">
    <mergeCell ref="A1:J1"/>
    <mergeCell ref="B27:B47"/>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
  <sheetViews>
    <sheetView workbookViewId="0">
      <selection activeCell="B14" sqref="B14"/>
    </sheetView>
  </sheetViews>
  <sheetFormatPr defaultColWidth="9" defaultRowHeight="14.4"/>
  <cols>
    <col min="1" max="1" width="32.5740740740741" customWidth="1"/>
    <col min="2" max="2" width="58.5740740740741" customWidth="1"/>
    <col min="3" max="3" width="30.4259259259259" customWidth="1"/>
    <col min="4" max="4" width="27.1388888888889" customWidth="1"/>
    <col min="5" max="5" width="14.287037037037" customWidth="1"/>
    <col min="6" max="6" width="10.8518518518519" customWidth="1"/>
    <col min="7" max="7" width="20.4259259259259" customWidth="1"/>
    <col min="8" max="8" width="50.5740740740741" customWidth="1"/>
    <col min="9" max="9" width="26.287037037037" customWidth="1"/>
  </cols>
  <sheetData>
    <row r="1" ht="20.4" spans="2:4">
      <c r="B1" s="17" t="s">
        <v>1292</v>
      </c>
      <c r="C1" s="18"/>
      <c r="D1" s="18"/>
    </row>
    <row r="2" ht="18.75" customHeight="1" spans="2:4">
      <c r="B2" s="19"/>
      <c r="C2" s="19"/>
      <c r="D2" s="19"/>
    </row>
    <row r="3" ht="22.5" customHeight="1" spans="2:4">
      <c r="B3" s="19"/>
      <c r="C3" s="19"/>
      <c r="D3" s="19"/>
    </row>
    <row r="4" ht="17.4" spans="1:4">
      <c r="A4" s="20" t="s">
        <v>1293</v>
      </c>
      <c r="B4" s="21"/>
      <c r="C4" s="22"/>
      <c r="D4" s="22"/>
    </row>
    <row r="5" spans="1:4">
      <c r="A5" s="23"/>
      <c r="B5" s="23"/>
      <c r="C5" s="23"/>
      <c r="D5" s="24"/>
    </row>
    <row r="6" spans="1:5">
      <c r="A6" s="25" t="s">
        <v>1294</v>
      </c>
      <c r="B6" s="25" t="s">
        <v>1295</v>
      </c>
      <c r="C6" s="25" t="s">
        <v>1296</v>
      </c>
      <c r="D6" s="25" t="s">
        <v>1297</v>
      </c>
      <c r="E6" s="25" t="s">
        <v>1298</v>
      </c>
    </row>
    <row r="7" spans="1:5">
      <c r="A7" s="26" t="s">
        <v>1299</v>
      </c>
      <c r="B7" s="27">
        <v>80</v>
      </c>
      <c r="C7" s="27">
        <v>160</v>
      </c>
      <c r="D7" s="27">
        <v>80</v>
      </c>
      <c r="E7" s="28">
        <v>1</v>
      </c>
    </row>
    <row r="8" spans="1:5">
      <c r="A8" s="26" t="s">
        <v>1300</v>
      </c>
      <c r="B8" s="27" t="s">
        <v>1301</v>
      </c>
      <c r="C8" s="27" t="s">
        <v>1302</v>
      </c>
      <c r="D8" s="817" t="s">
        <v>1303</v>
      </c>
      <c r="E8" s="29" t="s">
        <v>1304</v>
      </c>
    </row>
    <row r="9" spans="1:5">
      <c r="A9" s="26" t="s">
        <v>1305</v>
      </c>
      <c r="B9" s="27" t="s">
        <v>1306</v>
      </c>
      <c r="C9" s="27">
        <v>0</v>
      </c>
      <c r="D9" s="817" t="s">
        <v>1307</v>
      </c>
      <c r="E9" s="28">
        <v>1</v>
      </c>
    </row>
    <row r="10" spans="1:5">
      <c r="A10" s="26" t="s">
        <v>1308</v>
      </c>
      <c r="B10" s="30">
        <v>0.55</v>
      </c>
      <c r="C10" s="30">
        <v>0.85</v>
      </c>
      <c r="D10" s="30">
        <v>0.3</v>
      </c>
      <c r="E10" s="29" t="s">
        <v>1309</v>
      </c>
    </row>
    <row r="11" spans="1:5">
      <c r="A11" s="26" t="s">
        <v>1310</v>
      </c>
      <c r="B11" s="30">
        <v>0.6</v>
      </c>
      <c r="C11" s="30">
        <v>0.92</v>
      </c>
      <c r="D11" s="30">
        <v>0.32</v>
      </c>
      <c r="E11" s="29" t="s">
        <v>1311</v>
      </c>
    </row>
    <row r="12" spans="1:5">
      <c r="A12" s="26" t="s">
        <v>1312</v>
      </c>
      <c r="B12" s="27">
        <v>5</v>
      </c>
      <c r="C12" s="27">
        <v>9</v>
      </c>
      <c r="D12" s="27">
        <v>4</v>
      </c>
      <c r="E12" s="28">
        <v>0.8</v>
      </c>
    </row>
    <row r="13" spans="2:3">
      <c r="B13" s="31"/>
      <c r="C13" s="31"/>
    </row>
    <row r="14" spans="2:2">
      <c r="B14" s="32" t="s">
        <v>1313</v>
      </c>
    </row>
    <row r="15" spans="1:2">
      <c r="A15" s="33"/>
      <c r="B15" s="33"/>
    </row>
    <row r="16" spans="1:3">
      <c r="A16" s="34" t="s">
        <v>1314</v>
      </c>
      <c r="B16" s="34" t="s">
        <v>150</v>
      </c>
      <c r="C16" s="35" t="s">
        <v>1315</v>
      </c>
    </row>
    <row r="17" ht="17.4" spans="1:4">
      <c r="A17" s="36" t="s">
        <v>1316</v>
      </c>
      <c r="B17" s="36" t="s">
        <v>1317</v>
      </c>
      <c r="C17" s="37">
        <v>1.832</v>
      </c>
      <c r="D17" s="38"/>
    </row>
    <row r="18" ht="22.2" spans="1:8">
      <c r="A18" s="39" t="s">
        <v>1318</v>
      </c>
      <c r="B18" s="39" t="s">
        <v>1319</v>
      </c>
      <c r="C18" s="37">
        <v>1.374</v>
      </c>
      <c r="H18" s="40" t="s">
        <v>234</v>
      </c>
    </row>
    <row r="19" spans="1:3">
      <c r="A19" s="36" t="s">
        <v>1320</v>
      </c>
      <c r="B19" s="36" t="s">
        <v>1321</v>
      </c>
      <c r="C19" s="37">
        <v>916</v>
      </c>
    </row>
    <row r="20" spans="1:9">
      <c r="A20" s="39" t="s">
        <v>1322</v>
      </c>
      <c r="B20" s="39" t="s">
        <v>1323</v>
      </c>
      <c r="C20" s="37">
        <v>458</v>
      </c>
      <c r="F20" s="34"/>
      <c r="G20" s="41" t="s">
        <v>362</v>
      </c>
      <c r="H20" s="42" t="s">
        <v>150</v>
      </c>
      <c r="I20" s="71" t="s">
        <v>363</v>
      </c>
    </row>
    <row r="21" spans="1:9">
      <c r="A21" s="36" t="s">
        <v>1324</v>
      </c>
      <c r="B21" s="36" t="s">
        <v>1325</v>
      </c>
      <c r="C21" s="37">
        <v>611</v>
      </c>
      <c r="G21" s="43" t="s">
        <v>1326</v>
      </c>
      <c r="H21" s="44" t="s">
        <v>1327</v>
      </c>
      <c r="I21" s="72" t="s">
        <v>1328</v>
      </c>
    </row>
    <row r="22" spans="1:9">
      <c r="A22" s="39" t="s">
        <v>1329</v>
      </c>
      <c r="B22" s="39" t="s">
        <v>1330</v>
      </c>
      <c r="C22" s="37">
        <v>458</v>
      </c>
      <c r="G22" s="45" t="s">
        <v>1331</v>
      </c>
      <c r="H22" s="46" t="s">
        <v>1332</v>
      </c>
      <c r="I22" s="72" t="s">
        <v>1333</v>
      </c>
    </row>
    <row r="23" spans="1:9">
      <c r="A23" s="36" t="s">
        <v>1334</v>
      </c>
      <c r="B23" s="36" t="s">
        <v>1335</v>
      </c>
      <c r="C23" s="37">
        <v>1.832</v>
      </c>
      <c r="G23" s="47" t="s">
        <v>1336</v>
      </c>
      <c r="H23" s="48" t="s">
        <v>1337</v>
      </c>
      <c r="I23" s="73" t="s">
        <v>1338</v>
      </c>
    </row>
    <row r="24" spans="1:9">
      <c r="A24" s="39" t="s">
        <v>1339</v>
      </c>
      <c r="B24" s="39" t="s">
        <v>1340</v>
      </c>
      <c r="C24" s="37">
        <v>229</v>
      </c>
      <c r="G24" s="43" t="s">
        <v>1341</v>
      </c>
      <c r="H24" s="49" t="s">
        <v>1342</v>
      </c>
      <c r="I24" s="74" t="s">
        <v>1343</v>
      </c>
    </row>
    <row r="25" spans="1:9">
      <c r="A25" s="36" t="s">
        <v>1344</v>
      </c>
      <c r="B25" s="36" t="s">
        <v>1345</v>
      </c>
      <c r="C25" s="37">
        <v>763</v>
      </c>
      <c r="G25" s="45" t="s">
        <v>1346</v>
      </c>
      <c r="H25" s="44" t="s">
        <v>1347</v>
      </c>
      <c r="I25" s="73" t="s">
        <v>1348</v>
      </c>
    </row>
    <row r="26" spans="1:3">
      <c r="A26" s="50" t="s">
        <v>1349</v>
      </c>
      <c r="B26" s="39"/>
      <c r="C26" s="37">
        <v>8.473</v>
      </c>
    </row>
    <row r="27" spans="1:2">
      <c r="A27" s="33"/>
      <c r="B27" s="33"/>
    </row>
    <row r="30" ht="31.5" customHeight="1" spans="4:4">
      <c r="D30" s="51"/>
    </row>
    <row r="31" ht="15" customHeight="1" spans="3:4">
      <c r="C31" s="51"/>
      <c r="D31" s="51"/>
    </row>
    <row r="33" ht="15" customHeight="1" spans="2:9">
      <c r="B33" s="52"/>
      <c r="C33" s="52"/>
      <c r="D33" s="52"/>
      <c r="E33" s="53"/>
      <c r="F33" s="53"/>
      <c r="G33" s="53"/>
      <c r="H33" s="53"/>
      <c r="I33" s="53"/>
    </row>
    <row r="34" ht="15" customHeight="1" spans="2:9">
      <c r="B34" s="52"/>
      <c r="C34" s="52"/>
      <c r="D34" s="52"/>
      <c r="E34" s="53"/>
      <c r="F34" s="53"/>
      <c r="G34" s="53"/>
      <c r="H34" s="53"/>
      <c r="I34" s="53"/>
    </row>
    <row r="35" spans="2:9">
      <c r="B35" s="54"/>
      <c r="C35" s="54"/>
      <c r="D35" s="55"/>
      <c r="E35" s="56"/>
      <c r="F35" s="56"/>
      <c r="G35" s="56"/>
      <c r="H35" s="57"/>
      <c r="I35" s="58"/>
    </row>
    <row r="36" spans="2:9">
      <c r="B36" s="54"/>
      <c r="C36" s="54"/>
      <c r="D36" s="55"/>
      <c r="E36" s="56"/>
      <c r="F36" s="56"/>
      <c r="G36" s="56"/>
      <c r="H36" s="58"/>
      <c r="I36" s="58"/>
    </row>
    <row r="37" spans="2:9">
      <c r="B37" s="54"/>
      <c r="C37" s="54"/>
      <c r="D37" s="55"/>
      <c r="E37" s="59"/>
      <c r="F37" s="59"/>
      <c r="G37" s="59"/>
      <c r="H37" s="58"/>
      <c r="I37" s="58"/>
    </row>
    <row r="38" spans="2:9">
      <c r="B38" s="60"/>
      <c r="C38" s="61"/>
      <c r="D38" s="62"/>
      <c r="E38" s="59"/>
      <c r="F38" s="59"/>
      <c r="G38" s="59"/>
      <c r="H38" s="58"/>
      <c r="I38" s="58"/>
    </row>
    <row r="39" spans="2:9">
      <c r="B39" s="60"/>
      <c r="C39" s="61"/>
      <c r="D39" s="62"/>
      <c r="E39" s="59"/>
      <c r="F39" s="59"/>
      <c r="G39" s="59"/>
      <c r="H39" s="58"/>
      <c r="I39" s="58"/>
    </row>
    <row r="40" ht="17.4" spans="2:9">
      <c r="B40" s="54"/>
      <c r="C40" s="63"/>
      <c r="D40" s="62"/>
      <c r="E40" s="64"/>
      <c r="F40" s="64"/>
      <c r="G40" s="64"/>
      <c r="H40" s="59"/>
      <c r="I40" s="59"/>
    </row>
    <row r="41" spans="2:9">
      <c r="B41" s="54"/>
      <c r="C41" s="61"/>
      <c r="D41" s="62"/>
      <c r="E41" s="56"/>
      <c r="F41" s="56"/>
      <c r="G41" s="56"/>
      <c r="H41" s="59"/>
      <c r="I41" s="59"/>
    </row>
    <row r="42" spans="2:9">
      <c r="B42" s="54"/>
      <c r="C42" s="61"/>
      <c r="D42" s="65"/>
      <c r="E42" s="56"/>
      <c r="F42" s="56"/>
      <c r="G42" s="56"/>
      <c r="H42" s="59"/>
      <c r="I42" s="59"/>
    </row>
    <row r="43" spans="2:9">
      <c r="B43" s="54"/>
      <c r="C43" s="61"/>
      <c r="D43" s="65"/>
      <c r="E43" s="56"/>
      <c r="F43" s="56"/>
      <c r="G43" s="56"/>
      <c r="H43" s="59"/>
      <c r="I43" s="59"/>
    </row>
    <row r="44" spans="2:9">
      <c r="B44" s="54"/>
      <c r="C44" s="61"/>
      <c r="D44" s="66"/>
      <c r="E44" s="56"/>
      <c r="F44" s="56"/>
      <c r="G44" s="56"/>
      <c r="H44" s="59"/>
      <c r="I44" s="59"/>
    </row>
    <row r="45" spans="2:9">
      <c r="B45" s="54"/>
      <c r="C45" s="66"/>
      <c r="D45" s="66"/>
      <c r="E45" s="59"/>
      <c r="F45" s="59"/>
      <c r="G45" s="59"/>
      <c r="H45" s="59"/>
      <c r="I45" s="59"/>
    </row>
    <row r="46" ht="17.4" spans="2:9">
      <c r="B46" s="67"/>
      <c r="C46" s="64"/>
      <c r="D46" s="64"/>
      <c r="E46" s="64"/>
      <c r="F46" s="64"/>
      <c r="G46" s="64"/>
      <c r="H46" s="64"/>
      <c r="I46" s="64"/>
    </row>
    <row r="47" spans="2:9">
      <c r="B47" s="68"/>
      <c r="C47" s="69"/>
      <c r="D47" s="69"/>
      <c r="E47" s="69"/>
      <c r="F47" s="69"/>
      <c r="G47" s="69"/>
      <c r="H47" s="69"/>
      <c r="I47" s="69"/>
    </row>
    <row r="48" spans="2:9">
      <c r="B48" s="68"/>
      <c r="C48" s="69"/>
      <c r="D48" s="69"/>
      <c r="E48" s="69"/>
      <c r="F48" s="69"/>
      <c r="G48" s="69"/>
      <c r="H48" s="69"/>
      <c r="I48" s="69"/>
    </row>
    <row r="49" spans="2:9">
      <c r="B49" s="68"/>
      <c r="C49" s="69"/>
      <c r="D49" s="69"/>
      <c r="E49" s="69"/>
      <c r="F49" s="69"/>
      <c r="G49" s="69"/>
      <c r="H49" s="69"/>
      <c r="I49" s="69"/>
    </row>
    <row r="50" spans="2:9">
      <c r="B50" s="68"/>
      <c r="C50" s="69"/>
      <c r="D50" s="61"/>
      <c r="E50" s="61"/>
      <c r="F50" s="61"/>
      <c r="G50" s="61"/>
      <c r="H50" s="61"/>
      <c r="I50" s="61"/>
    </row>
    <row r="51" spans="2:9">
      <c r="B51" s="70"/>
      <c r="C51" s="59"/>
      <c r="D51" s="59"/>
      <c r="E51" s="59"/>
      <c r="F51" s="59"/>
      <c r="G51" s="59"/>
      <c r="H51" s="59"/>
      <c r="I51" s="59"/>
    </row>
    <row r="52" spans="2:9">
      <c r="B52" s="70"/>
      <c r="C52" s="59"/>
      <c r="D52" s="59"/>
      <c r="E52" s="59"/>
      <c r="F52" s="59"/>
      <c r="G52" s="59"/>
      <c r="H52" s="59"/>
      <c r="I52" s="59"/>
    </row>
  </sheetData>
  <mergeCells count="43">
    <mergeCell ref="B1:D1"/>
    <mergeCell ref="H35:I35"/>
    <mergeCell ref="H36:I36"/>
    <mergeCell ref="E37:F37"/>
    <mergeCell ref="H37:I37"/>
    <mergeCell ref="E38:F38"/>
    <mergeCell ref="H38:I38"/>
    <mergeCell ref="E39:F39"/>
    <mergeCell ref="H39:I39"/>
    <mergeCell ref="E40:G40"/>
    <mergeCell ref="H40:I40"/>
    <mergeCell ref="H41:I41"/>
    <mergeCell ref="H42:I42"/>
    <mergeCell ref="H43:I43"/>
    <mergeCell ref="H44:I44"/>
    <mergeCell ref="E45:G45"/>
    <mergeCell ref="H45:I45"/>
    <mergeCell ref="B46:C46"/>
    <mergeCell ref="D46:I46"/>
    <mergeCell ref="B47:C47"/>
    <mergeCell ref="D47:I47"/>
    <mergeCell ref="B48:C48"/>
    <mergeCell ref="D48:I48"/>
    <mergeCell ref="B49:C49"/>
    <mergeCell ref="D49:I49"/>
    <mergeCell ref="B50:C50"/>
    <mergeCell ref="B51:C51"/>
    <mergeCell ref="D51:I51"/>
    <mergeCell ref="B52:C52"/>
    <mergeCell ref="D52:I52"/>
    <mergeCell ref="B33:B34"/>
    <mergeCell ref="B38:B39"/>
    <mergeCell ref="C33:C34"/>
    <mergeCell ref="D33:D34"/>
    <mergeCell ref="D35:D37"/>
    <mergeCell ref="D38:D39"/>
    <mergeCell ref="D40:D41"/>
    <mergeCell ref="D42:D43"/>
    <mergeCell ref="E33:G34"/>
    <mergeCell ref="H33:I34"/>
    <mergeCell ref="E35:G36"/>
    <mergeCell ref="E41:G42"/>
    <mergeCell ref="E43:G44"/>
  </mergeCells>
  <hyperlinks>
    <hyperlink ref="I21" r:id="rId4" display="https://www.upwork.com"/>
    <hyperlink ref="I22" r:id="rId5" display="https://ai4d.ai"/>
    <hyperlink ref="I23" r:id="rId6" display="https://huggingface.co"/>
    <hyperlink ref="I24" r:id="rId7" display="https://cloud.google.com"/>
    <hyperlink ref="I25" r:id="rId8" display="https://www.apibf.bf"/>
  </hyperlinks>
  <pageMargins left="0.7" right="0.7" top="0.75" bottom="0.75" header="0.3" footer="0.3"/>
  <headerFooter/>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6"/>
  <sheetViews>
    <sheetView workbookViewId="0">
      <selection activeCell="A42" sqref="A42"/>
    </sheetView>
  </sheetViews>
  <sheetFormatPr defaultColWidth="9" defaultRowHeight="18" outlineLevelCol="5"/>
  <cols>
    <col min="1" max="1" width="136.138888888889" style="1" customWidth="1"/>
    <col min="2" max="2" width="111.287037037037" style="1" customWidth="1"/>
    <col min="3" max="3" width="75.8518518518518" style="1" customWidth="1"/>
    <col min="4" max="4" width="43.8518518518519" style="1" customWidth="1"/>
    <col min="5" max="5" width="48.287037037037" style="1" customWidth="1"/>
    <col min="6" max="6" width="60.287037037037" style="1" customWidth="1"/>
    <col min="7" max="16384" width="9.13888888888889" style="1"/>
  </cols>
  <sheetData>
    <row r="1" spans="1:1">
      <c r="A1" s="2" t="s">
        <v>1350</v>
      </c>
    </row>
    <row r="2" spans="1:3">
      <c r="A2" s="3"/>
      <c r="B2" s="3"/>
      <c r="C2" s="3"/>
    </row>
    <row r="3" spans="1:3">
      <c r="A3" s="3" t="s">
        <v>1351</v>
      </c>
      <c r="B3" s="3" t="s">
        <v>1352</v>
      </c>
      <c r="C3" s="4" t="s">
        <v>1353</v>
      </c>
    </row>
    <row r="4" spans="1:3">
      <c r="A4" s="5" t="s">
        <v>1354</v>
      </c>
      <c r="B4" s="6">
        <f>SUM(E29:E30)</f>
        <v>11770</v>
      </c>
      <c r="C4" s="5" t="s">
        <v>1355</v>
      </c>
    </row>
    <row r="5" ht="36" spans="1:3">
      <c r="A5" s="5" t="s">
        <v>1130</v>
      </c>
      <c r="B5" s="6">
        <f>SUM(B45:B47)</f>
        <v>27400</v>
      </c>
      <c r="C5" s="5" t="s">
        <v>1356</v>
      </c>
    </row>
    <row r="6" spans="1:3">
      <c r="A6" s="5" t="s">
        <v>1357</v>
      </c>
      <c r="B6" s="2">
        <f>B53/B54</f>
        <v>0.42956204379562</v>
      </c>
      <c r="C6" s="5" t="s">
        <v>1358</v>
      </c>
    </row>
    <row r="7" spans="1:3">
      <c r="A7" s="5" t="s">
        <v>1359</v>
      </c>
      <c r="B7" s="7">
        <f>B54/B53</f>
        <v>2.32795242141037</v>
      </c>
      <c r="C7" s="8" t="s">
        <v>1360</v>
      </c>
    </row>
    <row r="9" spans="2:6">
      <c r="B9" s="9"/>
      <c r="C9" s="9"/>
      <c r="D9" s="9"/>
      <c r="E9" s="9"/>
      <c r="F9" s="9"/>
    </row>
    <row r="10" spans="1:6">
      <c r="A10" s="2" t="s">
        <v>1361</v>
      </c>
      <c r="B10" s="9"/>
      <c r="C10" s="9"/>
      <c r="D10" s="9"/>
      <c r="E10" s="9"/>
      <c r="F10" s="9"/>
    </row>
    <row r="11" spans="2:6">
      <c r="B11" s="9"/>
      <c r="C11" s="9"/>
      <c r="D11" s="9"/>
      <c r="E11" s="9"/>
      <c r="F11" s="9"/>
    </row>
    <row r="12" spans="1:2">
      <c r="A12" s="1" t="s">
        <v>188</v>
      </c>
      <c r="B12" s="1" t="s">
        <v>1362</v>
      </c>
    </row>
    <row r="13" spans="1:2">
      <c r="A13" s="5" t="s">
        <v>1363</v>
      </c>
      <c r="B13" s="5" t="s">
        <v>1364</v>
      </c>
    </row>
    <row r="14" spans="1:2">
      <c r="A14" s="5" t="s">
        <v>1365</v>
      </c>
      <c r="B14" s="5" t="s">
        <v>1366</v>
      </c>
    </row>
    <row r="15" spans="1:2">
      <c r="A15" s="5" t="s">
        <v>1367</v>
      </c>
      <c r="B15" s="5" t="s">
        <v>1368</v>
      </c>
    </row>
    <row r="16" spans="1:2">
      <c r="A16" s="5" t="s">
        <v>1369</v>
      </c>
      <c r="B16" s="5" t="s">
        <v>1370</v>
      </c>
    </row>
    <row r="17" spans="1:2">
      <c r="A17" s="10" t="s">
        <v>1371</v>
      </c>
      <c r="B17" s="10" t="s">
        <v>1372</v>
      </c>
    </row>
    <row r="18" spans="1:2">
      <c r="A18" s="10" t="s">
        <v>1373</v>
      </c>
      <c r="B18" s="1" t="s">
        <v>1374</v>
      </c>
    </row>
    <row r="19" spans="2:6">
      <c r="B19" s="9"/>
      <c r="C19" s="9"/>
      <c r="D19" s="9"/>
      <c r="E19" s="9"/>
      <c r="F19" s="9"/>
    </row>
    <row r="20" spans="1:6">
      <c r="A20" s="5" t="s">
        <v>1375</v>
      </c>
      <c r="B20" s="9"/>
      <c r="C20" s="9"/>
      <c r="D20" s="9"/>
      <c r="E20" s="9"/>
      <c r="F20" s="9"/>
    </row>
    <row r="21" spans="2:6">
      <c r="B21" s="9"/>
      <c r="C21" s="9"/>
      <c r="D21" s="9"/>
      <c r="E21" s="9"/>
      <c r="F21" s="9"/>
    </row>
    <row r="22" spans="1:6">
      <c r="A22" s="1" t="s">
        <v>1067</v>
      </c>
      <c r="B22" s="1" t="s">
        <v>293</v>
      </c>
      <c r="C22" s="1" t="s">
        <v>445</v>
      </c>
      <c r="D22" s="1" t="s">
        <v>1376</v>
      </c>
      <c r="E22" s="1" t="s">
        <v>1377</v>
      </c>
      <c r="F22" s="1" t="s">
        <v>1378</v>
      </c>
    </row>
    <row r="23" spans="1:6">
      <c r="A23" s="1" t="s">
        <v>1379</v>
      </c>
      <c r="B23" s="1" t="s">
        <v>1380</v>
      </c>
      <c r="C23" s="1">
        <v>9</v>
      </c>
      <c r="D23" s="8">
        <v>600</v>
      </c>
      <c r="E23" s="1">
        <f>Tableau11[[#This Row],[Quantity]]*Tableau11[[#This Row],[Unit Cost (€)]]</f>
        <v>5400</v>
      </c>
      <c r="F23" s="1" t="s">
        <v>1381</v>
      </c>
    </row>
    <row r="24" spans="1:6">
      <c r="A24" s="1" t="s">
        <v>1382</v>
      </c>
      <c r="B24" s="1" t="s">
        <v>462</v>
      </c>
      <c r="C24" s="1">
        <v>12</v>
      </c>
      <c r="D24" s="1">
        <v>140</v>
      </c>
      <c r="E24" s="1">
        <f>Tableau11[[#This Row],[Quantity]]*Tableau11[[#This Row],[Unit Cost (€)]]</f>
        <v>1680</v>
      </c>
      <c r="F24" s="1" t="s">
        <v>1383</v>
      </c>
    </row>
    <row r="25" spans="1:6">
      <c r="A25" s="1" t="s">
        <v>1384</v>
      </c>
      <c r="B25" s="1" t="s">
        <v>462</v>
      </c>
      <c r="C25" s="1">
        <v>2</v>
      </c>
      <c r="D25" s="1">
        <v>190</v>
      </c>
      <c r="E25" s="1">
        <f>Tableau11[[#This Row],[Quantity]]*Tableau11[[#This Row],[Unit Cost (€)]]</f>
        <v>380</v>
      </c>
      <c r="F25" s="1" t="s">
        <v>1385</v>
      </c>
    </row>
    <row r="26" spans="1:6">
      <c r="A26" s="1" t="s">
        <v>1386</v>
      </c>
      <c r="B26" s="1" t="s">
        <v>462</v>
      </c>
      <c r="C26" s="1">
        <v>8</v>
      </c>
      <c r="D26" s="1">
        <v>110</v>
      </c>
      <c r="E26" s="1">
        <f>Tableau11[[#This Row],[Quantity]]*Tableau11[[#This Row],[Unit Cost (€)]]</f>
        <v>880</v>
      </c>
      <c r="F26" s="1" t="s">
        <v>1387</v>
      </c>
    </row>
    <row r="27" spans="1:6">
      <c r="A27" s="1" t="s">
        <v>1388</v>
      </c>
      <c r="B27" s="1" t="s">
        <v>462</v>
      </c>
      <c r="C27" s="1">
        <v>1</v>
      </c>
      <c r="D27" s="1">
        <v>1400</v>
      </c>
      <c r="E27" s="1">
        <f>Tableau11[[#This Row],[Quantity]]*Tableau11[[#This Row],[Unit Cost (€)]]</f>
        <v>1400</v>
      </c>
      <c r="F27" s="1" t="s">
        <v>1389</v>
      </c>
    </row>
    <row r="28" spans="1:6">
      <c r="A28" s="1" t="s">
        <v>1390</v>
      </c>
      <c r="B28" s="1" t="s">
        <v>462</v>
      </c>
      <c r="C28" s="1">
        <v>2</v>
      </c>
      <c r="D28" s="1">
        <v>480</v>
      </c>
      <c r="E28" s="1">
        <f>Tableau11[[#This Row],[Quantity]]*Tableau11[[#This Row],[Unit Cost (€)]]</f>
        <v>960</v>
      </c>
      <c r="F28" s="1" t="s">
        <v>1391</v>
      </c>
    </row>
    <row r="29" spans="1:6">
      <c r="A29" s="1" t="s">
        <v>1392</v>
      </c>
      <c r="E29" s="1">
        <f>SUM(E23:E28)</f>
        <v>10700</v>
      </c>
      <c r="F29" s="8" t="s">
        <v>1392</v>
      </c>
    </row>
    <row r="30" spans="1:6">
      <c r="A30" s="1" t="s">
        <v>1393</v>
      </c>
      <c r="B30" s="8"/>
      <c r="C30" s="8"/>
      <c r="D30" s="8"/>
      <c r="E30" s="1">
        <f>SUM(E23:E28)*10/100</f>
        <v>1070</v>
      </c>
      <c r="F30" s="1" t="s">
        <v>1394</v>
      </c>
    </row>
    <row r="31" spans="1:6">
      <c r="A31" s="1" t="s">
        <v>1395</v>
      </c>
      <c r="B31" s="8"/>
      <c r="C31" s="8"/>
      <c r="D31" s="8"/>
      <c r="E31" s="1">
        <f>SUM(E29:E30)</f>
        <v>11770</v>
      </c>
      <c r="F31" s="1" t="s">
        <v>1395</v>
      </c>
    </row>
    <row r="32" spans="2:4">
      <c r="B32" s="8"/>
      <c r="C32" s="8"/>
      <c r="D32" s="8"/>
    </row>
    <row r="33" spans="1:4">
      <c r="A33" s="2" t="s">
        <v>1396</v>
      </c>
      <c r="B33" s="8"/>
      <c r="C33" s="8"/>
      <c r="D33" s="8"/>
    </row>
    <row r="34" spans="2:4">
      <c r="B34" s="8"/>
      <c r="C34" s="8"/>
      <c r="D34" s="8"/>
    </row>
    <row r="35" spans="1:4">
      <c r="A35" s="1" t="s">
        <v>1397</v>
      </c>
      <c r="B35" s="1" t="s">
        <v>281</v>
      </c>
      <c r="C35" s="8"/>
      <c r="D35" s="8"/>
    </row>
    <row r="36" spans="1:4">
      <c r="A36" s="5" t="s">
        <v>1398</v>
      </c>
      <c r="B36" s="11">
        <v>10000</v>
      </c>
      <c r="C36" s="8"/>
      <c r="D36" s="8"/>
    </row>
    <row r="37" spans="1:4">
      <c r="A37" s="5" t="s">
        <v>1399</v>
      </c>
      <c r="B37" s="11">
        <v>20000</v>
      </c>
      <c r="C37" s="8"/>
      <c r="D37" s="8"/>
    </row>
    <row r="38" spans="1:4">
      <c r="A38" s="5" t="s">
        <v>1400</v>
      </c>
      <c r="B38" s="11">
        <v>36000</v>
      </c>
      <c r="C38" s="8"/>
      <c r="D38" s="8"/>
    </row>
    <row r="39" spans="1:4">
      <c r="A39" s="5" t="s">
        <v>1401</v>
      </c>
      <c r="B39" s="12">
        <v>0.2</v>
      </c>
      <c r="C39" s="8"/>
      <c r="D39" s="8"/>
    </row>
    <row r="40" spans="1:4">
      <c r="A40" s="5" t="s">
        <v>1402</v>
      </c>
      <c r="B40" s="13">
        <v>0.15</v>
      </c>
      <c r="C40" s="8"/>
      <c r="D40" s="8"/>
    </row>
    <row r="41" spans="3:6">
      <c r="C41" s="9"/>
      <c r="D41" s="9"/>
      <c r="E41" s="9"/>
      <c r="F41" s="9"/>
    </row>
    <row r="42" spans="1:6">
      <c r="A42" s="14" t="s">
        <v>1403</v>
      </c>
      <c r="B42" s="9"/>
      <c r="C42" s="9"/>
      <c r="D42" s="9"/>
      <c r="E42" s="9"/>
      <c r="F42" s="9"/>
    </row>
    <row r="43" spans="2:6">
      <c r="B43" s="9"/>
      <c r="C43" s="9"/>
      <c r="D43" s="9"/>
      <c r="E43" s="9"/>
      <c r="F43" s="9"/>
    </row>
    <row r="44" spans="1:3">
      <c r="A44" s="15" t="s">
        <v>1404</v>
      </c>
      <c r="B44" s="15" t="s">
        <v>1405</v>
      </c>
      <c r="C44" s="15" t="s">
        <v>1362</v>
      </c>
    </row>
    <row r="45" spans="1:3">
      <c r="A45" s="5" t="s">
        <v>1406</v>
      </c>
      <c r="B45" s="11">
        <f>B36*B39</f>
        <v>2000</v>
      </c>
      <c r="C45" s="5" t="s">
        <v>1407</v>
      </c>
    </row>
    <row r="46" spans="1:3">
      <c r="A46" s="5" t="s">
        <v>1408</v>
      </c>
      <c r="B46" s="11">
        <f>B37</f>
        <v>20000</v>
      </c>
      <c r="C46" s="5" t="s">
        <v>1409</v>
      </c>
    </row>
    <row r="47" spans="1:3">
      <c r="A47" s="5" t="s">
        <v>1410</v>
      </c>
      <c r="B47" s="11">
        <f>B38*B40</f>
        <v>5400</v>
      </c>
      <c r="C47" s="5" t="s">
        <v>1411</v>
      </c>
    </row>
    <row r="48" spans="1:3">
      <c r="A48" s="5" t="s">
        <v>1412</v>
      </c>
      <c r="B48" s="11">
        <f>SUM(B45:B47)</f>
        <v>27400</v>
      </c>
      <c r="C48" s="10" t="s">
        <v>1412</v>
      </c>
    </row>
    <row r="49" spans="2:6">
      <c r="B49" s="9"/>
      <c r="C49" s="9"/>
      <c r="D49" s="9"/>
      <c r="E49" s="9"/>
      <c r="F49" s="9"/>
    </row>
    <row r="50" spans="1:6">
      <c r="A50" s="2" t="s">
        <v>1413</v>
      </c>
      <c r="B50" s="9"/>
      <c r="C50" s="9"/>
      <c r="D50" s="9"/>
      <c r="E50" s="9"/>
      <c r="F50" s="9"/>
    </row>
    <row r="51" spans="2:6">
      <c r="B51" s="9"/>
      <c r="C51" s="9"/>
      <c r="D51" s="9"/>
      <c r="E51" s="9"/>
      <c r="F51" s="9"/>
    </row>
    <row r="52" spans="1:3">
      <c r="A52" s="15" t="s">
        <v>1294</v>
      </c>
      <c r="B52" s="15" t="s">
        <v>281</v>
      </c>
      <c r="C52" s="15" t="s">
        <v>601</v>
      </c>
    </row>
    <row r="53" spans="1:3">
      <c r="A53" s="5" t="s">
        <v>1354</v>
      </c>
      <c r="B53" s="6">
        <f>SUM(E29:E30)</f>
        <v>11770</v>
      </c>
      <c r="C53" s="5"/>
    </row>
    <row r="54" spans="1:3">
      <c r="A54" s="5" t="s">
        <v>1130</v>
      </c>
      <c r="B54" s="6">
        <f>SUM(B45:B47)</f>
        <v>27400</v>
      </c>
      <c r="C54" s="5"/>
    </row>
    <row r="55" spans="1:3">
      <c r="A55" s="5" t="s">
        <v>1357</v>
      </c>
      <c r="B55" s="5" t="s">
        <v>1414</v>
      </c>
      <c r="C55" s="5">
        <f>B53/B54</f>
        <v>0.42956204379562</v>
      </c>
    </row>
    <row r="56" spans="1:3">
      <c r="A56" s="5" t="s">
        <v>1359</v>
      </c>
      <c r="B56" s="16">
        <v>2.33</v>
      </c>
      <c r="C56" s="5">
        <f>B54/B53</f>
        <v>2.32795242141037</v>
      </c>
    </row>
  </sheetData>
  <mergeCells count="3">
    <mergeCell ref="B9:F11"/>
    <mergeCell ref="B19:F21"/>
    <mergeCell ref="B49:F51"/>
  </mergeCells>
  <pageMargins left="0.7" right="0.7" top="0.75" bottom="0.75" header="0.3" footer="0.3"/>
  <headerFooter/>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10</vt:i4>
      </vt:variant>
    </vt:vector>
  </HeadingPairs>
  <TitlesOfParts>
    <vt:vector size="10" baseType="lpstr">
      <vt:lpstr>Overall Farm</vt:lpstr>
      <vt:lpstr>Plants(Zalka)</vt:lpstr>
      <vt:lpstr>Irrigation System(Arcus)</vt:lpstr>
      <vt:lpstr>Processing Machines(Ange Marie)</vt:lpstr>
      <vt:lpstr>Smart Dryer(Cedric)</vt:lpstr>
      <vt:lpstr>Solar PV power plant(Abdoul)</vt:lpstr>
      <vt:lpstr>Solar tracking(Narcisse)</vt:lpstr>
      <vt:lpstr>Narcisse</vt:lpstr>
      <vt:lpstr>No Reesa(Afiatou)</vt:lpstr>
      <vt:lpstr>Face Recognition(Yanick)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Tania</cp:lastModifiedBy>
  <dcterms:created xsi:type="dcterms:W3CDTF">2025-09-13T16:22:00Z</dcterms:created>
  <dcterms:modified xsi:type="dcterms:W3CDTF">2026-07-24T01:25:49Z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FB600E33021F445C9DB531F012341314_12</vt:lpwstr>
  </property>
  <property fmtid="{D5CDD505-2E9C-101B-9397-08002B2CF9AE}" pid="3" name="KSOProductBuildVer">
    <vt:lpwstr>2057-12.2.0.23206</vt:lpwstr>
  </property>
</Properties>
</file>