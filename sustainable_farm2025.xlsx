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11"/>
  <workbookPr/>
  <xr:revisionPtr revIDLastSave="756" documentId="11_0B1D56BE9CDCCE836B02CE7A5FB0D4A9BBFD1C62" xr6:coauthVersionLast="47" xr6:coauthVersionMax="47" xr10:uidLastSave="{5610DEF3-0F55-4873-A6C5-1CA2434DB8BF}"/>
  <bookViews>
    <workbookView xWindow="240" yWindow="105" windowWidth="14805" windowHeight="8010" firstSheet="5" activeTab="6" xr2:uid="{00000000-000D-0000-FFFF-FFFF00000000}"/>
  </bookViews>
  <sheets>
    <sheet name="Overall Farm" sheetId="1" r:id="rId1"/>
    <sheet name="Plants" sheetId="2" r:id="rId2"/>
    <sheet name="Irrigation System" sheetId="3" r:id="rId3"/>
    <sheet name="Ball mill Grinder" sheetId="4" r:id="rId4"/>
    <sheet name="Smart Dryer" sheetId="5" r:id="rId5"/>
    <sheet name="Solar PV power plant" sheetId="6" r:id="rId6"/>
    <sheet name="Solar tracking" sheetId="7" r:id="rId7"/>
    <sheet name="No Reesa" sheetId="8" r:id="rId8"/>
    <sheet name="Face Recognition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6" l="1"/>
  <c r="C18" i="6"/>
  <c r="C16" i="6"/>
  <c r="C10" i="6"/>
  <c r="N12" i="3"/>
  <c r="M12" i="3"/>
  <c r="L12" i="3"/>
  <c r="K12" i="3"/>
  <c r="O12" i="3" s="1"/>
  <c r="J12" i="3"/>
  <c r="I12" i="3"/>
  <c r="N6" i="3"/>
  <c r="M6" i="3"/>
  <c r="L6" i="3"/>
  <c r="K6" i="3"/>
  <c r="J6" i="3"/>
  <c r="I6" i="3"/>
  <c r="H6" i="3"/>
  <c r="G6" i="3"/>
</calcChain>
</file>

<file path=xl/sharedStrings.xml><?xml version="1.0" encoding="utf-8"?>
<sst xmlns="http://schemas.openxmlformats.org/spreadsheetml/2006/main" count="360" uniqueCount="259">
  <si>
    <t>Calculation with 2 hectares scenarios</t>
  </si>
  <si>
    <t>Scenarios</t>
  </si>
  <si>
    <t xml:space="preserve">Area </t>
  </si>
  <si>
    <t>Trees</t>
  </si>
  <si>
    <t>Water / day (m³)</t>
  </si>
  <si>
    <t>Water / week (m³)</t>
  </si>
  <si>
    <t>Q (m³/h)</t>
  </si>
  <si>
    <t>Q (L/min)</t>
  </si>
  <si>
    <t>P_h (kW)</t>
  </si>
  <si>
    <t>P_e (kW)</t>
  </si>
  <si>
    <t>Pump rec.</t>
  </si>
  <si>
    <t>PV (kWp)</t>
  </si>
  <si>
    <t>Panels (400 Wp)</t>
  </si>
  <si>
    <t>2 hectares</t>
  </si>
  <si>
    <t>Costs/equipment</t>
  </si>
  <si>
    <t>Cost calculations</t>
  </si>
  <si>
    <t>Material</t>
  </si>
  <si>
    <t>Cost (euro)</t>
  </si>
  <si>
    <t>Tank cost (€</t>
  </si>
  <si>
    <t>Drip cost (€)</t>
  </si>
  <si>
    <t>Panels cost (€)</t>
  </si>
  <si>
    <t>Pump cost (€)</t>
  </si>
  <si>
    <t>Filtration+MPPT (€</t>
  </si>
  <si>
    <t>Smart add-ons (€)</t>
  </si>
  <si>
    <t>TOTAL (€)</t>
  </si>
  <si>
    <t>Panel</t>
  </si>
  <si>
    <t>Pump</t>
  </si>
  <si>
    <t>Tank</t>
  </si>
  <si>
    <t>Drip</t>
  </si>
  <si>
    <t>€0.35 / m</t>
  </si>
  <si>
    <t>Filtration</t>
  </si>
  <si>
    <t>Smart adds-on</t>
  </si>
  <si>
    <t>Financial and technical plan - Ball mill + biogas (12 months)</t>
  </si>
  <si>
    <t>Month</t>
  </si>
  <si>
    <t>Processed mangoes (kg) |</t>
  </si>
  <si>
    <t xml:space="preserve"> Waste generated (kg)</t>
  </si>
  <si>
    <t>Biogas produced (m³)</t>
  </si>
  <si>
    <t>Available energy (kWh)</t>
  </si>
  <si>
    <t>Monthly cost (XOF)</t>
  </si>
  <si>
    <t>Dried mango income (XOF)</t>
  </si>
  <si>
    <t>Compost income (XOF)</t>
  </si>
  <si>
    <t>Net profit (XOF) |</t>
  </si>
  <si>
    <t>Assumptions used</t>
  </si>
  <si>
    <t>Benefits of the project</t>
  </si>
  <si>
    <t>1 kg of mango waste</t>
  </si>
  <si>
    <t xml:space="preserve"> 0.043 m³ of biogas</t>
  </si>
  <si>
    <t>1. Energy independence thanks to biogas</t>
  </si>
  <si>
    <t>1 m³ of biogas</t>
  </si>
  <si>
    <t xml:space="preserve"> 6 kWh</t>
  </si>
  <si>
    <t>2. Waste conversion into compost and energy</t>
  </si>
  <si>
    <t xml:space="preserve">Fixed monthly cost </t>
  </si>
  <si>
    <t>180,000 XOF (labor, maintenance, packaging)</t>
  </si>
  <si>
    <t>3. Reduction in fossil fuel costs</t>
  </si>
  <si>
    <t xml:space="preserve">Selling price of dried mangoes </t>
  </si>
  <si>
    <t xml:space="preserve"> 225 XOF/kg</t>
  </si>
  <si>
    <t>4. Potential for carbon credits or green subsidies</t>
  </si>
  <si>
    <t xml:space="preserve">Compost selling price </t>
  </si>
  <si>
    <t xml:space="preserve"> 50 XOF/kg</t>
  </si>
  <si>
    <t>5. Creation of local jobs and strengthening of the agricultural value chain</t>
  </si>
  <si>
    <t>No additional energy costs thanks to biogas.</t>
  </si>
  <si>
    <t>Technical parameters of the ball mill</t>
  </si>
  <si>
    <t xml:space="preserve">Element                     </t>
  </si>
  <si>
    <t xml:space="preserve"> Value               </t>
  </si>
  <si>
    <t xml:space="preserve">    Unity     </t>
  </si>
  <si>
    <t>Comments</t>
  </si>
  <si>
    <t xml:space="preserve"> Engine power       </t>
  </si>
  <si>
    <t xml:space="preserve">   kW            </t>
  </si>
  <si>
    <t xml:space="preserve">Suitable for a 2-hectare farm </t>
  </si>
  <si>
    <t xml:space="preserve">Operating time </t>
  </si>
  <si>
    <t xml:space="preserve">  h/day        </t>
  </si>
  <si>
    <t xml:space="preserve"> Daily average</t>
  </si>
  <si>
    <t xml:space="preserve">  Monthly consumption</t>
  </si>
  <si>
    <t xml:space="preserve"> kWh/month </t>
  </si>
  <si>
    <t xml:space="preserve">      3 kW × 5 h × 30 days     </t>
  </si>
  <si>
    <t xml:space="preserve">Energy required in biogas </t>
  </si>
  <si>
    <t xml:space="preserve"> m³/month    </t>
  </si>
  <si>
    <t xml:space="preserve"> 1 m³ ≈ 6 kWh  </t>
  </si>
  <si>
    <t>Biogas production</t>
  </si>
  <si>
    <t>Features of the ball mill</t>
  </si>
  <si>
    <t>Source of waste</t>
  </si>
  <si>
    <t>Quantity (kg/month)</t>
  </si>
  <si>
    <t>Biogas produced (m³/month)</t>
  </si>
  <si>
    <t>Compost produced (kg/month)</t>
  </si>
  <si>
    <t>Parameter</t>
  </si>
  <si>
    <t>Estimated value</t>
  </si>
  <si>
    <t>Unity</t>
  </si>
  <si>
    <t>Mango waste</t>
  </si>
  <si>
    <t>1,400 to 2,500</t>
  </si>
  <si>
    <t>60 to 150</t>
  </si>
  <si>
    <t>400 to 750</t>
  </si>
  <si>
    <t>Type of shredder</t>
  </si>
  <si>
    <t>With cannonballs (small model)</t>
  </si>
  <si>
    <t>—</t>
  </si>
  <si>
    <t>Suitable for small-scale farming</t>
  </si>
  <si>
    <t>Method</t>
  </si>
  <si>
    <t>Anaerobic digester</t>
  </si>
  <si>
    <t>Motor power</t>
  </si>
  <si>
    <t>3 to 5</t>
  </si>
  <si>
    <t>kW</t>
  </si>
  <si>
    <t>Electric motor and biogas</t>
  </si>
  <si>
    <t>Grinding capacity</t>
  </si>
  <si>
    <t>200 to 300</t>
  </si>
  <si>
    <t>kg/h</t>
  </si>
  <si>
    <t>Fresh or pre-treated mangoes</t>
  </si>
  <si>
    <t xml:space="preserve">Monthly economic model </t>
  </si>
  <si>
    <t>Operating time</t>
  </si>
  <si>
    <t>4 to 6</t>
  </si>
  <si>
    <t>h/day</t>
  </si>
  <si>
    <t>Daily average</t>
  </si>
  <si>
    <t>Position</t>
  </si>
  <si>
    <t>Estimated value (XOF/month)</t>
  </si>
  <si>
    <t>Energy consumption</t>
  </si>
  <si>
    <t>360 to 900</t>
  </si>
  <si>
    <t>kWh/month</t>
  </si>
  <si>
    <t>Depending on use</t>
  </si>
  <si>
    <t>Operating cost</t>
  </si>
  <si>
    <t>Biogas requirement</t>
  </si>
  <si>
    <t>m³/month</t>
  </si>
  <si>
    <t>1 m³ ≈ 6 kWh</t>
  </si>
  <si>
    <t>Dried mango revenue</t>
  </si>
  <si>
    <t>450,000 to 720,000</t>
  </si>
  <si>
    <t>Compost income</t>
  </si>
  <si>
    <t>100,000 to 160,000</t>
  </si>
  <si>
    <t>Net profit</t>
  </si>
  <si>
    <t>370,000 to 700,000</t>
  </si>
  <si>
    <t>Smart dryer financial planning (10 Years)</t>
  </si>
  <si>
    <t>equivalence between euro and FCFA (xof): 1€ = ... FCFA</t>
  </si>
  <si>
    <t>1 million FCFA (xof) = ...€</t>
  </si>
  <si>
    <t>Parameters</t>
  </si>
  <si>
    <t>IOT</t>
  </si>
  <si>
    <t>Value</t>
  </si>
  <si>
    <t>Unit / Note</t>
  </si>
  <si>
    <t>Ecological Section</t>
  </si>
  <si>
    <t>add_fan_power_kW</t>
  </si>
  <si>
    <t>sensor_cost_per_dryer_FCFA</t>
  </si>
  <si>
    <t>gateway_cost_per_site_FCFA</t>
  </si>
  <si>
    <t>connectivity_monthly_per_dryer_FCFA</t>
  </si>
  <si>
    <t>cloud_subscription_annual_FCFA</t>
  </si>
  <si>
    <t>installation_cost_per_dryer_FCFA</t>
  </si>
  <si>
    <t>predictive_maintenance_saving_pct</t>
  </si>
  <si>
    <t>yield_improvement_pct</t>
  </si>
  <si>
    <t>iot_capex_lifetime_years</t>
  </si>
  <si>
    <t>Yield per ha</t>
  </si>
  <si>
    <t>t/ha/an</t>
  </si>
  <si>
    <t>Criteria</t>
  </si>
  <si>
    <t>Without Solar Panels</t>
  </si>
  <si>
    <t>With Solar Panels</t>
  </si>
  <si>
    <t>Recovery rate</t>
  </si>
  <si>
    <t>Rate (80%)</t>
  </si>
  <si>
    <t>Total Energy Consumption (kWh)</t>
  </si>
  <si>
    <t>High</t>
  </si>
  <si>
    <t>Reduced</t>
  </si>
  <si>
    <t>Transformation ratio (fresh to dry)</t>
  </si>
  <si>
    <t>kg fresh -&gt; 1 kg dried</t>
  </si>
  <si>
    <t>Energy Cost</t>
  </si>
  <si>
    <t>Low</t>
  </si>
  <si>
    <t>Cost of a fresh mango</t>
  </si>
  <si>
    <t>FCFA/kg</t>
  </si>
  <si>
    <t>Irrigation Impact</t>
  </si>
  <si>
    <t>High Dependence</t>
  </si>
  <si>
    <t>Optimized</t>
  </si>
  <si>
    <t xml:space="preserve">Export price (dried) </t>
  </si>
  <si>
    <t>FCFA/kg dried</t>
  </si>
  <si>
    <t>Carbon Footprint</t>
  </si>
  <si>
    <t>Significant</t>
  </si>
  <si>
    <t>Capacity per cycle (dryer)</t>
  </si>
  <si>
    <t>kg fresh/cycle</t>
  </si>
  <si>
    <t>Campaign duration</t>
  </si>
  <si>
    <t>days (4 months)</t>
  </si>
  <si>
    <t>Max cycles per dryer (4 months)</t>
  </si>
  <si>
    <t>cycles</t>
  </si>
  <si>
    <t>Unit cost per dryer</t>
  </si>
  <si>
    <t>FCFA</t>
  </si>
  <si>
    <t>Unit cost (1ha)</t>
  </si>
  <si>
    <t>FCFA/kg dried (example)</t>
  </si>
  <si>
    <t>Unit cost (3ha)</t>
  </si>
  <si>
    <t>Unit cost (30ha)</t>
  </si>
  <si>
    <t>Unit cost (60ha)</t>
  </si>
  <si>
    <t>1ha detailed costs</t>
  </si>
  <si>
    <t>Scenario_ha</t>
  </si>
  <si>
    <t>Year</t>
  </si>
  <si>
    <t>Usable_fresh_kg</t>
  </si>
  <si>
    <t>Dried_kg</t>
  </si>
  <si>
    <t>Export_price_FCFA_per_kg</t>
  </si>
  <si>
    <t>Unit_cost_FCFA_per_kg</t>
  </si>
  <si>
    <t>Revenue_FCFA</t>
  </si>
  <si>
    <t>Variable_costs_FCFA</t>
  </si>
  <si>
    <t>Cycles</t>
  </si>
  <si>
    <t>Energy_cost_FCFA</t>
  </si>
  <si>
    <t>Depreciation_FCFA</t>
  </si>
  <si>
    <t>Maintenance_FCFA</t>
  </si>
  <si>
    <t>Total_costs_all_FCFA</t>
  </si>
  <si>
    <t>Gross_profit_FCFA</t>
  </si>
  <si>
    <t>Net_profit_FCFA</t>
  </si>
  <si>
    <t>Avg_fresh_inventory_kg</t>
  </si>
  <si>
    <t>Value_avg_fresh_inventory_FCFA</t>
  </si>
  <si>
    <t>Avg_dried_inventory_kg</t>
  </si>
  <si>
    <t>Value_avg_dried_inventory_FCFA</t>
  </si>
  <si>
    <t>Avg_total_inventory_value_FCFA</t>
  </si>
  <si>
    <t>Inventory_turnover_per_year</t>
  </si>
  <si>
    <t>Days_inventory</t>
  </si>
  <si>
    <t>Working_capital_FCFA</t>
  </si>
  <si>
    <t>Dryers_used</t>
  </si>
  <si>
    <t>3ha detailed costs</t>
  </si>
  <si>
    <t>30ha detailed costs</t>
  </si>
  <si>
    <t>60ha detailed costs</t>
  </si>
  <si>
    <t>Small Farm 2 ha</t>
  </si>
  <si>
    <t>Metric</t>
  </si>
  <si>
    <t>Calculation / Notes</t>
  </si>
  <si>
    <t>Pump Load</t>
  </si>
  <si>
    <t>kw</t>
  </si>
  <si>
    <t>Pump Hours</t>
  </si>
  <si>
    <t>h</t>
  </si>
  <si>
    <t>Dryer Load</t>
  </si>
  <si>
    <t>Dryer Hours</t>
  </si>
  <si>
    <t>Misc. Load</t>
  </si>
  <si>
    <t>Misc. Hours</t>
  </si>
  <si>
    <t>Daily Energy</t>
  </si>
  <si>
    <t>kwh</t>
  </si>
  <si>
    <t>---</t>
  </si>
  <si>
    <t>PSH</t>
  </si>
  <si>
    <t>Tracker Gain</t>
  </si>
  <si>
    <t>User-provided assumption</t>
  </si>
  <si>
    <t>Effective PSH</t>
  </si>
  <si>
    <t>5.5 h * (1 + 0.20)</t>
  </si>
  <si>
    <t>System Derate</t>
  </si>
  <si>
    <t>Required PV (kWp)</t>
  </si>
  <si>
    <t>kwp</t>
  </si>
  <si>
    <t>Panel Wattage</t>
  </si>
  <si>
    <t>w</t>
  </si>
  <si>
    <t>Number of Panels</t>
  </si>
  <si>
    <t>19 panels</t>
  </si>
  <si>
    <t>Inverter Efficiency</t>
  </si>
  <si>
    <t>Battery DoD</t>
  </si>
  <si>
    <t>Required Battery (usable)</t>
  </si>
  <si>
    <t>Inverter Size</t>
  </si>
  <si>
    <t>Scenario</t>
  </si>
  <si>
    <t>Daily Energy (kWh/day)</t>
  </si>
  <si>
    <t>Required PV Array (kWp)</t>
  </si>
  <si>
    <t>Number of 400 W Panels</t>
  </si>
  <si>
    <t>Required Battery (usable kWh)</t>
  </si>
  <si>
    <t>Inverter Size (kW, nominal)</t>
  </si>
  <si>
    <t>Small farm (≈2 ha)</t>
  </si>
  <si>
    <t>Project: Security system design for a 2-hectare mango drying farm.</t>
  </si>
  <si>
    <t>Scope: Perimeter fencing, surveillance cameras, access control, and monitoring system.</t>
  </si>
  <si>
    <t>Objective: Protect the farm from theft, improve workforce management, and ensure long-term security.</t>
  </si>
  <si>
    <t>Item / Description</t>
  </si>
  <si>
    <t>Quantity</t>
  </si>
  <si>
    <t>Unit Price (€)</t>
  </si>
  <si>
    <t>Total (€)</t>
  </si>
  <si>
    <t>Perimeter fence (600 m)</t>
  </si>
  <si>
    <t>600 m</t>
  </si>
  <si>
    <t>Perimeter cameras</t>
  </si>
  <si>
    <t>Facial recognition cameras</t>
  </si>
  <si>
    <t>Internal cameras</t>
  </si>
  <si>
    <t>Access control system (gates)</t>
  </si>
  <si>
    <t>Storage &amp; monitoring system</t>
  </si>
  <si>
    <t>Total Estimated Cost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</si>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</sst>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#,##0\ &quot;€&quot;;[Red]\-#,##0\ &quot;€&quot;"/>
  </numFmts>
  <fonts count="43">
    <font>
      <sz val="11"/>
      <color theme="1"/>
      <name val="Aptos Narrow"/>
      <family val="2"/>
      <scheme val="minor"/>
    </font>
    <font>
      <b/>
      <sz val="14"/>
      <color rgb="FF000000"/>
      <name val="Times New Roman"/>
      <family val="1"/>
    </font>
    <font>
      <sz val="14"/>
      <color rgb="FF000000"/>
      <name val="Times New Roman"/>
      <family val="1"/>
    </font>
    <font>
      <b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/>
      <sz val="12"/>
      <color rgb="FF000000"/>
      <name val="Times New Roman"/>
      <family val="1"/>
      <charset val="1"/>
    </font>
    <font>
      <sz val="12"/>
      <color rgb="FF000000"/>
      <name val="Times New Roman"/>
      <family val="1"/>
      <charset val="1"/>
    </font>
    <font>
      <b/>
      <sz val="18"/>
      <color rgb="FF4EA72E"/>
      <name val="Aptos Narrow"/>
      <scheme val="minor"/>
    </font>
    <font>
      <b/>
      <sz val="12"/>
      <color rgb="FF000000"/>
      <name val="Times New Roman"/>
      <family val="1"/>
    </font>
    <font>
      <sz val="11"/>
      <color rgb="FF000000"/>
      <name val="Calibri"/>
      <family val="2"/>
    </font>
    <font>
      <b/>
      <sz val="16"/>
      <color rgb="FF215C98"/>
      <name val="Times New Roman"/>
    </font>
    <font>
      <b/>
      <sz val="16"/>
      <color rgb="FF000000"/>
      <name val="Times New Roman"/>
      <family val="1"/>
    </font>
    <font>
      <sz val="16"/>
      <color rgb="FF000000"/>
      <name val="Times New Roman"/>
      <family val="1"/>
    </font>
    <font>
      <sz val="16"/>
      <color rgb="FF000000"/>
      <name val="Calibri"/>
      <family val="2"/>
    </font>
    <font>
      <sz val="16"/>
      <color theme="1"/>
      <name val="Aptos Narrow"/>
      <family val="2"/>
      <scheme val="minor"/>
    </font>
    <font>
      <b/>
      <sz val="14"/>
      <color rgb="FF215C98"/>
      <name val="Times New Roman"/>
    </font>
    <font>
      <b/>
      <sz val="14"/>
      <color rgb="FF000000"/>
      <name val="Times New Roman"/>
    </font>
    <font>
      <sz val="14"/>
      <color rgb="FF000000"/>
      <name val="Times New Roman"/>
    </font>
    <font>
      <sz val="14"/>
      <color rgb="FFFF0000"/>
      <name val="Times New Roman"/>
    </font>
    <font>
      <b/>
      <sz val="16"/>
      <color rgb="FF4EA72E"/>
      <name val="Times New Roman"/>
    </font>
    <font>
      <b/>
      <sz val="11"/>
      <color theme="1"/>
      <name val="Aptos Narrow"/>
      <family val="2"/>
      <scheme val="minor"/>
    </font>
    <font>
      <b/>
      <sz val="12"/>
      <color rgb="FFFFFFFF"/>
      <name val="Times New Roman"/>
      <family val="1"/>
    </font>
    <font>
      <sz val="12"/>
      <color rgb="FF000000"/>
      <name val="Times New Roman"/>
      <family val="1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1"/>
      <color rgb="FF0070C0"/>
      <name val="Aptos Narrow"/>
      <scheme val="minor"/>
    </font>
    <font>
      <b/>
      <sz val="12"/>
      <color theme="3" tint="0.249977111117893"/>
      <name val="Times New Roman"/>
    </font>
    <font>
      <b/>
      <sz val="24"/>
      <color rgb="FF215C98"/>
      <name val="Times New Roman"/>
    </font>
    <font>
      <b/>
      <sz val="48"/>
      <color theme="0"/>
      <name val="Times New Roman"/>
    </font>
    <font>
      <b/>
      <sz val="15"/>
      <color rgb="FFFFFFFF"/>
      <name val="Arial"/>
      <family val="2"/>
    </font>
    <font>
      <b/>
      <sz val="15"/>
      <color rgb="FF1D1D1D"/>
      <name val="Arial"/>
      <family val="2"/>
    </font>
    <font>
      <b/>
      <sz val="15"/>
      <color theme="0"/>
      <name val="Arial"/>
      <family val="2"/>
    </font>
    <font>
      <b/>
      <sz val="11"/>
      <color theme="0"/>
      <name val="Calibri"/>
      <charset val="134"/>
    </font>
    <font>
      <b/>
      <sz val="11"/>
      <color theme="3" tint="0.249977111117893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rgb="FF002060"/>
      <name val="Calibri"/>
    </font>
    <font>
      <sz val="12"/>
      <color theme="1"/>
      <name val="Aptos Narrow"/>
      <family val="2"/>
      <scheme val="minor"/>
    </font>
    <font>
      <b/>
      <sz val="14"/>
      <color theme="7"/>
      <name val="Aptos Narrow"/>
      <family val="2"/>
      <scheme val="minor"/>
    </font>
    <font>
      <b/>
      <sz val="14"/>
      <color theme="7"/>
      <name val="Aptos Narrow"/>
      <charset val="1"/>
    </font>
    <font>
      <sz val="12"/>
      <color rgb="FF000000"/>
      <name val="Aptos Narrow"/>
      <charset val="1"/>
    </font>
    <font>
      <b/>
      <sz val="14"/>
      <color rgb="FFFF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2F2F2"/>
        <bgColor indexed="64"/>
      </patternFill>
    </fill>
    <fill>
      <patternFill patternType="solid">
        <fgColor rgb="FF145F82"/>
        <bgColor rgb="FF145F82"/>
      </patternFill>
    </fill>
    <fill>
      <patternFill patternType="solid">
        <fgColor rgb="FFC0E4F5"/>
        <bgColor rgb="FFC0E4F5"/>
      </patternFill>
    </fill>
    <fill>
      <patternFill patternType="solid">
        <fgColor rgb="FFDCE6F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499984740745262"/>
        <bgColor indexed="64"/>
      </patternFill>
    </fill>
  </fills>
  <borders count="3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rgb="FFBFBFB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78276"/>
      </left>
      <right style="medium">
        <color rgb="FF078276"/>
      </right>
      <top style="medium">
        <color rgb="FF078276"/>
      </top>
      <bottom/>
      <diagonal/>
    </border>
    <border>
      <left style="medium">
        <color rgb="FF078276"/>
      </left>
      <right style="medium">
        <color rgb="FF078276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3" fontId="4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3" fontId="6" fillId="3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0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2" fillId="0" borderId="0" xfId="0" applyFont="1" applyFill="1" applyAlignment="1">
      <alignment horizontal="center"/>
    </xf>
    <xf numFmtId="0" fontId="1" fillId="0" borderId="3" xfId="0" applyFont="1" applyFill="1" applyBorder="1" applyAlignment="1">
      <alignment horizontal="center" wrapText="1"/>
    </xf>
    <xf numFmtId="0" fontId="1" fillId="0" borderId="4" xfId="0" applyFont="1" applyFill="1" applyBorder="1" applyAlignment="1">
      <alignment horizontal="center" wrapText="1"/>
    </xf>
    <xf numFmtId="0" fontId="2" fillId="0" borderId="3" xfId="0" applyFont="1" applyFill="1" applyBorder="1" applyAlignment="1">
      <alignment horizontal="center" wrapText="1"/>
    </xf>
    <xf numFmtId="3" fontId="2" fillId="0" borderId="4" xfId="0" applyNumberFormat="1" applyFont="1" applyFill="1" applyBorder="1" applyAlignment="1">
      <alignment horizontal="center" wrapText="1"/>
    </xf>
    <xf numFmtId="0" fontId="2" fillId="0" borderId="4" xfId="0" applyFont="1" applyFill="1" applyBorder="1" applyAlignment="1">
      <alignment horizontal="center" wrapText="1"/>
    </xf>
    <xf numFmtId="0" fontId="1" fillId="0" borderId="0" xfId="0" applyFont="1" applyFill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wrapText="1"/>
    </xf>
    <xf numFmtId="0" fontId="2" fillId="2" borderId="0" xfId="0" applyFont="1" applyFill="1" applyBorder="1" applyAlignment="1">
      <alignment horizontal="center" wrapText="1"/>
    </xf>
    <xf numFmtId="0" fontId="17" fillId="0" borderId="0" xfId="0" applyFont="1" applyFill="1" applyBorder="1" applyAlignment="1">
      <alignment horizontal="left" wrapText="1"/>
    </xf>
    <xf numFmtId="0" fontId="19" fillId="0" borderId="0" xfId="0" applyFont="1" applyFill="1" applyBorder="1" applyAlignment="1">
      <alignment horizontal="center" wrapText="1"/>
    </xf>
    <xf numFmtId="0" fontId="20" fillId="0" borderId="0" xfId="0" applyFont="1"/>
    <xf numFmtId="6" fontId="0" fillId="0" borderId="0" xfId="0" applyNumberFormat="1"/>
    <xf numFmtId="0" fontId="21" fillId="4" borderId="0" xfId="0" applyFont="1" applyFill="1" applyBorder="1" applyAlignment="1"/>
    <xf numFmtId="0" fontId="8" fillId="5" borderId="0" xfId="0" applyFont="1" applyFill="1" applyBorder="1" applyAlignment="1"/>
    <xf numFmtId="0" fontId="22" fillId="5" borderId="0" xfId="0" applyFont="1" applyFill="1" applyBorder="1" applyAlignment="1"/>
    <xf numFmtId="6" fontId="22" fillId="5" borderId="0" xfId="0" applyNumberFormat="1" applyFont="1" applyFill="1" applyBorder="1" applyAlignment="1"/>
    <xf numFmtId="0" fontId="22" fillId="0" borderId="0" xfId="0" applyFont="1" applyFill="1" applyBorder="1" applyAlignment="1"/>
    <xf numFmtId="6" fontId="22" fillId="0" borderId="0" xfId="0" applyNumberFormat="1" applyFont="1" applyFill="1" applyBorder="1" applyAlignment="1"/>
    <xf numFmtId="0" fontId="22" fillId="5" borderId="0" xfId="0" quotePrefix="1" applyFont="1" applyFill="1" applyBorder="1" applyAlignment="1"/>
    <xf numFmtId="6" fontId="8" fillId="5" borderId="0" xfId="0" applyNumberFormat="1" applyFont="1" applyFill="1" applyBorder="1" applyAlignment="1"/>
    <xf numFmtId="0" fontId="0" fillId="0" borderId="0" xfId="0" applyAlignment="1"/>
    <xf numFmtId="0" fontId="24" fillId="0" borderId="6" xfId="0" applyFont="1" applyFill="1" applyBorder="1" applyAlignment="1"/>
    <xf numFmtId="0" fontId="25" fillId="0" borderId="0" xfId="0" applyFont="1"/>
    <xf numFmtId="0" fontId="0" fillId="0" borderId="0" xfId="0" applyBorder="1"/>
    <xf numFmtId="0" fontId="15" fillId="0" borderId="0" xfId="0" applyFont="1" applyFill="1" applyBorder="1" applyAlignment="1"/>
    <xf numFmtId="0" fontId="24" fillId="0" borderId="0" xfId="0" applyFont="1" applyFill="1" applyBorder="1" applyAlignment="1"/>
    <xf numFmtId="0" fontId="4" fillId="0" borderId="6" xfId="0" applyFont="1" applyBorder="1"/>
    <xf numFmtId="0" fontId="4" fillId="0" borderId="9" xfId="0" applyFont="1" applyBorder="1"/>
    <xf numFmtId="0" fontId="3" fillId="7" borderId="6" xfId="0" applyFont="1" applyFill="1" applyBorder="1"/>
    <xf numFmtId="0" fontId="3" fillId="7" borderId="12" xfId="0" applyFont="1" applyFill="1" applyBorder="1"/>
    <xf numFmtId="0" fontId="3" fillId="7" borderId="6" xfId="0" applyFont="1" applyFill="1" applyBorder="1" applyAlignment="1"/>
    <xf numFmtId="0" fontId="3" fillId="8" borderId="0" xfId="0" applyFont="1" applyFill="1" applyBorder="1" applyAlignment="1"/>
    <xf numFmtId="0" fontId="4" fillId="0" borderId="12" xfId="0" applyFont="1" applyBorder="1"/>
    <xf numFmtId="0" fontId="24" fillId="0" borderId="13" xfId="0" applyFont="1" applyFill="1" applyBorder="1" applyAlignment="1"/>
    <xf numFmtId="0" fontId="24" fillId="0" borderId="12" xfId="0" applyFont="1" applyFill="1" applyBorder="1" applyAlignment="1"/>
    <xf numFmtId="0" fontId="23" fillId="6" borderId="14" xfId="0" applyFont="1" applyFill="1" applyBorder="1" applyAlignment="1"/>
    <xf numFmtId="0" fontId="23" fillId="6" borderId="9" xfId="0" applyFont="1" applyFill="1" applyBorder="1" applyAlignment="1"/>
    <xf numFmtId="0" fontId="23" fillId="6" borderId="15" xfId="0" applyFont="1" applyFill="1" applyBorder="1" applyAlignment="1"/>
    <xf numFmtId="0" fontId="24" fillId="0" borderId="16" xfId="0" applyFont="1" applyFill="1" applyBorder="1" applyAlignment="1"/>
    <xf numFmtId="0" fontId="24" fillId="0" borderId="8" xfId="0" applyFont="1" applyFill="1" applyBorder="1" applyAlignment="1"/>
    <xf numFmtId="0" fontId="24" fillId="0" borderId="17" xfId="0" applyFont="1" applyFill="1" applyBorder="1" applyAlignment="1"/>
    <xf numFmtId="0" fontId="23" fillId="7" borderId="14" xfId="0" applyFont="1" applyFill="1" applyBorder="1" applyAlignment="1"/>
    <xf numFmtId="0" fontId="23" fillId="7" borderId="9" xfId="0" applyFont="1" applyFill="1" applyBorder="1" applyAlignment="1"/>
    <xf numFmtId="0" fontId="23" fillId="7" borderId="15" xfId="0" applyFont="1" applyFill="1" applyBorder="1" applyAlignment="1"/>
    <xf numFmtId="0" fontId="23" fillId="7" borderId="18" xfId="0" applyFont="1" applyFill="1" applyBorder="1" applyAlignment="1"/>
    <xf numFmtId="0" fontId="23" fillId="7" borderId="19" xfId="0" applyFont="1" applyFill="1" applyBorder="1" applyAlignment="1"/>
    <xf numFmtId="0" fontId="23" fillId="7" borderId="11" xfId="0" applyFont="1" applyFill="1" applyBorder="1" applyAlignment="1"/>
    <xf numFmtId="0" fontId="30" fillId="0" borderId="13" xfId="0" applyFont="1" applyBorder="1"/>
    <xf numFmtId="0" fontId="32" fillId="0" borderId="14" xfId="0" applyFont="1" applyFill="1" applyBorder="1" applyAlignment="1"/>
    <xf numFmtId="0" fontId="32" fillId="0" borderId="9" xfId="0" applyFont="1" applyFill="1" applyBorder="1" applyAlignment="1"/>
    <xf numFmtId="0" fontId="32" fillId="0" borderId="15" xfId="0" applyFont="1" applyFill="1" applyBorder="1" applyAlignment="1"/>
    <xf numFmtId="0" fontId="36" fillId="0" borderId="26" xfId="0" applyFont="1" applyBorder="1"/>
    <xf numFmtId="0" fontId="36" fillId="0" borderId="29" xfId="0" applyFont="1" applyBorder="1"/>
    <xf numFmtId="0" fontId="36" fillId="0" borderId="31" xfId="0" applyFont="1" applyBorder="1"/>
    <xf numFmtId="0" fontId="39" fillId="0" borderId="31" xfId="0" applyFont="1" applyBorder="1"/>
    <xf numFmtId="0" fontId="40" fillId="0" borderId="31" xfId="0" applyFont="1" applyBorder="1" applyAlignment="1">
      <alignment horizontal="center"/>
    </xf>
    <xf numFmtId="0" fontId="40" fillId="0" borderId="29" xfId="0" applyFont="1" applyBorder="1" applyAlignment="1">
      <alignment horizontal="center"/>
    </xf>
    <xf numFmtId="0" fontId="41" fillId="0" borderId="31" xfId="0" applyFont="1" applyBorder="1"/>
    <xf numFmtId="0" fontId="41" fillId="0" borderId="29" xfId="0" applyFont="1" applyBorder="1"/>
    <xf numFmtId="0" fontId="0" fillId="0" borderId="0" xfId="0" applyAlignment="1">
      <alignment horizontal="center"/>
    </xf>
    <xf numFmtId="0" fontId="2" fillId="0" borderId="0" xfId="0" applyFont="1" applyFill="1" applyBorder="1" applyAlignment="1">
      <alignment horizontal="center"/>
    </xf>
    <xf numFmtId="0" fontId="35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42" fillId="0" borderId="32" xfId="0" applyFont="1" applyFill="1" applyBorder="1" applyAlignment="1">
      <alignment wrapText="1"/>
    </xf>
    <xf numFmtId="0" fontId="42" fillId="0" borderId="33" xfId="0" applyFont="1" applyFill="1" applyBorder="1" applyAlignment="1">
      <alignment wrapText="1"/>
    </xf>
    <xf numFmtId="0" fontId="42" fillId="0" borderId="34" xfId="0" applyFont="1" applyFill="1" applyBorder="1" applyAlignment="1">
      <alignment wrapText="1"/>
    </xf>
    <xf numFmtId="0" fontId="42" fillId="0" borderId="35" xfId="0" applyFont="1" applyFill="1" applyBorder="1" applyAlignment="1">
      <alignment wrapText="1"/>
    </xf>
    <xf numFmtId="0" fontId="42" fillId="0" borderId="34" xfId="0" quotePrefix="1" applyFont="1" applyFill="1" applyBorder="1" applyAlignment="1">
      <alignment wrapText="1"/>
    </xf>
    <xf numFmtId="0" fontId="42" fillId="0" borderId="33" xfId="0" applyFont="1" applyFill="1" applyBorder="1" applyAlignment="1"/>
    <xf numFmtId="0" fontId="37" fillId="0" borderId="24" xfId="0" applyFont="1" applyBorder="1" applyAlignment="1">
      <alignment horizontal="center"/>
    </xf>
    <xf numFmtId="0" fontId="37" fillId="0" borderId="25" xfId="0" applyFont="1" applyBorder="1" applyAlignment="1">
      <alignment horizontal="center"/>
    </xf>
    <xf numFmtId="0" fontId="37" fillId="0" borderId="27" xfId="0" applyFont="1" applyBorder="1" applyAlignment="1">
      <alignment horizontal="center"/>
    </xf>
    <xf numFmtId="0" fontId="37" fillId="0" borderId="30" xfId="0" applyFont="1" applyBorder="1" applyAlignment="1">
      <alignment horizontal="center"/>
    </xf>
    <xf numFmtId="0" fontId="38" fillId="0" borderId="27" xfId="0" applyFont="1" applyBorder="1" applyAlignment="1">
      <alignment horizontal="center"/>
    </xf>
    <xf numFmtId="0" fontId="38" fillId="0" borderId="30" xfId="0" applyFont="1" applyBorder="1" applyAlignment="1">
      <alignment horizontal="center"/>
    </xf>
    <xf numFmtId="0" fontId="38" fillId="0" borderId="2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Fill="1" applyBorder="1" applyAlignment="1">
      <alignment horizontal="center" wrapText="1"/>
    </xf>
    <xf numFmtId="0" fontId="8" fillId="0" borderId="0" xfId="0" applyFont="1" applyFill="1" applyBorder="1" applyAlignment="1">
      <alignment horizontal="center" wrapText="1"/>
    </xf>
    <xf numFmtId="0" fontId="18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10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center"/>
    </xf>
    <xf numFmtId="0" fontId="15" fillId="0" borderId="2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5" fillId="0" borderId="5" xfId="0" applyFont="1" applyFill="1" applyBorder="1" applyAlignment="1">
      <alignment horizontal="center"/>
    </xf>
    <xf numFmtId="0" fontId="1" fillId="0" borderId="5" xfId="0" applyFont="1" applyFill="1" applyBorder="1" applyAlignment="1">
      <alignment horizontal="center"/>
    </xf>
    <xf numFmtId="0" fontId="27" fillId="0" borderId="7" xfId="0" applyFont="1" applyFill="1" applyBorder="1" applyAlignment="1">
      <alignment horizontal="center"/>
    </xf>
    <xf numFmtId="0" fontId="28" fillId="9" borderId="0" xfId="0" applyFont="1" applyFill="1" applyAlignment="1">
      <alignment horizontal="center"/>
    </xf>
    <xf numFmtId="0" fontId="29" fillId="10" borderId="0" xfId="0" applyFont="1" applyFill="1" applyAlignment="1"/>
    <xf numFmtId="0" fontId="30" fillId="0" borderId="20" xfId="0" applyFont="1" applyBorder="1" applyAlignment="1"/>
    <xf numFmtId="0" fontId="30" fillId="0" borderId="21" xfId="0" applyFont="1" applyBorder="1" applyAlignment="1"/>
    <xf numFmtId="0" fontId="31" fillId="9" borderId="22" xfId="0" applyFont="1" applyFill="1" applyBorder="1" applyAlignment="1">
      <alignment horizontal="center"/>
    </xf>
    <xf numFmtId="0" fontId="31" fillId="9" borderId="23" xfId="0" applyFont="1" applyFill="1" applyBorder="1" applyAlignment="1">
      <alignment horizontal="center"/>
    </xf>
    <xf numFmtId="0" fontId="33" fillId="0" borderId="0" xfId="0" applyFont="1" applyAlignment="1">
      <alignment horizontal="center"/>
    </xf>
    <xf numFmtId="0" fontId="26" fillId="8" borderId="10" xfId="0" applyFont="1" applyFill="1" applyBorder="1" applyAlignment="1">
      <alignment horizontal="center"/>
    </xf>
    <xf numFmtId="0" fontId="34" fillId="0" borderId="0" xfId="0" applyFont="1" applyFill="1" applyBorder="1" applyAlignment="1"/>
    <xf numFmtId="0" fontId="34" fillId="0" borderId="0" xfId="0" applyFont="1" applyFill="1" applyBorder="1" applyAlignment="1">
      <alignment wrapText="1"/>
    </xf>
    <xf numFmtId="0" fontId="35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42" fillId="0" borderId="0" xfId="0" applyFont="1" applyFill="1" applyBorder="1" applyAlignment="1">
      <alignment wrapText="1"/>
    </xf>
    <xf numFmtId="0" fontId="42" fillId="0" borderId="0" xfId="0" quotePrefix="1" applyFont="1" applyFill="1" applyBorder="1" applyAlignment="1">
      <alignment wrapText="1"/>
    </xf>
    <xf numFmtId="9" fontId="42" fillId="0" borderId="0" xfId="0" applyNumberFormat="1" applyFont="1" applyFill="1" applyBorder="1" applyAlignment="1">
      <alignment wrapText="1"/>
    </xf>
    <xf numFmtId="0" fontId="42" fillId="0" borderId="35" xfId="0" applyFont="1" applyFill="1" applyBorder="1" applyAlignment="1">
      <alignment horizontal="center" wrapText="1"/>
    </xf>
    <xf numFmtId="0" fontId="42" fillId="0" borderId="35" xfId="0" quotePrefix="1" applyFont="1" applyFill="1" applyBorder="1" applyAlignment="1">
      <alignment horizontal="center" wrapText="1"/>
    </xf>
    <xf numFmtId="9" fontId="42" fillId="0" borderId="35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1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3" tint="0.89999084444715716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3" tint="0.89999084444715716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3" tint="0.89999084444715716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3" tint="0.89999084444715716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rgb="FFDCE6F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73D65F-1692-4B6F-ACBD-B970F0C9618C}" name="Tableau1" displayName="Tableau1" ref="B15:D28" totalsRowShown="0" headerRowDxfId="132" headerRowBorderDxfId="130" tableBorderDxfId="131" totalsRowBorderDxfId="129">
  <autoFilter ref="B15:D28" xr:uid="{F673D65F-1692-4B6F-ACBD-B970F0C9618C}"/>
  <tableColumns count="3">
    <tableColumn id="1" xr3:uid="{8BE80457-E83F-48BD-9CCA-34F89394B9F3}" name="Parameter" dataDxfId="128"/>
    <tableColumn id="2" xr3:uid="{1C3528C0-5FF9-45DC-BE8A-C51F967902CD}" name="Value" dataDxfId="127"/>
    <tableColumn id="3" xr3:uid="{F8A23DD8-6CC6-48B4-91D8-32BCDCBCB300}" name="Unit / Note" dataDxfId="1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5A703-DECB-4789-B081-5947B32F6A21}" name="Tableau2" displayName="Tableau2" ref="C45:Z55" totalsRowShown="0" headerRowDxfId="125" dataDxfId="124" headerRowBorderDxfId="122" tableBorderDxfId="123" totalsRowBorderDxfId="121">
  <autoFilter ref="C45:Z55" xr:uid="{3D65A703-DECB-4789-B081-5947B32F6A21}"/>
  <tableColumns count="24">
    <tableColumn id="1" xr3:uid="{0EBA9C85-FA04-4D91-9C82-5330A4298C53}" name="Scenario_ha" dataDxfId="120"/>
    <tableColumn id="2" xr3:uid="{3FA0CF62-7712-4C22-BBDE-528E9C6931EA}" name="Year" dataDxfId="119"/>
    <tableColumn id="3" xr3:uid="{79189D57-48CD-4781-8FA2-B6B27B693315}" name="Usable_fresh_kg" dataDxfId="118"/>
    <tableColumn id="4" xr3:uid="{53B109E4-4C70-4FD5-94B6-087D28C95AA3}" name="Dried_kg" dataDxfId="117"/>
    <tableColumn id="5" xr3:uid="{2BB57AE7-0AE2-45F7-9BF3-BD079614DFE4}" name="Export_price_FCFA_per_kg" dataDxfId="116"/>
    <tableColumn id="6" xr3:uid="{606C25C1-2248-4EF1-ACFE-083EB9AF9606}" name="Unit_cost_FCFA_per_kg" dataDxfId="115"/>
    <tableColumn id="7" xr3:uid="{F1C27FE0-6137-49E0-89A3-61F7BDD81E51}" name="Revenue_FCFA" dataDxfId="114"/>
    <tableColumn id="8" xr3:uid="{F37EB08A-7DB9-404B-8F1E-25AA3D1FF4BF}" name="Variable_costs_FCFA" dataDxfId="113"/>
    <tableColumn id="9" xr3:uid="{3DE6D678-B326-4B9C-96B7-A6EA7D661F19}" name="Cycles" dataDxfId="112"/>
    <tableColumn id="10" xr3:uid="{DC7152A5-7CA0-48E6-B2D3-310F350C2432}" name="Energy_cost_FCFA" dataDxfId="111"/>
    <tableColumn id="11" xr3:uid="{E5B444EF-B75D-42CB-A59A-06C7D4B5CA74}" name="Depreciation_FCFA" dataDxfId="110"/>
    <tableColumn id="12" xr3:uid="{8A572A5F-BC12-41AB-B410-586772F35AC4}" name="Maintenance_FCFA" dataDxfId="109"/>
    <tableColumn id="13" xr3:uid="{5E4F7F2D-BA49-4A53-A136-C03D5C8DE695}" name="Total_costs_all_FCFA" dataDxfId="108"/>
    <tableColumn id="14" xr3:uid="{DF289D7C-F3A3-4969-90FB-BDF33B33EF73}" name="Gross_profit_FCFA" dataDxfId="107"/>
    <tableColumn id="15" xr3:uid="{EA140401-8CF2-429F-A4CE-D6AF263F23E8}" name="Net_profit_FCFA" dataDxfId="106"/>
    <tableColumn id="16" xr3:uid="{104055B5-D4AC-49B8-869F-4C1F6A7062CE}" name="Avg_fresh_inventory_kg" dataDxfId="105"/>
    <tableColumn id="17" xr3:uid="{6FAE3077-9C5F-4897-8DF7-D8D2EE8AB301}" name="Value_avg_fresh_inventory_FCFA" dataDxfId="104"/>
    <tableColumn id="18" xr3:uid="{A24FC144-2D4C-4A67-94BF-E7668B144A9F}" name="Avg_dried_inventory_kg" dataDxfId="103"/>
    <tableColumn id="19" xr3:uid="{5DC44673-BFA9-4A03-A6EF-0556D89017E1}" name="Value_avg_dried_inventory_FCFA" dataDxfId="102"/>
    <tableColumn id="20" xr3:uid="{9C0D5D25-CF3A-4F40-9678-B131CBF667DF}" name="Avg_total_inventory_value_FCFA" dataDxfId="101"/>
    <tableColumn id="21" xr3:uid="{58F900B6-4943-4535-945C-383082244D1A}" name="Inventory_turnover_per_year" dataDxfId="100"/>
    <tableColumn id="22" xr3:uid="{0D0AC516-0908-4483-B8E7-CC9B78238F2B}" name="Days_inventory" dataDxfId="99"/>
    <tableColumn id="23" xr3:uid="{C4A6948F-786D-4BAA-94BF-19E0EFE2635C}" name="Working_capital_FCFA" dataDxfId="98"/>
    <tableColumn id="24" xr3:uid="{8CE1B667-2A9D-4FC8-887F-7D0AFFEE722C}" name="Dryers_used" dataDxfId="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D33622-EA63-443C-8A36-964387D5E7CA}" name="Tableau3" displayName="Tableau3" ref="C64:Z74" totalsRowShown="0" headerRowDxfId="96" dataDxfId="95" headerRowBorderDxfId="93" tableBorderDxfId="94" totalsRowBorderDxfId="92">
  <autoFilter ref="C64:Z74" xr:uid="{8FD33622-EA63-443C-8A36-964387D5E7CA}"/>
  <tableColumns count="24">
    <tableColumn id="1" xr3:uid="{5E416C69-58B9-4111-A758-23552D29C30A}" name="Scenario_ha" dataDxfId="91"/>
    <tableColumn id="2" xr3:uid="{73C7D5B1-5A5F-4625-A6A3-E4DAC6928B14}" name="Year" dataDxfId="90"/>
    <tableColumn id="3" xr3:uid="{5A105542-8C33-47CB-AA1C-4DF07E1D355E}" name="Usable_fresh_kg" dataDxfId="89"/>
    <tableColumn id="4" xr3:uid="{0A219E04-1F20-4157-A237-24D45F03060D}" name="Dried_kg" dataDxfId="88"/>
    <tableColumn id="5" xr3:uid="{5A980357-3FB7-409E-96EE-D4845378CAC5}" name="Export_price_FCFA_per_kg" dataDxfId="87"/>
    <tableColumn id="6" xr3:uid="{7CCE1F0C-89F0-440A-92FC-9FFBD013A911}" name="Unit_cost_FCFA_per_kg" dataDxfId="86"/>
    <tableColumn id="7" xr3:uid="{17AF4A63-ADFD-4AB7-8D6E-2B4671F12453}" name="Revenue_FCFA" dataDxfId="85"/>
    <tableColumn id="8" xr3:uid="{22B53887-2ADD-41AC-A450-2F92FEA48524}" name="Variable_costs_FCFA" dataDxfId="84"/>
    <tableColumn id="9" xr3:uid="{412F76C2-ADFC-4189-BA27-B8B779941DCC}" name="Cycles" dataDxfId="83"/>
    <tableColumn id="10" xr3:uid="{519E13B0-BCEF-4AFA-BFB1-CA6BED74AA82}" name="Energy_cost_FCFA" dataDxfId="82"/>
    <tableColumn id="11" xr3:uid="{5EA9B875-EFC9-4960-B5B1-162D0D83C0E6}" name="Depreciation_FCFA" dataDxfId="81"/>
    <tableColumn id="12" xr3:uid="{BC8CDFF2-7CB5-4FBF-8618-C122A2BF4D00}" name="Maintenance_FCFA" dataDxfId="80"/>
    <tableColumn id="13" xr3:uid="{404195DC-81E3-48F3-9E0D-BD966EC89010}" name="Total_costs_all_FCFA" dataDxfId="79"/>
    <tableColumn id="14" xr3:uid="{CA3F0BA8-0C6C-4F0F-918D-594FD4AFCEC2}" name="Gross_profit_FCFA" dataDxfId="78"/>
    <tableColumn id="15" xr3:uid="{47C0BA32-FED0-4180-8D26-87B2DDA691F2}" name="Net_profit_FCFA" dataDxfId="77"/>
    <tableColumn id="16" xr3:uid="{9F9EED81-649C-479A-822C-D4EBF4FD5DF5}" name="Avg_fresh_inventory_kg" dataDxfId="76"/>
    <tableColumn id="17" xr3:uid="{0DFEB13A-51B3-4B71-AF95-4594FC25B586}" name="Value_avg_fresh_inventory_FCFA" dataDxfId="75"/>
    <tableColumn id="18" xr3:uid="{E5AEBF6D-8C9A-4932-85A6-1573E20D248E}" name="Avg_dried_inventory_kg" dataDxfId="74"/>
    <tableColumn id="19" xr3:uid="{9AE02E1D-ACA0-4FE5-8B3C-F3652F979DED}" name="Value_avg_dried_inventory_FCFA" dataDxfId="73"/>
    <tableColumn id="20" xr3:uid="{6CD474F6-5145-4A04-A71A-33CA259E795E}" name="Avg_total_inventory_value_FCFA" dataDxfId="72"/>
    <tableColumn id="21" xr3:uid="{AB72B77D-6E39-48E0-B88D-2AE80F056AB5}" name="Inventory_turnover_per_year" dataDxfId="71"/>
    <tableColumn id="22" xr3:uid="{D2AB963D-9419-4ED9-B6A4-45030D4C19B6}" name="Days_inventory" dataDxfId="70"/>
    <tableColumn id="23" xr3:uid="{D780A7CF-C59D-4286-9C4E-31DC4CF90DCF}" name="Working_capital_FCFA" dataDxfId="69"/>
    <tableColumn id="24" xr3:uid="{D7863CC6-ACB2-4544-8C5D-D476D6572617}" name="Dryers_used" dataDxfId="6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D9476B-3C14-41AB-B8E0-E481DCF2A49D}" name="Tableau4" displayName="Tableau4" ref="C104:Z114" totalsRowShown="0" headerRowDxfId="67" dataDxfId="66" tableBorderDxfId="65">
  <autoFilter ref="C104:Z114" xr:uid="{D7D9476B-3C14-41AB-B8E0-E481DCF2A49D}"/>
  <tableColumns count="24">
    <tableColumn id="1" xr3:uid="{06195EC8-9B3C-4D8A-8B14-5735ED12B49B}" name="Scenario_ha" dataDxfId="64"/>
    <tableColumn id="2" xr3:uid="{BA6608BC-DBB5-455A-83E1-2E76C7FD4904}" name="Year" dataDxfId="63"/>
    <tableColumn id="3" xr3:uid="{AA399D81-B5FD-4FA1-8C9E-18D4191C0E36}" name="Usable_fresh_kg" dataDxfId="62"/>
    <tableColumn id="4" xr3:uid="{8DE3A762-5A05-424B-AD4B-C6B608E2230C}" name="Dried_kg" dataDxfId="61"/>
    <tableColumn id="5" xr3:uid="{65B7686E-37EF-408D-AF5F-C74EAE8A91D5}" name="Export_price_FCFA_per_kg" dataDxfId="60"/>
    <tableColumn id="6" xr3:uid="{F5F6410F-E4E3-427F-B7BD-B29B4B5D2236}" name="Unit_cost_FCFA_per_kg" dataDxfId="59"/>
    <tableColumn id="7" xr3:uid="{A5D4E676-45B2-47D9-A3D9-497B57ACA335}" name="Revenue_FCFA" dataDxfId="58"/>
    <tableColumn id="8" xr3:uid="{CAFD41BE-EE36-4AEF-B0EE-D84F8F5B5D00}" name="Variable_costs_FCFA" dataDxfId="57"/>
    <tableColumn id="9" xr3:uid="{D3299ECE-475F-4995-A3C8-F2C456053EEA}" name="Cycles" dataDxfId="56"/>
    <tableColumn id="10" xr3:uid="{8C513700-26EE-4498-98C8-F0B9A35B405B}" name="Energy_cost_FCFA" dataDxfId="55"/>
    <tableColumn id="11" xr3:uid="{620C474E-5136-4BF7-888E-481588F94E6E}" name="Depreciation_FCFA" dataDxfId="54"/>
    <tableColumn id="12" xr3:uid="{95285141-2917-4F5A-BD0D-B1C93EEDAB35}" name="Maintenance_FCFA" dataDxfId="53"/>
    <tableColumn id="13" xr3:uid="{1014EFB9-87A5-435B-8322-95F3712643DE}" name="Total_costs_all_FCFA" dataDxfId="52"/>
    <tableColumn id="14" xr3:uid="{BB97D8E0-A23A-4540-BF7A-9E546044115C}" name="Gross_profit_FCFA" dataDxfId="51"/>
    <tableColumn id="15" xr3:uid="{84A972C2-6E57-41F3-A8B5-2ECB76E4CA1B}" name="Net_profit_FCFA" dataDxfId="50"/>
    <tableColumn id="16" xr3:uid="{3A7510D5-121E-4001-9C3A-ABA64D566C3B}" name="Avg_fresh_inventory_kg" dataDxfId="49"/>
    <tableColumn id="17" xr3:uid="{9493BC62-C012-4D25-B64C-C361CA5D9EE4}" name="Value_avg_fresh_inventory_FCFA" dataDxfId="48"/>
    <tableColumn id="18" xr3:uid="{3ADFCD92-DC6A-44B3-A47B-5305C976AC6A}" name="Avg_dried_inventory_kg" dataDxfId="47"/>
    <tableColumn id="19" xr3:uid="{31E6A646-C82A-40E2-9F68-6FAFC9E9510F}" name="Value_avg_dried_inventory_FCFA" dataDxfId="46"/>
    <tableColumn id="20" xr3:uid="{EA72EEB1-6421-4719-BDF9-A4809C182046}" name="Avg_total_inventory_value_FCFA" dataDxfId="45"/>
    <tableColumn id="21" xr3:uid="{20430465-70CE-44B0-BA70-A6D2B04CF759}" name="Inventory_turnover_per_year" dataDxfId="44"/>
    <tableColumn id="22" xr3:uid="{E0B81B45-40C2-47D4-B405-89DA2FFBF07E}" name="Days_inventory" dataDxfId="43"/>
    <tableColumn id="23" xr3:uid="{4A2186F5-E0EE-421F-A7F7-0E262E80C6E6}" name="Working_capital_FCFA" dataDxfId="42"/>
    <tableColumn id="24" xr3:uid="{0AA829FB-F7AC-4916-A4BF-7EF37181EC1F}" name="Dryers_used" dataDxfId="4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03001C-9021-46BA-9167-63B007309843}" name="Tableau5" displayName="Tableau5" ref="C82:Z92" totalsRowShown="0" headerRowDxfId="40" dataDxfId="39" tableBorderDxfId="38">
  <autoFilter ref="C82:Z92" xr:uid="{F403001C-9021-46BA-9167-63B007309843}"/>
  <tableColumns count="24">
    <tableColumn id="1" xr3:uid="{D3C5DCDA-CB71-48B6-BEE2-DD927183A4C1}" name="Scenario_ha" dataDxfId="37"/>
    <tableColumn id="2" xr3:uid="{A553B19B-44FF-4FC7-BD6E-AB0BE1F99499}" name="Year" dataDxfId="36"/>
    <tableColumn id="3" xr3:uid="{627EC30F-7FCC-4BA0-A19E-A5A42C2397A9}" name="Usable_fresh_kg" dataDxfId="35"/>
    <tableColumn id="4" xr3:uid="{480F10A2-399F-4B70-800B-D3C241BAF935}" name="Dried_kg" dataDxfId="34"/>
    <tableColumn id="5" xr3:uid="{E6E2B480-7424-40B1-872E-2C26A4935142}" name="Export_price_FCFA_per_kg" dataDxfId="33"/>
    <tableColumn id="6" xr3:uid="{23230D19-05A2-42E7-98AD-5A45D0FB644A}" name="Unit_cost_FCFA_per_kg" dataDxfId="32"/>
    <tableColumn id="7" xr3:uid="{57B990AF-DACC-49D2-A703-17328453126A}" name="Revenue_FCFA" dataDxfId="31"/>
    <tableColumn id="8" xr3:uid="{83173BE5-4649-4E4C-96CF-A1FADC496468}" name="Variable_costs_FCFA" dataDxfId="30"/>
    <tableColumn id="9" xr3:uid="{51B9D710-2071-4F44-A9A9-9888396D08A5}" name="Cycles" dataDxfId="29"/>
    <tableColumn id="10" xr3:uid="{63F111AA-3BD8-4CAC-8A37-FF6E71F33671}" name="Energy_cost_FCFA" dataDxfId="28"/>
    <tableColumn id="11" xr3:uid="{29B480D4-EE78-4212-8C6A-32D5CAA4518A}" name="Depreciation_FCFA" dataDxfId="27"/>
    <tableColumn id="12" xr3:uid="{992C5F93-B984-4228-B997-158890693EB3}" name="Maintenance_FCFA" dataDxfId="26"/>
    <tableColumn id="13" xr3:uid="{94979837-46E0-45E4-BD10-A83776F9F3D5}" name="Total_costs_all_FCFA" dataDxfId="25"/>
    <tableColumn id="14" xr3:uid="{C7B4ECA5-2218-4A9A-9F04-2C75D7034F47}" name="Gross_profit_FCFA" dataDxfId="24"/>
    <tableColumn id="15" xr3:uid="{5AEEF40F-AE19-48EB-9311-7D97035E441F}" name="Net_profit_FCFA" dataDxfId="23"/>
    <tableColumn id="16" xr3:uid="{AE521700-1B72-4C06-930A-B4B61021D81F}" name="Avg_fresh_inventory_kg" dataDxfId="22"/>
    <tableColumn id="17" xr3:uid="{E9593A5C-9F18-452C-93C5-9FD30B365679}" name="Value_avg_fresh_inventory_FCFA" dataDxfId="21"/>
    <tableColumn id="18" xr3:uid="{2952ADE3-B40A-4595-9817-8B11F5AED94B}" name="Avg_dried_inventory_kg" dataDxfId="20"/>
    <tableColumn id="19" xr3:uid="{F0A0C2F0-5ACF-489C-A2F9-DAE683EBD2B2}" name="Value_avg_dried_inventory_FCFA" dataDxfId="19"/>
    <tableColumn id="20" xr3:uid="{BDD71BF6-8990-4B8D-B8E3-3B5412F9C669}" name="Avg_total_inventory_value_FCFA" dataDxfId="18"/>
    <tableColumn id="21" xr3:uid="{3C5C3181-D8FE-42DF-9793-53624EB78378}" name="Inventory_turnover_per_year" dataDxfId="17"/>
    <tableColumn id="22" xr3:uid="{4F865851-FE6F-4F84-9CC7-1888679D7E1E}" name="Days_inventory" dataDxfId="16"/>
    <tableColumn id="23" xr3:uid="{8EDD77BF-68A9-4B8C-B9A3-8D3B1C49ED68}" name="Working_capital_FCFA" dataDxfId="15"/>
    <tableColumn id="24" xr3:uid="{0B168F03-E0D6-4520-97EE-E70E4C0DD3B3}" name="Dryers_used" dataDxfId="1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0DF9247-C442-4008-8C9C-B601C1DA7993}" name="Tableau6" displayName="Tableau6" ref="O15:W16" totalsRowShown="0" headerRowDxfId="13" dataDxfId="12" headerRowBorderDxfId="10" tableBorderDxfId="11" totalsRowBorderDxfId="9">
  <autoFilter ref="O15:W16" xr:uid="{20DF9247-C442-4008-8C9C-B601C1DA7993}"/>
  <tableColumns count="9">
    <tableColumn id="1" xr3:uid="{68047206-80E5-4650-A565-023A495C2360}" name="add_fan_power_kW" dataDxfId="8"/>
    <tableColumn id="2" xr3:uid="{01AC007E-9C18-46F4-A22C-F0F8FF294ED8}" name="sensor_cost_per_dryer_FCFA" dataDxfId="7"/>
    <tableColumn id="3" xr3:uid="{CC363441-85DE-48C5-A4AC-B5B61230797E}" name="gateway_cost_per_site_FCFA" dataDxfId="6"/>
    <tableColumn id="4" xr3:uid="{01A3C2E3-1051-4E37-A3D9-D1F8530640E2}" name="connectivity_monthly_per_dryer_FCFA" dataDxfId="5"/>
    <tableColumn id="5" xr3:uid="{32173AEA-A092-416F-9DD4-EF90A9AA4676}" name="cloud_subscription_annual_FCFA" dataDxfId="4"/>
    <tableColumn id="6" xr3:uid="{1034937C-A786-40F2-B881-1412CC9A8D4F}" name="installation_cost_per_dryer_FCFA" dataDxfId="3"/>
    <tableColumn id="7" xr3:uid="{AE40C67E-1259-473A-BA99-234FEE4AC873}" name="predictive_maintenance_saving_pct" dataDxfId="2"/>
    <tableColumn id="8" xr3:uid="{F1FA2ED4-3F76-449F-AEB9-6BB0B48739E2}" name="yield_improvement_pct" dataDxfId="1"/>
    <tableColumn id="9" xr3:uid="{ED52EBE8-4E26-454F-A81B-8CCACB7A5C00}" name="iot_capex_lifetime_year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C921-7FCF-49CE-AD71-D6F3A8AFB092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0EFB5-7FE4-443C-BDFE-33AAFF1BB1E2}">
  <dimension ref="D4:P18"/>
  <sheetViews>
    <sheetView topLeftCell="B1" workbookViewId="0">
      <selection activeCell="O8" sqref="O8"/>
    </sheetView>
  </sheetViews>
  <sheetFormatPr defaultRowHeight="15"/>
  <cols>
    <col min="4" max="4" width="5.42578125" customWidth="1"/>
    <col min="5" max="6" width="15.7109375" customWidth="1"/>
    <col min="8" max="8" width="14.42578125" bestFit="1" customWidth="1"/>
    <col min="9" max="9" width="15.85546875" bestFit="1" customWidth="1"/>
    <col min="10" max="10" width="11.28515625" bestFit="1" customWidth="1"/>
    <col min="11" max="11" width="13.42578125" bestFit="1" customWidth="1"/>
    <col min="12" max="12" width="16.140625" bestFit="1" customWidth="1"/>
    <col min="13" max="13" width="19" customWidth="1"/>
    <col min="14" max="14" width="18" customWidth="1"/>
    <col min="15" max="15" width="18" bestFit="1" customWidth="1"/>
    <col min="16" max="16" width="16.42578125" customWidth="1"/>
    <col min="17" max="17" width="11" bestFit="1" customWidth="1"/>
    <col min="18" max="18" width="11.28515625" bestFit="1" customWidth="1"/>
    <col min="19" max="19" width="13.42578125" bestFit="1" customWidth="1"/>
    <col min="20" max="20" width="12.7109375" bestFit="1" customWidth="1"/>
    <col min="21" max="21" width="16.28515625" bestFit="1" customWidth="1"/>
    <col min="22" max="22" width="15.5703125" bestFit="1" customWidth="1"/>
  </cols>
  <sheetData>
    <row r="4" spans="4:16" ht="18.75">
      <c r="E4" s="82" t="s">
        <v>0</v>
      </c>
      <c r="F4" s="83"/>
      <c r="G4" s="83"/>
      <c r="H4" s="83"/>
      <c r="I4" s="83"/>
      <c r="J4" s="83"/>
      <c r="K4" s="83"/>
      <c r="L4" s="83"/>
      <c r="M4" s="83"/>
      <c r="N4" s="83"/>
      <c r="O4" s="83"/>
      <c r="P4" s="81"/>
    </row>
    <row r="5" spans="4:16" ht="15.75">
      <c r="E5" s="68" t="s">
        <v>1</v>
      </c>
      <c r="F5" s="64" t="s">
        <v>2</v>
      </c>
      <c r="G5" s="64" t="s">
        <v>3</v>
      </c>
      <c r="H5" s="64" t="s">
        <v>4</v>
      </c>
      <c r="I5" s="64" t="s">
        <v>5</v>
      </c>
      <c r="J5" s="64" t="s">
        <v>6</v>
      </c>
      <c r="K5" s="64" t="s">
        <v>7</v>
      </c>
      <c r="L5" s="64" t="s">
        <v>8</v>
      </c>
      <c r="M5" s="64" t="s">
        <v>9</v>
      </c>
      <c r="N5" s="64" t="s">
        <v>10</v>
      </c>
      <c r="O5" s="62" t="s">
        <v>11</v>
      </c>
      <c r="P5" s="63" t="s">
        <v>12</v>
      </c>
    </row>
    <row r="6" spans="4:16" ht="15.75">
      <c r="E6" s="69" t="s">
        <v>13</v>
      </c>
      <c r="F6" s="63">
        <v>2</v>
      </c>
      <c r="G6" s="63">
        <f>F6*100</f>
        <v>200</v>
      </c>
      <c r="H6" s="63">
        <f>(G6*100)/1000</f>
        <v>20</v>
      </c>
      <c r="I6" s="63">
        <f>H6*7</f>
        <v>140</v>
      </c>
      <c r="J6" s="63">
        <f>H6/5</f>
        <v>4</v>
      </c>
      <c r="K6" s="63">
        <f>(H6*100)/(5*60)</f>
        <v>6.666666666666667</v>
      </c>
      <c r="L6" s="63">
        <f>0.0027*J6*35</f>
        <v>0.378</v>
      </c>
      <c r="M6" s="63">
        <f>L6*0.45</f>
        <v>0.1701</v>
      </c>
      <c r="N6" s="63">
        <f>M6</f>
        <v>0.1701</v>
      </c>
      <c r="O6" s="63">
        <v>0.84799999999999998</v>
      </c>
      <c r="P6" s="64">
        <v>4</v>
      </c>
    </row>
    <row r="9" spans="4:16">
      <c r="E9" s="34"/>
      <c r="F9" s="34"/>
    </row>
    <row r="10" spans="4:16" ht="18.75">
      <c r="D10" s="34"/>
      <c r="E10" s="80" t="s">
        <v>14</v>
      </c>
      <c r="F10" s="81"/>
      <c r="G10" s="31"/>
      <c r="H10" s="31"/>
      <c r="I10" s="84" t="s">
        <v>15</v>
      </c>
      <c r="J10" s="85"/>
      <c r="K10" s="85"/>
      <c r="L10" s="85"/>
      <c r="M10" s="85"/>
      <c r="N10" s="85"/>
      <c r="O10" s="86"/>
    </row>
    <row r="11" spans="4:16" ht="18.75">
      <c r="D11" s="34"/>
      <c r="E11" s="63" t="s">
        <v>16</v>
      </c>
      <c r="F11" s="63" t="s">
        <v>17</v>
      </c>
      <c r="G11" s="34"/>
      <c r="H11" s="34"/>
      <c r="I11" s="65" t="s">
        <v>18</v>
      </c>
      <c r="J11" s="64" t="s">
        <v>19</v>
      </c>
      <c r="K11" s="64" t="s">
        <v>20</v>
      </c>
      <c r="L11" s="64" t="s">
        <v>21</v>
      </c>
      <c r="M11" s="64" t="s">
        <v>22</v>
      </c>
      <c r="N11" s="64" t="s">
        <v>23</v>
      </c>
      <c r="O11" s="66" t="s">
        <v>24</v>
      </c>
    </row>
    <row r="12" spans="4:16" ht="18.75">
      <c r="D12" s="34"/>
      <c r="E12" s="63" t="s">
        <v>25</v>
      </c>
      <c r="F12" s="63">
        <v>120</v>
      </c>
      <c r="G12" s="34"/>
      <c r="H12" s="34"/>
      <c r="I12" s="63">
        <f>F14</f>
        <v>1400</v>
      </c>
      <c r="J12" s="63">
        <f>0.35*2000</f>
        <v>700</v>
      </c>
      <c r="K12" s="63">
        <f>P6*F12</f>
        <v>480</v>
      </c>
      <c r="L12" s="63">
        <f>F13</f>
        <v>800</v>
      </c>
      <c r="M12" s="63">
        <f>F16</f>
        <v>300</v>
      </c>
      <c r="N12" s="63">
        <f>F17</f>
        <v>2500</v>
      </c>
      <c r="O12" s="67">
        <f>I12+J12+K12+L12+M12+N12</f>
        <v>6180</v>
      </c>
    </row>
    <row r="13" spans="4:16" ht="15.75">
      <c r="D13" s="34"/>
      <c r="E13" s="63" t="s">
        <v>26</v>
      </c>
      <c r="F13" s="63">
        <v>800</v>
      </c>
      <c r="G13" s="34"/>
      <c r="H13" s="34"/>
    </row>
    <row r="14" spans="4:16" ht="15.75">
      <c r="D14" s="34"/>
      <c r="E14" s="63" t="s">
        <v>27</v>
      </c>
      <c r="F14" s="63">
        <v>1400</v>
      </c>
      <c r="G14" s="34"/>
      <c r="H14" s="34"/>
      <c r="O14" s="34"/>
    </row>
    <row r="15" spans="4:16" ht="15.75">
      <c r="D15" s="34"/>
      <c r="E15" s="63" t="s">
        <v>28</v>
      </c>
      <c r="F15" s="63" t="s">
        <v>29</v>
      </c>
      <c r="G15" s="34"/>
      <c r="H15" s="34"/>
    </row>
    <row r="16" spans="4:16" ht="15.75">
      <c r="E16" s="63" t="s">
        <v>30</v>
      </c>
      <c r="F16" s="63">
        <v>300</v>
      </c>
      <c r="G16" s="34"/>
      <c r="H16" s="34"/>
    </row>
    <row r="17" spans="5:8" ht="15.75">
      <c r="E17" s="63" t="s">
        <v>31</v>
      </c>
      <c r="F17" s="63">
        <v>2500</v>
      </c>
      <c r="G17" s="34"/>
      <c r="H17" s="34"/>
    </row>
    <row r="18" spans="5:8">
      <c r="E18" s="34"/>
      <c r="F18" s="34"/>
    </row>
  </sheetData>
  <mergeCells count="3">
    <mergeCell ref="E10:F10"/>
    <mergeCell ref="E4:P4"/>
    <mergeCell ref="I10:O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14369-8810-45D6-8563-A5817C7CFDCB}">
  <dimension ref="A2:P27"/>
  <sheetViews>
    <sheetView topLeftCell="J1" workbookViewId="0">
      <selection activeCell="B15" sqref="B15"/>
    </sheetView>
  </sheetViews>
  <sheetFormatPr defaultRowHeight="15"/>
  <cols>
    <col min="1" max="1" width="34.7109375" customWidth="1"/>
    <col min="2" max="2" width="40.5703125" customWidth="1"/>
    <col min="3" max="3" width="23.5703125" customWidth="1"/>
    <col min="4" max="4" width="23.140625" customWidth="1"/>
    <col min="5" max="5" width="26.28515625" customWidth="1"/>
    <col min="6" max="6" width="23.5703125" customWidth="1"/>
    <col min="7" max="7" width="35.42578125" customWidth="1"/>
    <col min="8" max="8" width="29.5703125" customWidth="1"/>
    <col min="9" max="9" width="23.140625" customWidth="1"/>
    <col min="11" max="11" width="50.42578125" customWidth="1"/>
    <col min="12" max="12" width="68.85546875" customWidth="1"/>
    <col min="13" max="13" width="23.140625" customWidth="1"/>
    <col min="14" max="14" width="84.7109375" customWidth="1"/>
  </cols>
  <sheetData>
    <row r="2" spans="1:16" ht="24">
      <c r="A2" s="87" t="s">
        <v>32</v>
      </c>
      <c r="B2" s="88"/>
      <c r="C2" s="88"/>
      <c r="D2" s="88"/>
      <c r="E2" s="88"/>
      <c r="F2" s="88"/>
      <c r="G2" s="88"/>
      <c r="H2" s="88"/>
      <c r="I2" s="88"/>
    </row>
    <row r="3" spans="1:16" ht="19.5">
      <c r="A3" s="2" t="s">
        <v>33</v>
      </c>
      <c r="B3" s="2" t="s">
        <v>34</v>
      </c>
      <c r="C3" s="2" t="s">
        <v>35</v>
      </c>
      <c r="D3" s="2" t="s">
        <v>36</v>
      </c>
      <c r="E3" s="2" t="s">
        <v>37</v>
      </c>
      <c r="F3" s="2" t="s">
        <v>38</v>
      </c>
      <c r="G3" s="2" t="s">
        <v>39</v>
      </c>
      <c r="H3" s="2" t="s">
        <v>40</v>
      </c>
      <c r="I3" s="2" t="s">
        <v>41</v>
      </c>
      <c r="K3" s="89" t="s">
        <v>42</v>
      </c>
      <c r="L3" s="90"/>
      <c r="M3" s="73"/>
      <c r="N3" s="20" t="s">
        <v>43</v>
      </c>
      <c r="O3" s="70"/>
      <c r="P3" s="70"/>
    </row>
    <row r="4" spans="1:16" ht="21">
      <c r="A4" s="3">
        <v>1</v>
      </c>
      <c r="B4" s="5">
        <v>2000</v>
      </c>
      <c r="C4" s="5">
        <v>1400</v>
      </c>
      <c r="D4" s="4">
        <v>60</v>
      </c>
      <c r="E4" s="4">
        <v>360</v>
      </c>
      <c r="F4" s="5">
        <v>180000</v>
      </c>
      <c r="G4" s="5">
        <v>450000</v>
      </c>
      <c r="H4" s="5">
        <v>100000</v>
      </c>
      <c r="I4" s="5">
        <v>370000</v>
      </c>
      <c r="K4" s="15" t="s">
        <v>44</v>
      </c>
      <c r="L4" s="71" t="s">
        <v>45</v>
      </c>
      <c r="M4" s="7"/>
      <c r="N4" s="19" t="s">
        <v>46</v>
      </c>
      <c r="O4" s="8"/>
      <c r="P4" s="70"/>
    </row>
    <row r="5" spans="1:16" ht="21">
      <c r="A5" s="2">
        <v>2</v>
      </c>
      <c r="B5" s="1">
        <v>2200</v>
      </c>
      <c r="C5" s="1">
        <v>1540</v>
      </c>
      <c r="D5" s="6">
        <v>66</v>
      </c>
      <c r="E5" s="6">
        <v>396</v>
      </c>
      <c r="F5" s="1">
        <v>180000</v>
      </c>
      <c r="G5" s="1">
        <v>495000</v>
      </c>
      <c r="H5" s="1">
        <v>110000</v>
      </c>
      <c r="I5" s="1">
        <v>425000</v>
      </c>
      <c r="K5" s="15" t="s">
        <v>47</v>
      </c>
      <c r="L5" s="71" t="s">
        <v>48</v>
      </c>
      <c r="M5" s="7"/>
      <c r="N5" s="19" t="s">
        <v>49</v>
      </c>
      <c r="O5" s="8"/>
      <c r="P5" s="70"/>
    </row>
    <row r="6" spans="1:16" ht="21">
      <c r="A6" s="3">
        <v>3</v>
      </c>
      <c r="B6" s="5">
        <v>2500</v>
      </c>
      <c r="C6" s="5">
        <v>1750</v>
      </c>
      <c r="D6" s="4">
        <v>75</v>
      </c>
      <c r="E6" s="4">
        <v>450</v>
      </c>
      <c r="F6" s="5">
        <v>180000</v>
      </c>
      <c r="G6" s="5">
        <v>562500</v>
      </c>
      <c r="H6" s="5">
        <v>125000</v>
      </c>
      <c r="I6" s="5">
        <v>507500</v>
      </c>
      <c r="K6" s="16" t="s">
        <v>50</v>
      </c>
      <c r="L6" s="71" t="s">
        <v>51</v>
      </c>
      <c r="M6" s="9"/>
      <c r="N6" s="19" t="s">
        <v>52</v>
      </c>
      <c r="O6" s="8"/>
      <c r="P6" s="70"/>
    </row>
    <row r="7" spans="1:16" ht="21">
      <c r="A7" s="2">
        <v>4</v>
      </c>
      <c r="B7" s="1">
        <v>2700</v>
      </c>
      <c r="C7" s="1">
        <v>1890</v>
      </c>
      <c r="D7" s="6">
        <v>81</v>
      </c>
      <c r="E7" s="6">
        <v>486</v>
      </c>
      <c r="F7" s="1">
        <v>180000</v>
      </c>
      <c r="G7" s="1">
        <v>607500</v>
      </c>
      <c r="H7" s="1">
        <v>135000</v>
      </c>
      <c r="I7" s="1">
        <v>562500</v>
      </c>
      <c r="K7" s="16" t="s">
        <v>53</v>
      </c>
      <c r="L7" s="71" t="s">
        <v>54</v>
      </c>
      <c r="M7" s="7"/>
      <c r="N7" s="19" t="s">
        <v>55</v>
      </c>
      <c r="O7" s="8"/>
      <c r="P7" s="70"/>
    </row>
    <row r="8" spans="1:16" ht="21">
      <c r="A8" s="3">
        <v>5</v>
      </c>
      <c r="B8" s="5">
        <v>3000</v>
      </c>
      <c r="C8" s="5">
        <v>2100</v>
      </c>
      <c r="D8" s="4">
        <v>90</v>
      </c>
      <c r="E8" s="4">
        <v>540</v>
      </c>
      <c r="F8" s="5">
        <v>180000</v>
      </c>
      <c r="G8" s="5">
        <v>675000</v>
      </c>
      <c r="H8" s="5">
        <v>150000</v>
      </c>
      <c r="I8" s="5">
        <v>645000</v>
      </c>
      <c r="K8" s="16" t="s">
        <v>56</v>
      </c>
      <c r="L8" s="71" t="s">
        <v>57</v>
      </c>
      <c r="M8" s="7"/>
      <c r="N8" s="19" t="s">
        <v>58</v>
      </c>
      <c r="O8" s="8"/>
      <c r="P8" s="70"/>
    </row>
    <row r="9" spans="1:16" ht="21">
      <c r="A9" s="2">
        <v>6</v>
      </c>
      <c r="B9" s="1">
        <v>3200</v>
      </c>
      <c r="C9" s="1">
        <v>2240</v>
      </c>
      <c r="D9" s="6">
        <v>96</v>
      </c>
      <c r="E9" s="6">
        <v>576</v>
      </c>
      <c r="F9" s="1">
        <v>180000</v>
      </c>
      <c r="G9" s="1">
        <v>720000</v>
      </c>
      <c r="H9" s="1">
        <v>160000</v>
      </c>
      <c r="I9" s="1">
        <v>700000</v>
      </c>
      <c r="K9" s="91" t="s">
        <v>59</v>
      </c>
      <c r="L9" s="92"/>
      <c r="M9" s="7"/>
      <c r="N9" s="7"/>
      <c r="O9" s="8"/>
      <c r="P9" s="70"/>
    </row>
    <row r="10" spans="1:16" ht="21">
      <c r="A10" s="3">
        <v>7</v>
      </c>
      <c r="B10" s="5">
        <v>2800</v>
      </c>
      <c r="C10" s="5">
        <v>1960</v>
      </c>
      <c r="D10" s="4">
        <v>84</v>
      </c>
      <c r="E10" s="4">
        <v>504</v>
      </c>
      <c r="F10" s="5">
        <v>180000</v>
      </c>
      <c r="G10" s="5">
        <v>630000</v>
      </c>
      <c r="H10" s="5">
        <v>140000</v>
      </c>
      <c r="I10" s="5">
        <v>590000</v>
      </c>
      <c r="K10" s="7"/>
      <c r="L10" s="7"/>
      <c r="M10" s="7"/>
      <c r="N10" s="7"/>
      <c r="O10" s="8"/>
      <c r="P10" s="70"/>
    </row>
    <row r="11" spans="1:16" ht="21">
      <c r="A11" s="2">
        <v>8</v>
      </c>
      <c r="B11" s="1">
        <v>2600</v>
      </c>
      <c r="C11" s="1">
        <v>1820</v>
      </c>
      <c r="D11" s="6">
        <v>78</v>
      </c>
      <c r="E11" s="6">
        <v>468</v>
      </c>
      <c r="F11" s="1">
        <v>180000</v>
      </c>
      <c r="G11" s="1">
        <v>585000</v>
      </c>
      <c r="H11" s="1">
        <v>130000</v>
      </c>
      <c r="I11" s="1">
        <v>535000</v>
      </c>
      <c r="K11" s="93" t="s">
        <v>60</v>
      </c>
      <c r="L11" s="94"/>
      <c r="M11" s="94"/>
      <c r="N11" s="94"/>
      <c r="O11" s="8"/>
      <c r="P11" s="70"/>
    </row>
    <row r="12" spans="1:16" ht="21">
      <c r="A12" s="3">
        <v>9</v>
      </c>
      <c r="B12" s="5">
        <v>2400</v>
      </c>
      <c r="C12" s="5">
        <v>1680</v>
      </c>
      <c r="D12" s="4">
        <v>72</v>
      </c>
      <c r="E12" s="4">
        <v>432</v>
      </c>
      <c r="F12" s="5">
        <v>180000</v>
      </c>
      <c r="G12" s="5">
        <v>540000</v>
      </c>
      <c r="H12" s="5">
        <v>120000</v>
      </c>
      <c r="I12" s="5">
        <v>480000</v>
      </c>
      <c r="K12" s="15" t="s">
        <v>61</v>
      </c>
      <c r="L12" s="15" t="s">
        <v>62</v>
      </c>
      <c r="M12" s="15" t="s">
        <v>63</v>
      </c>
      <c r="N12" s="15" t="s">
        <v>64</v>
      </c>
      <c r="O12" s="8"/>
      <c r="P12" s="70"/>
    </row>
    <row r="13" spans="1:16" ht="21">
      <c r="A13" s="2">
        <v>10</v>
      </c>
      <c r="B13" s="1">
        <v>2200</v>
      </c>
      <c r="C13" s="1">
        <v>1540</v>
      </c>
      <c r="D13" s="6">
        <v>66</v>
      </c>
      <c r="E13" s="6">
        <v>396</v>
      </c>
      <c r="F13" s="1">
        <v>180000</v>
      </c>
      <c r="G13" s="1">
        <v>495000</v>
      </c>
      <c r="H13" s="1">
        <v>110000</v>
      </c>
      <c r="I13" s="1">
        <v>425000</v>
      </c>
      <c r="K13" s="71" t="s">
        <v>65</v>
      </c>
      <c r="L13" s="17">
        <v>3</v>
      </c>
      <c r="M13" s="71" t="s">
        <v>66</v>
      </c>
      <c r="N13" s="71" t="s">
        <v>67</v>
      </c>
      <c r="O13" s="8"/>
      <c r="P13" s="70"/>
    </row>
    <row r="14" spans="1:16" ht="21">
      <c r="A14" s="3">
        <v>11</v>
      </c>
      <c r="B14" s="5">
        <v>2000</v>
      </c>
      <c r="C14" s="5">
        <v>1400</v>
      </c>
      <c r="D14" s="4">
        <v>60</v>
      </c>
      <c r="E14" s="4">
        <v>360</v>
      </c>
      <c r="F14" s="5">
        <v>180000</v>
      </c>
      <c r="G14" s="5">
        <v>450000</v>
      </c>
      <c r="H14" s="5">
        <v>100000</v>
      </c>
      <c r="I14" s="5">
        <v>370000</v>
      </c>
      <c r="K14" s="71" t="s">
        <v>68</v>
      </c>
      <c r="L14" s="18">
        <v>5</v>
      </c>
      <c r="M14" s="71" t="s">
        <v>69</v>
      </c>
      <c r="N14" s="71" t="s">
        <v>70</v>
      </c>
      <c r="O14" s="8"/>
      <c r="P14" s="70"/>
    </row>
    <row r="15" spans="1:16" ht="21">
      <c r="A15" s="2">
        <v>12</v>
      </c>
      <c r="B15" s="1">
        <v>1800</v>
      </c>
      <c r="C15" s="1">
        <v>1260</v>
      </c>
      <c r="D15" s="6">
        <v>54</v>
      </c>
      <c r="E15" s="6">
        <v>324</v>
      </c>
      <c r="F15" s="1">
        <v>180000</v>
      </c>
      <c r="G15" s="1">
        <v>405000</v>
      </c>
      <c r="H15" s="1">
        <v>90000</v>
      </c>
      <c r="I15" s="1">
        <v>315000</v>
      </c>
      <c r="K15" s="71" t="s">
        <v>71</v>
      </c>
      <c r="L15" s="17">
        <v>450</v>
      </c>
      <c r="M15" s="71" t="s">
        <v>72</v>
      </c>
      <c r="N15" s="71" t="s">
        <v>73</v>
      </c>
      <c r="O15" s="8"/>
      <c r="P15" s="70"/>
    </row>
    <row r="16" spans="1:16" ht="21">
      <c r="K16" s="71" t="s">
        <v>74</v>
      </c>
      <c r="L16" s="71">
        <v>75</v>
      </c>
      <c r="M16" s="71" t="s">
        <v>75</v>
      </c>
      <c r="N16" s="71" t="s">
        <v>76</v>
      </c>
      <c r="O16" s="8"/>
      <c r="P16" s="70"/>
    </row>
    <row r="17" spans="1:9" ht="18.75">
      <c r="A17" s="97" t="s">
        <v>77</v>
      </c>
      <c r="B17" s="98"/>
      <c r="C17" s="98"/>
      <c r="D17" s="98"/>
      <c r="F17" s="98" t="s">
        <v>78</v>
      </c>
      <c r="G17" s="98"/>
      <c r="H17" s="98"/>
      <c r="I17" s="98"/>
    </row>
    <row r="18" spans="1:9" ht="36">
      <c r="A18" s="10" t="s">
        <v>79</v>
      </c>
      <c r="B18" s="11" t="s">
        <v>80</v>
      </c>
      <c r="C18" s="11" t="s">
        <v>81</v>
      </c>
      <c r="D18" s="11" t="s">
        <v>82</v>
      </c>
      <c r="F18" s="10" t="s">
        <v>83</v>
      </c>
      <c r="G18" s="11" t="s">
        <v>84</v>
      </c>
      <c r="H18" s="11" t="s">
        <v>85</v>
      </c>
      <c r="I18" s="11" t="s">
        <v>64</v>
      </c>
    </row>
    <row r="19" spans="1:9" ht="37.5">
      <c r="A19" s="12" t="s">
        <v>86</v>
      </c>
      <c r="B19" s="14" t="s">
        <v>87</v>
      </c>
      <c r="C19" s="14" t="s">
        <v>88</v>
      </c>
      <c r="D19" s="14" t="s">
        <v>89</v>
      </c>
      <c r="F19" s="12" t="s">
        <v>90</v>
      </c>
      <c r="G19" s="14" t="s">
        <v>91</v>
      </c>
      <c r="H19" s="14" t="s">
        <v>92</v>
      </c>
      <c r="I19" s="14" t="s">
        <v>93</v>
      </c>
    </row>
    <row r="20" spans="1:9" ht="37.5">
      <c r="A20" s="12" t="s">
        <v>94</v>
      </c>
      <c r="B20" s="14" t="s">
        <v>95</v>
      </c>
      <c r="C20" s="14" t="s">
        <v>92</v>
      </c>
      <c r="D20" s="14" t="s">
        <v>92</v>
      </c>
      <c r="F20" s="12" t="s">
        <v>96</v>
      </c>
      <c r="G20" s="14" t="s">
        <v>97</v>
      </c>
      <c r="H20" s="14" t="s">
        <v>98</v>
      </c>
      <c r="I20" s="14" t="s">
        <v>99</v>
      </c>
    </row>
    <row r="21" spans="1:9" ht="37.5">
      <c r="F21" s="12" t="s">
        <v>100</v>
      </c>
      <c r="G21" s="14" t="s">
        <v>101</v>
      </c>
      <c r="H21" s="14" t="s">
        <v>102</v>
      </c>
      <c r="I21" s="14" t="s">
        <v>103</v>
      </c>
    </row>
    <row r="22" spans="1:9" ht="18.75">
      <c r="A22" s="95" t="s">
        <v>104</v>
      </c>
      <c r="B22" s="96"/>
      <c r="F22" s="12" t="s">
        <v>105</v>
      </c>
      <c r="G22" s="14" t="s">
        <v>106</v>
      </c>
      <c r="H22" s="14" t="s">
        <v>107</v>
      </c>
      <c r="I22" s="14" t="s">
        <v>108</v>
      </c>
    </row>
    <row r="23" spans="1:9" ht="18.75">
      <c r="A23" s="10" t="s">
        <v>109</v>
      </c>
      <c r="B23" s="11" t="s">
        <v>110</v>
      </c>
      <c r="F23" s="12" t="s">
        <v>111</v>
      </c>
      <c r="G23" s="14" t="s">
        <v>112</v>
      </c>
      <c r="H23" s="14" t="s">
        <v>113</v>
      </c>
      <c r="I23" s="14" t="s">
        <v>114</v>
      </c>
    </row>
    <row r="24" spans="1:9" ht="18.75">
      <c r="A24" s="12" t="s">
        <v>115</v>
      </c>
      <c r="B24" s="13">
        <v>180000</v>
      </c>
      <c r="F24" s="12" t="s">
        <v>116</v>
      </c>
      <c r="G24" s="14" t="s">
        <v>88</v>
      </c>
      <c r="H24" s="14" t="s">
        <v>117</v>
      </c>
      <c r="I24" s="14" t="s">
        <v>118</v>
      </c>
    </row>
    <row r="25" spans="1:9" ht="18.75">
      <c r="A25" s="12" t="s">
        <v>119</v>
      </c>
      <c r="B25" s="14" t="s">
        <v>120</v>
      </c>
    </row>
    <row r="26" spans="1:9" ht="18.75">
      <c r="A26" s="12" t="s">
        <v>121</v>
      </c>
      <c r="B26" s="14" t="s">
        <v>122</v>
      </c>
    </row>
    <row r="27" spans="1:9" ht="18.75">
      <c r="A27" s="12" t="s">
        <v>123</v>
      </c>
      <c r="B27" s="14" t="s">
        <v>124</v>
      </c>
    </row>
  </sheetData>
  <mergeCells count="7">
    <mergeCell ref="A2:I2"/>
    <mergeCell ref="K3:L3"/>
    <mergeCell ref="K9:L9"/>
    <mergeCell ref="K11:N11"/>
    <mergeCell ref="A22:B22"/>
    <mergeCell ref="A17:D17"/>
    <mergeCell ref="F17:I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17224-E992-4BED-BF7F-FC1356C7BEDB}">
  <dimension ref="A1:Z114"/>
  <sheetViews>
    <sheetView workbookViewId="0">
      <selection activeCell="O14" sqref="O14:W14"/>
    </sheetView>
  </sheetViews>
  <sheetFormatPr defaultRowHeight="15"/>
  <cols>
    <col min="1" max="1" width="30.85546875" bestFit="1" customWidth="1"/>
    <col min="2" max="2" width="32.5703125" customWidth="1"/>
    <col min="3" max="3" width="41.7109375" customWidth="1"/>
    <col min="4" max="4" width="22.28515625" customWidth="1"/>
    <col min="5" max="5" width="18.140625" bestFit="1" customWidth="1"/>
    <col min="6" max="6" width="19.140625" bestFit="1" customWidth="1"/>
    <col min="7" max="7" width="27.42578125" bestFit="1" customWidth="1"/>
    <col min="8" max="8" width="24.5703125" bestFit="1" customWidth="1"/>
    <col min="9" max="9" width="25.85546875" customWidth="1"/>
    <col min="10" max="10" width="21.85546875" bestFit="1" customWidth="1"/>
    <col min="11" max="11" width="17.42578125" bestFit="1" customWidth="1"/>
    <col min="12" max="12" width="25.140625" bestFit="1" customWidth="1"/>
    <col min="13" max="13" width="20.42578125" bestFit="1" customWidth="1"/>
    <col min="14" max="14" width="22.5703125" bestFit="1" customWidth="1"/>
    <col min="15" max="15" width="22.140625" bestFit="1" customWidth="1"/>
    <col min="16" max="16" width="29.28515625" bestFit="1" customWidth="1"/>
    <col min="17" max="17" width="29.5703125" bestFit="1" customWidth="1"/>
    <col min="18" max="18" width="38.28515625" bestFit="1" customWidth="1"/>
    <col min="19" max="19" width="33.42578125" bestFit="1" customWidth="1"/>
    <col min="20" max="20" width="33.5703125" bestFit="1" customWidth="1"/>
    <col min="21" max="21" width="35.5703125" bestFit="1" customWidth="1"/>
    <col min="22" max="22" width="33" bestFit="1" customWidth="1"/>
    <col min="23" max="23" width="30" bestFit="1" customWidth="1"/>
    <col min="24" max="24" width="17.42578125" bestFit="1" customWidth="1"/>
    <col min="25" max="25" width="23.42578125" bestFit="1" customWidth="1"/>
    <col min="26" max="26" width="14.5703125" bestFit="1" customWidth="1"/>
  </cols>
  <sheetData>
    <row r="1" spans="1:26" ht="59.25">
      <c r="A1" s="100" t="s">
        <v>125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</row>
    <row r="2" spans="1:26">
      <c r="A2" s="33"/>
      <c r="D2" s="34"/>
    </row>
    <row r="3" spans="1:26" ht="18.75">
      <c r="D3" s="35"/>
    </row>
    <row r="4" spans="1:26">
      <c r="D4" s="34"/>
    </row>
    <row r="8" spans="1:26">
      <c r="B8" s="101" t="s">
        <v>126</v>
      </c>
      <c r="C8" s="101"/>
      <c r="D8" s="102">
        <v>625</v>
      </c>
    </row>
    <row r="9" spans="1:26">
      <c r="B9" s="101"/>
      <c r="C9" s="101"/>
      <c r="D9" s="103"/>
    </row>
    <row r="10" spans="1:26" ht="19.5">
      <c r="B10" s="104" t="s">
        <v>127</v>
      </c>
      <c r="C10" s="105"/>
      <c r="D10" s="58">
        <v>1600</v>
      </c>
    </row>
    <row r="14" spans="1:26" ht="18.75">
      <c r="B14" s="97" t="s">
        <v>128</v>
      </c>
      <c r="C14" s="97"/>
      <c r="D14" s="97"/>
      <c r="O14" s="106" t="s">
        <v>129</v>
      </c>
      <c r="P14" s="106"/>
      <c r="Q14" s="106"/>
      <c r="R14" s="106"/>
      <c r="S14" s="106"/>
      <c r="T14" s="106"/>
      <c r="U14" s="106"/>
      <c r="V14" s="106"/>
      <c r="W14" s="106"/>
    </row>
    <row r="15" spans="1:26" ht="15.75">
      <c r="B15" s="46" t="s">
        <v>83</v>
      </c>
      <c r="C15" s="47" t="s">
        <v>130</v>
      </c>
      <c r="D15" s="48" t="s">
        <v>131</v>
      </c>
      <c r="I15" s="107" t="s">
        <v>132</v>
      </c>
      <c r="J15" s="107"/>
      <c r="K15" s="107"/>
      <c r="O15" s="59" t="s">
        <v>133</v>
      </c>
      <c r="P15" s="60" t="s">
        <v>134</v>
      </c>
      <c r="Q15" s="60" t="s">
        <v>135</v>
      </c>
      <c r="R15" s="60" t="s">
        <v>136</v>
      </c>
      <c r="S15" s="60" t="s">
        <v>137</v>
      </c>
      <c r="T15" s="60" t="s">
        <v>138</v>
      </c>
      <c r="U15" s="60" t="s">
        <v>139</v>
      </c>
      <c r="V15" s="60" t="s">
        <v>140</v>
      </c>
      <c r="W15" s="61" t="s">
        <v>141</v>
      </c>
      <c r="X15" s="36"/>
    </row>
    <row r="16" spans="1:26" ht="15.75">
      <c r="B16" s="44" t="s">
        <v>142</v>
      </c>
      <c r="C16" s="32">
        <v>10</v>
      </c>
      <c r="D16" s="45" t="s">
        <v>143</v>
      </c>
      <c r="I16" s="39" t="s">
        <v>144</v>
      </c>
      <c r="J16" s="40" t="s">
        <v>145</v>
      </c>
      <c r="K16" s="41" t="s">
        <v>146</v>
      </c>
      <c r="L16" s="42"/>
      <c r="O16" s="49">
        <v>1.5</v>
      </c>
      <c r="P16" s="50">
        <v>50000</v>
      </c>
      <c r="Q16" s="50">
        <v>150000</v>
      </c>
      <c r="R16" s="50">
        <v>1000</v>
      </c>
      <c r="S16" s="50">
        <v>120000</v>
      </c>
      <c r="T16" s="50">
        <v>20000</v>
      </c>
      <c r="U16" s="50">
        <v>0.2</v>
      </c>
      <c r="V16" s="50">
        <v>0.08</v>
      </c>
      <c r="W16" s="51">
        <v>5</v>
      </c>
      <c r="X16" s="36"/>
    </row>
    <row r="17" spans="2:15" ht="15.75">
      <c r="B17" s="44" t="s">
        <v>147</v>
      </c>
      <c r="C17" s="32">
        <v>0.8</v>
      </c>
      <c r="D17" s="45" t="s">
        <v>148</v>
      </c>
      <c r="I17" s="37" t="s">
        <v>149</v>
      </c>
      <c r="J17" s="43" t="s">
        <v>150</v>
      </c>
      <c r="K17" s="37" t="s">
        <v>151</v>
      </c>
    </row>
    <row r="18" spans="2:15" ht="15.75">
      <c r="B18" s="44" t="s">
        <v>152</v>
      </c>
      <c r="C18" s="32">
        <v>4</v>
      </c>
      <c r="D18" s="45" t="s">
        <v>153</v>
      </c>
      <c r="I18" s="37" t="s">
        <v>154</v>
      </c>
      <c r="J18" s="43" t="s">
        <v>150</v>
      </c>
      <c r="K18" s="37" t="s">
        <v>155</v>
      </c>
    </row>
    <row r="19" spans="2:15" ht="15.75">
      <c r="B19" s="44" t="s">
        <v>156</v>
      </c>
      <c r="C19" s="32">
        <v>150</v>
      </c>
      <c r="D19" s="45" t="s">
        <v>157</v>
      </c>
      <c r="I19" s="37" t="s">
        <v>158</v>
      </c>
      <c r="J19" s="43" t="s">
        <v>159</v>
      </c>
      <c r="K19" s="37" t="s">
        <v>160</v>
      </c>
      <c r="O19" s="34"/>
    </row>
    <row r="20" spans="2:15" ht="15.75">
      <c r="B20" s="44" t="s">
        <v>161</v>
      </c>
      <c r="C20" s="32">
        <v>12000</v>
      </c>
      <c r="D20" s="45" t="s">
        <v>162</v>
      </c>
      <c r="I20" s="37" t="s">
        <v>163</v>
      </c>
      <c r="J20" s="37" t="s">
        <v>164</v>
      </c>
      <c r="K20" s="38" t="s">
        <v>151</v>
      </c>
    </row>
    <row r="21" spans="2:15">
      <c r="B21" s="44" t="s">
        <v>165</v>
      </c>
      <c r="C21" s="32">
        <v>500</v>
      </c>
      <c r="D21" s="45" t="s">
        <v>166</v>
      </c>
    </row>
    <row r="22" spans="2:15">
      <c r="B22" s="44" t="s">
        <v>167</v>
      </c>
      <c r="C22" s="32">
        <v>120</v>
      </c>
      <c r="D22" s="45" t="s">
        <v>168</v>
      </c>
    </row>
    <row r="23" spans="2:15">
      <c r="B23" s="44" t="s">
        <v>169</v>
      </c>
      <c r="C23" s="32">
        <v>32</v>
      </c>
      <c r="D23" s="45" t="s">
        <v>170</v>
      </c>
    </row>
    <row r="24" spans="2:15">
      <c r="B24" s="44" t="s">
        <v>171</v>
      </c>
      <c r="C24" s="32">
        <v>750000</v>
      </c>
      <c r="D24" s="45" t="s">
        <v>172</v>
      </c>
    </row>
    <row r="25" spans="2:15" ht="18.75">
      <c r="B25" s="44" t="s">
        <v>173</v>
      </c>
      <c r="C25" s="32">
        <v>1820</v>
      </c>
      <c r="D25" s="45" t="s">
        <v>174</v>
      </c>
      <c r="E25" s="35"/>
      <c r="F25" s="35"/>
      <c r="G25" s="35"/>
      <c r="H25" s="35"/>
      <c r="I25" s="35"/>
      <c r="J25" s="35"/>
      <c r="K25" s="35"/>
      <c r="L25" s="35"/>
      <c r="M25" s="35"/>
      <c r="N25" s="35"/>
    </row>
    <row r="26" spans="2:15" ht="18.75">
      <c r="B26" s="44" t="s">
        <v>175</v>
      </c>
      <c r="C26" s="32">
        <v>1695</v>
      </c>
      <c r="D26" s="45" t="s">
        <v>162</v>
      </c>
      <c r="E26" s="35"/>
      <c r="F26" s="35"/>
      <c r="G26" s="35"/>
      <c r="H26" s="35"/>
      <c r="I26" s="35"/>
      <c r="J26" s="35"/>
      <c r="K26" s="35"/>
      <c r="L26" s="35"/>
      <c r="M26" s="35"/>
      <c r="N26" s="35"/>
    </row>
    <row r="27" spans="2:15" ht="18.75">
      <c r="B27" s="44" t="s">
        <v>176</v>
      </c>
      <c r="C27" s="32">
        <v>1350</v>
      </c>
      <c r="D27" s="45" t="s">
        <v>162</v>
      </c>
      <c r="E27" s="35"/>
      <c r="F27" s="35"/>
      <c r="G27" s="35"/>
      <c r="H27" s="35"/>
      <c r="I27" s="35"/>
      <c r="J27" s="35"/>
      <c r="K27" s="35"/>
      <c r="L27" s="35"/>
      <c r="M27" s="35"/>
      <c r="N27" s="35"/>
    </row>
    <row r="28" spans="2:15" ht="18.75">
      <c r="B28" s="49" t="s">
        <v>177</v>
      </c>
      <c r="C28" s="50">
        <v>1198</v>
      </c>
      <c r="D28" s="51" t="s">
        <v>162</v>
      </c>
      <c r="E28" s="35"/>
      <c r="F28" s="35"/>
      <c r="G28" s="35"/>
      <c r="H28" s="35"/>
      <c r="I28" s="35"/>
      <c r="J28" s="35"/>
      <c r="K28" s="35"/>
      <c r="L28" s="35"/>
      <c r="M28" s="35"/>
      <c r="N28" s="35"/>
    </row>
    <row r="29" spans="2:15" ht="18.75"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</row>
    <row r="30" spans="2:15" ht="18.75"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</row>
    <row r="31" spans="2:15" ht="18.75"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</row>
    <row r="44" spans="3:26" ht="30">
      <c r="C44" s="99" t="s">
        <v>178</v>
      </c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  <c r="X44" s="99"/>
      <c r="Y44" s="99"/>
      <c r="Z44" s="99"/>
    </row>
    <row r="45" spans="3:26">
      <c r="C45" s="52" t="s">
        <v>179</v>
      </c>
      <c r="D45" s="53" t="s">
        <v>180</v>
      </c>
      <c r="E45" s="53" t="s">
        <v>181</v>
      </c>
      <c r="F45" s="53" t="s">
        <v>182</v>
      </c>
      <c r="G45" s="53" t="s">
        <v>183</v>
      </c>
      <c r="H45" s="53" t="s">
        <v>184</v>
      </c>
      <c r="I45" s="53" t="s">
        <v>185</v>
      </c>
      <c r="J45" s="53" t="s">
        <v>186</v>
      </c>
      <c r="K45" s="53" t="s">
        <v>187</v>
      </c>
      <c r="L45" s="53" t="s">
        <v>188</v>
      </c>
      <c r="M45" s="53" t="s">
        <v>189</v>
      </c>
      <c r="N45" s="53" t="s">
        <v>190</v>
      </c>
      <c r="O45" s="53" t="s">
        <v>191</v>
      </c>
      <c r="P45" s="53" t="s">
        <v>192</v>
      </c>
      <c r="Q45" s="53" t="s">
        <v>193</v>
      </c>
      <c r="R45" s="53" t="s">
        <v>194</v>
      </c>
      <c r="S45" s="53" t="s">
        <v>195</v>
      </c>
      <c r="T45" s="53" t="s">
        <v>196</v>
      </c>
      <c r="U45" s="53" t="s">
        <v>197</v>
      </c>
      <c r="V45" s="53" t="s">
        <v>198</v>
      </c>
      <c r="W45" s="53" t="s">
        <v>199</v>
      </c>
      <c r="X45" s="53" t="s">
        <v>200</v>
      </c>
      <c r="Y45" s="53" t="s">
        <v>201</v>
      </c>
      <c r="Z45" s="54" t="s">
        <v>202</v>
      </c>
    </row>
    <row r="46" spans="3:26">
      <c r="C46" s="44">
        <v>1</v>
      </c>
      <c r="D46" s="32">
        <v>1</v>
      </c>
      <c r="E46" s="32">
        <v>8000</v>
      </c>
      <c r="F46" s="32">
        <v>2000</v>
      </c>
      <c r="G46" s="32">
        <v>12000</v>
      </c>
      <c r="H46" s="32">
        <v>1820</v>
      </c>
      <c r="I46" s="32">
        <v>24000000</v>
      </c>
      <c r="J46" s="32">
        <v>3640000</v>
      </c>
      <c r="K46" s="32">
        <v>16</v>
      </c>
      <c r="L46" s="32">
        <v>768000</v>
      </c>
      <c r="M46" s="32">
        <v>75000</v>
      </c>
      <c r="N46" s="32">
        <v>37500</v>
      </c>
      <c r="O46" s="32">
        <v>4520500</v>
      </c>
      <c r="P46" s="32">
        <v>20360000</v>
      </c>
      <c r="Q46" s="32">
        <v>19479500</v>
      </c>
      <c r="R46" s="32">
        <v>4000</v>
      </c>
      <c r="S46" s="32">
        <v>600000</v>
      </c>
      <c r="T46" s="32">
        <v>200</v>
      </c>
      <c r="U46" s="32">
        <v>364000</v>
      </c>
      <c r="V46" s="32">
        <v>964000</v>
      </c>
      <c r="W46" s="32">
        <v>4.6100000000000003</v>
      </c>
      <c r="X46" s="32">
        <v>79.099999999999994</v>
      </c>
      <c r="Y46" s="32">
        <v>1564000</v>
      </c>
      <c r="Z46" s="45">
        <v>1</v>
      </c>
    </row>
    <row r="47" spans="3:26">
      <c r="C47" s="44">
        <v>1</v>
      </c>
      <c r="D47" s="32">
        <v>2</v>
      </c>
      <c r="E47" s="32">
        <v>8000</v>
      </c>
      <c r="F47" s="32">
        <v>2000</v>
      </c>
      <c r="G47" s="32">
        <v>12240</v>
      </c>
      <c r="H47" s="32">
        <v>1874.6</v>
      </c>
      <c r="I47" s="32">
        <v>24480000</v>
      </c>
      <c r="J47" s="32">
        <v>3749200</v>
      </c>
      <c r="K47" s="32">
        <v>16</v>
      </c>
      <c r="L47" s="32">
        <v>768000</v>
      </c>
      <c r="M47" s="32">
        <v>75000</v>
      </c>
      <c r="N47" s="32">
        <v>37500</v>
      </c>
      <c r="O47" s="32">
        <v>4629700</v>
      </c>
      <c r="P47" s="32">
        <v>20730800</v>
      </c>
      <c r="Q47" s="32">
        <v>19850300</v>
      </c>
      <c r="R47" s="32">
        <v>4000</v>
      </c>
      <c r="S47" s="32">
        <v>600000</v>
      </c>
      <c r="T47" s="32">
        <v>200</v>
      </c>
      <c r="U47" s="32">
        <v>374920</v>
      </c>
      <c r="V47" s="32">
        <v>974920</v>
      </c>
      <c r="W47" s="32">
        <v>4.67</v>
      </c>
      <c r="X47" s="32">
        <v>78.099999999999994</v>
      </c>
      <c r="Y47" s="32">
        <v>1574920</v>
      </c>
      <c r="Z47" s="45">
        <v>1</v>
      </c>
    </row>
    <row r="48" spans="3:26">
      <c r="C48" s="44">
        <v>1</v>
      </c>
      <c r="D48" s="32">
        <v>3</v>
      </c>
      <c r="E48" s="32">
        <v>8000</v>
      </c>
      <c r="F48" s="32">
        <v>2000</v>
      </c>
      <c r="G48" s="32">
        <v>12484.8</v>
      </c>
      <c r="H48" s="32">
        <v>1930.84</v>
      </c>
      <c r="I48" s="32">
        <v>24969600</v>
      </c>
      <c r="J48" s="32">
        <v>3861676</v>
      </c>
      <c r="K48" s="32">
        <v>16</v>
      </c>
      <c r="L48" s="32">
        <v>768000</v>
      </c>
      <c r="M48" s="32">
        <v>75000</v>
      </c>
      <c r="N48" s="32">
        <v>37500</v>
      </c>
      <c r="O48" s="32">
        <v>4742176</v>
      </c>
      <c r="P48" s="32">
        <v>21107924</v>
      </c>
      <c r="Q48" s="32">
        <v>20227424</v>
      </c>
      <c r="R48" s="32">
        <v>4000</v>
      </c>
      <c r="S48" s="32">
        <v>600000</v>
      </c>
      <c r="T48" s="32">
        <v>200</v>
      </c>
      <c r="U48" s="32">
        <v>386167</v>
      </c>
      <c r="V48" s="32">
        <v>986167</v>
      </c>
      <c r="W48" s="32">
        <v>4.7300000000000004</v>
      </c>
      <c r="X48" s="32">
        <v>77.099999999999994</v>
      </c>
      <c r="Y48" s="32">
        <v>1586167</v>
      </c>
      <c r="Z48" s="45">
        <v>1</v>
      </c>
    </row>
    <row r="49" spans="3:26">
      <c r="C49" s="44">
        <v>1</v>
      </c>
      <c r="D49" s="32">
        <v>4</v>
      </c>
      <c r="E49" s="32">
        <v>8000</v>
      </c>
      <c r="F49" s="32">
        <v>2000</v>
      </c>
      <c r="G49" s="32">
        <v>12734.5</v>
      </c>
      <c r="H49" s="32">
        <v>1988.76</v>
      </c>
      <c r="I49" s="32">
        <v>25468992</v>
      </c>
      <c r="J49" s="32">
        <v>3977526</v>
      </c>
      <c r="K49" s="32">
        <v>16</v>
      </c>
      <c r="L49" s="32">
        <v>768000</v>
      </c>
      <c r="M49" s="32">
        <v>75000</v>
      </c>
      <c r="N49" s="32">
        <v>37500</v>
      </c>
      <c r="O49" s="32">
        <v>4858026</v>
      </c>
      <c r="P49" s="32">
        <v>21491465</v>
      </c>
      <c r="Q49" s="32">
        <v>20610965</v>
      </c>
      <c r="R49" s="32">
        <v>4000</v>
      </c>
      <c r="S49" s="32">
        <v>600000</v>
      </c>
      <c r="T49" s="32">
        <v>200</v>
      </c>
      <c r="U49" s="32">
        <v>397752</v>
      </c>
      <c r="V49" s="32">
        <v>997752</v>
      </c>
      <c r="W49" s="32">
        <v>4.79</v>
      </c>
      <c r="X49" s="32">
        <v>76.099999999999994</v>
      </c>
      <c r="Y49" s="32">
        <v>1597752</v>
      </c>
      <c r="Z49" s="45">
        <v>1</v>
      </c>
    </row>
    <row r="50" spans="3:26">
      <c r="C50" s="44">
        <v>1</v>
      </c>
      <c r="D50" s="32">
        <v>5</v>
      </c>
      <c r="E50" s="32">
        <v>8000</v>
      </c>
      <c r="F50" s="32">
        <v>2000</v>
      </c>
      <c r="G50" s="32">
        <v>12989.19</v>
      </c>
      <c r="H50" s="32">
        <v>2048.4299999999998</v>
      </c>
      <c r="I50" s="32">
        <v>25978371</v>
      </c>
      <c r="J50" s="32">
        <v>4096852</v>
      </c>
      <c r="K50" s="32">
        <v>16</v>
      </c>
      <c r="L50" s="32">
        <v>768000</v>
      </c>
      <c r="M50" s="32">
        <v>75000</v>
      </c>
      <c r="N50" s="32">
        <v>37500</v>
      </c>
      <c r="O50" s="32">
        <v>4977352</v>
      </c>
      <c r="P50" s="32">
        <v>21881519</v>
      </c>
      <c r="Q50" s="32">
        <v>21001019</v>
      </c>
      <c r="R50" s="32">
        <v>4000</v>
      </c>
      <c r="S50" s="32">
        <v>600000</v>
      </c>
      <c r="T50" s="32">
        <v>200</v>
      </c>
      <c r="U50" s="32">
        <v>409685</v>
      </c>
      <c r="V50" s="32">
        <v>1009685</v>
      </c>
      <c r="W50" s="32">
        <v>4.8600000000000003</v>
      </c>
      <c r="X50" s="32">
        <v>75.2</v>
      </c>
      <c r="Y50" s="32">
        <v>1609685</v>
      </c>
      <c r="Z50" s="45">
        <v>1</v>
      </c>
    </row>
    <row r="51" spans="3:26">
      <c r="C51" s="44">
        <v>1</v>
      </c>
      <c r="D51" s="32">
        <v>6</v>
      </c>
      <c r="E51" s="32">
        <v>8000</v>
      </c>
      <c r="F51" s="32">
        <v>2000</v>
      </c>
      <c r="G51" s="32">
        <v>13248.97</v>
      </c>
      <c r="H51" s="32">
        <v>2109.88</v>
      </c>
      <c r="I51" s="32">
        <v>26497939</v>
      </c>
      <c r="J51" s="32">
        <v>4219757</v>
      </c>
      <c r="K51" s="32">
        <v>16</v>
      </c>
      <c r="L51" s="32">
        <v>768000</v>
      </c>
      <c r="M51" s="32">
        <v>75000</v>
      </c>
      <c r="N51" s="32">
        <v>37500</v>
      </c>
      <c r="O51" s="32">
        <v>5100257</v>
      </c>
      <c r="P51" s="32">
        <v>22278181</v>
      </c>
      <c r="Q51" s="32">
        <v>21397681</v>
      </c>
      <c r="R51" s="32">
        <v>4000</v>
      </c>
      <c r="S51" s="32">
        <v>600000</v>
      </c>
      <c r="T51" s="32">
        <v>200</v>
      </c>
      <c r="U51" s="32">
        <v>421975</v>
      </c>
      <c r="V51" s="32">
        <v>1021975</v>
      </c>
      <c r="W51" s="32">
        <v>4.92</v>
      </c>
      <c r="X51" s="32">
        <v>74.2</v>
      </c>
      <c r="Y51" s="32">
        <v>1621975</v>
      </c>
      <c r="Z51" s="45">
        <v>1</v>
      </c>
    </row>
    <row r="52" spans="3:26">
      <c r="C52" s="44">
        <v>1</v>
      </c>
      <c r="D52" s="32">
        <v>7</v>
      </c>
      <c r="E52" s="32">
        <v>8000</v>
      </c>
      <c r="F52" s="32">
        <v>2000</v>
      </c>
      <c r="G52" s="32">
        <v>13513.95</v>
      </c>
      <c r="H52" s="32">
        <v>2173.1799999999998</v>
      </c>
      <c r="I52" s="32">
        <v>27027898</v>
      </c>
      <c r="J52" s="32">
        <v>4346350</v>
      </c>
      <c r="K52" s="32">
        <v>16</v>
      </c>
      <c r="L52" s="32">
        <v>768000</v>
      </c>
      <c r="M52" s="32">
        <v>75000</v>
      </c>
      <c r="N52" s="32">
        <v>37500</v>
      </c>
      <c r="O52" s="32">
        <v>5226850</v>
      </c>
      <c r="P52" s="32">
        <v>22681547</v>
      </c>
      <c r="Q52" s="32">
        <v>21801047</v>
      </c>
      <c r="R52" s="32">
        <v>4000</v>
      </c>
      <c r="S52" s="32">
        <v>600000</v>
      </c>
      <c r="T52" s="32">
        <v>200</v>
      </c>
      <c r="U52" s="32">
        <v>434635</v>
      </c>
      <c r="V52" s="32">
        <v>1034635</v>
      </c>
      <c r="W52" s="32">
        <v>4.9800000000000004</v>
      </c>
      <c r="X52" s="32">
        <v>73.3</v>
      </c>
      <c r="Y52" s="32">
        <v>1634635</v>
      </c>
      <c r="Z52" s="45">
        <v>1</v>
      </c>
    </row>
    <row r="53" spans="3:26">
      <c r="C53" s="44">
        <v>1</v>
      </c>
      <c r="D53" s="32">
        <v>8</v>
      </c>
      <c r="E53" s="32">
        <v>8000</v>
      </c>
      <c r="F53" s="32">
        <v>2000</v>
      </c>
      <c r="G53" s="32">
        <v>13784.23</v>
      </c>
      <c r="H53" s="32">
        <v>2238.37</v>
      </c>
      <c r="I53" s="32">
        <v>27568456</v>
      </c>
      <c r="J53" s="32">
        <v>4476740</v>
      </c>
      <c r="K53" s="32">
        <v>16</v>
      </c>
      <c r="L53" s="32">
        <v>768000</v>
      </c>
      <c r="M53" s="32">
        <v>75000</v>
      </c>
      <c r="N53" s="32">
        <v>37500</v>
      </c>
      <c r="O53" s="32">
        <v>5357240</v>
      </c>
      <c r="P53" s="32">
        <v>23091715</v>
      </c>
      <c r="Q53" s="32">
        <v>22211215</v>
      </c>
      <c r="R53" s="32">
        <v>4000</v>
      </c>
      <c r="S53" s="32">
        <v>600000</v>
      </c>
      <c r="T53" s="32">
        <v>200</v>
      </c>
      <c r="U53" s="32">
        <v>447674</v>
      </c>
      <c r="V53" s="32">
        <v>1047674</v>
      </c>
      <c r="W53" s="32">
        <v>5.04</v>
      </c>
      <c r="X53" s="32">
        <v>72.400000000000006</v>
      </c>
      <c r="Y53" s="32">
        <v>1647674</v>
      </c>
      <c r="Z53" s="45">
        <v>1</v>
      </c>
    </row>
    <row r="54" spans="3:26">
      <c r="C54" s="44">
        <v>1</v>
      </c>
      <c r="D54" s="32">
        <v>9</v>
      </c>
      <c r="E54" s="32">
        <v>8000</v>
      </c>
      <c r="F54" s="32">
        <v>2000</v>
      </c>
      <c r="G54" s="32">
        <v>14059.91</v>
      </c>
      <c r="H54" s="32">
        <v>2305.52</v>
      </c>
      <c r="I54" s="32">
        <v>28119825</v>
      </c>
      <c r="J54" s="32">
        <v>4611043</v>
      </c>
      <c r="K54" s="32">
        <v>16</v>
      </c>
      <c r="L54" s="32">
        <v>768000</v>
      </c>
      <c r="M54" s="32">
        <v>75000</v>
      </c>
      <c r="N54" s="32">
        <v>37500</v>
      </c>
      <c r="O54" s="32">
        <v>5491543</v>
      </c>
      <c r="P54" s="32">
        <v>23508782</v>
      </c>
      <c r="Q54" s="32">
        <v>22628282</v>
      </c>
      <c r="R54" s="32">
        <v>4000</v>
      </c>
      <c r="S54" s="32">
        <v>600000</v>
      </c>
      <c r="T54" s="32">
        <v>200</v>
      </c>
      <c r="U54" s="32">
        <v>461104</v>
      </c>
      <c r="V54" s="32">
        <v>1061104</v>
      </c>
      <c r="W54" s="32">
        <v>5.0999999999999996</v>
      </c>
      <c r="X54" s="32">
        <v>71.5</v>
      </c>
      <c r="Y54" s="32">
        <v>1661104</v>
      </c>
      <c r="Z54" s="45">
        <v>1</v>
      </c>
    </row>
    <row r="55" spans="3:26">
      <c r="C55" s="49">
        <v>1</v>
      </c>
      <c r="D55" s="50">
        <v>10</v>
      </c>
      <c r="E55" s="50">
        <v>8000</v>
      </c>
      <c r="F55" s="50">
        <v>2000</v>
      </c>
      <c r="G55" s="50">
        <v>14341.11</v>
      </c>
      <c r="H55" s="50">
        <v>2374.69</v>
      </c>
      <c r="I55" s="50">
        <v>28682221</v>
      </c>
      <c r="J55" s="50">
        <v>4749374</v>
      </c>
      <c r="K55" s="50">
        <v>16</v>
      </c>
      <c r="L55" s="50">
        <v>768000</v>
      </c>
      <c r="M55" s="50">
        <v>75000</v>
      </c>
      <c r="N55" s="50">
        <v>37500</v>
      </c>
      <c r="O55" s="50">
        <v>5629874</v>
      </c>
      <c r="P55" s="50">
        <v>23932847</v>
      </c>
      <c r="Q55" s="50">
        <v>23052347</v>
      </c>
      <c r="R55" s="50">
        <v>4000</v>
      </c>
      <c r="S55" s="50">
        <v>600000</v>
      </c>
      <c r="T55" s="50">
        <v>200</v>
      </c>
      <c r="U55" s="50">
        <v>474937</v>
      </c>
      <c r="V55" s="50">
        <v>1074937</v>
      </c>
      <c r="W55" s="50">
        <v>5.17</v>
      </c>
      <c r="X55" s="50">
        <v>70.599999999999994</v>
      </c>
      <c r="Y55" s="50">
        <v>1674937</v>
      </c>
      <c r="Z55" s="51">
        <v>1</v>
      </c>
    </row>
    <row r="63" spans="3:26" ht="30">
      <c r="C63" s="99" t="s">
        <v>203</v>
      </c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/>
    </row>
    <row r="64" spans="3:26">
      <c r="C64" s="52" t="s">
        <v>179</v>
      </c>
      <c r="D64" s="53" t="s">
        <v>180</v>
      </c>
      <c r="E64" s="53" t="s">
        <v>181</v>
      </c>
      <c r="F64" s="53" t="s">
        <v>182</v>
      </c>
      <c r="G64" s="53" t="s">
        <v>183</v>
      </c>
      <c r="H64" s="53" t="s">
        <v>184</v>
      </c>
      <c r="I64" s="53" t="s">
        <v>185</v>
      </c>
      <c r="J64" s="53" t="s">
        <v>186</v>
      </c>
      <c r="K64" s="53" t="s">
        <v>187</v>
      </c>
      <c r="L64" s="53" t="s">
        <v>188</v>
      </c>
      <c r="M64" s="53" t="s">
        <v>189</v>
      </c>
      <c r="N64" s="53" t="s">
        <v>190</v>
      </c>
      <c r="O64" s="53" t="s">
        <v>191</v>
      </c>
      <c r="P64" s="53" t="s">
        <v>192</v>
      </c>
      <c r="Q64" s="53" t="s">
        <v>193</v>
      </c>
      <c r="R64" s="53" t="s">
        <v>194</v>
      </c>
      <c r="S64" s="53" t="s">
        <v>195</v>
      </c>
      <c r="T64" s="53" t="s">
        <v>196</v>
      </c>
      <c r="U64" s="53" t="s">
        <v>197</v>
      </c>
      <c r="V64" s="53" t="s">
        <v>198</v>
      </c>
      <c r="W64" s="53" t="s">
        <v>199</v>
      </c>
      <c r="X64" s="53" t="s">
        <v>200</v>
      </c>
      <c r="Y64" s="53" t="s">
        <v>201</v>
      </c>
      <c r="Z64" s="54" t="s">
        <v>202</v>
      </c>
    </row>
    <row r="65" spans="3:26">
      <c r="C65" s="44">
        <v>3</v>
      </c>
      <c r="D65" s="32">
        <v>1</v>
      </c>
      <c r="E65" s="32">
        <v>24000</v>
      </c>
      <c r="F65" s="32">
        <v>6000</v>
      </c>
      <c r="G65" s="32">
        <v>12000</v>
      </c>
      <c r="H65" s="32">
        <v>1695</v>
      </c>
      <c r="I65" s="32">
        <v>72000000</v>
      </c>
      <c r="J65" s="32">
        <v>10170000</v>
      </c>
      <c r="K65" s="32">
        <v>48</v>
      </c>
      <c r="L65" s="32">
        <v>2304000</v>
      </c>
      <c r="M65" s="32">
        <v>150000</v>
      </c>
      <c r="N65" s="32">
        <v>75000</v>
      </c>
      <c r="O65" s="32">
        <v>12699000</v>
      </c>
      <c r="P65" s="32">
        <v>61830000</v>
      </c>
      <c r="Q65" s="32">
        <v>59301000</v>
      </c>
      <c r="R65" s="32">
        <v>12000</v>
      </c>
      <c r="S65" s="32">
        <v>1800000</v>
      </c>
      <c r="T65" s="32">
        <v>600</v>
      </c>
      <c r="U65" s="32">
        <v>1017000</v>
      </c>
      <c r="V65" s="32">
        <v>2817000</v>
      </c>
      <c r="W65" s="32">
        <v>4.45</v>
      </c>
      <c r="X65" s="32">
        <v>81.900000000000006</v>
      </c>
      <c r="Y65" s="32">
        <v>4617000</v>
      </c>
      <c r="Z65" s="45">
        <v>2</v>
      </c>
    </row>
    <row r="66" spans="3:26">
      <c r="C66" s="44">
        <v>3</v>
      </c>
      <c r="D66" s="32">
        <v>2</v>
      </c>
      <c r="E66" s="32">
        <v>24000</v>
      </c>
      <c r="F66" s="32">
        <v>6000</v>
      </c>
      <c r="G66" s="32">
        <v>12240</v>
      </c>
      <c r="H66" s="32">
        <v>1745.85</v>
      </c>
      <c r="I66" s="32">
        <v>73440000</v>
      </c>
      <c r="J66" s="32">
        <v>10475100</v>
      </c>
      <c r="K66" s="32">
        <v>48</v>
      </c>
      <c r="L66" s="32">
        <v>2304000</v>
      </c>
      <c r="M66" s="32">
        <v>150000</v>
      </c>
      <c r="N66" s="32">
        <v>75000</v>
      </c>
      <c r="O66" s="32">
        <v>13004100</v>
      </c>
      <c r="P66" s="32">
        <v>62964900</v>
      </c>
      <c r="Q66" s="32">
        <v>60435900</v>
      </c>
      <c r="R66" s="32">
        <v>12000</v>
      </c>
      <c r="S66" s="32">
        <v>1800000</v>
      </c>
      <c r="T66" s="32">
        <v>600</v>
      </c>
      <c r="U66" s="32">
        <v>1047510</v>
      </c>
      <c r="V66" s="32">
        <v>2847510</v>
      </c>
      <c r="W66" s="32">
        <v>4.51</v>
      </c>
      <c r="X66" s="32">
        <v>80.900000000000006</v>
      </c>
      <c r="Y66" s="32">
        <v>4647510</v>
      </c>
      <c r="Z66" s="45">
        <v>2</v>
      </c>
    </row>
    <row r="67" spans="3:26">
      <c r="C67" s="44">
        <v>3</v>
      </c>
      <c r="D67" s="32">
        <v>3</v>
      </c>
      <c r="E67" s="32">
        <v>24000</v>
      </c>
      <c r="F67" s="32">
        <v>6000</v>
      </c>
      <c r="G67" s="32">
        <v>12484.8</v>
      </c>
      <c r="H67" s="32">
        <v>1798.23</v>
      </c>
      <c r="I67" s="32">
        <v>74908800</v>
      </c>
      <c r="J67" s="32">
        <v>10789353</v>
      </c>
      <c r="K67" s="32">
        <v>48</v>
      </c>
      <c r="L67" s="32">
        <v>2304000</v>
      </c>
      <c r="M67" s="32">
        <v>150000</v>
      </c>
      <c r="N67" s="32">
        <v>75000</v>
      </c>
      <c r="O67" s="32">
        <v>13318353</v>
      </c>
      <c r="P67" s="32">
        <v>64119447</v>
      </c>
      <c r="Q67" s="32">
        <v>61590447</v>
      </c>
      <c r="R67" s="32">
        <v>12000</v>
      </c>
      <c r="S67" s="32">
        <v>1800000</v>
      </c>
      <c r="T67" s="32">
        <v>600</v>
      </c>
      <c r="U67" s="32">
        <v>1078935</v>
      </c>
      <c r="V67" s="32">
        <v>2878935</v>
      </c>
      <c r="W67" s="32">
        <v>4.57</v>
      </c>
      <c r="X67" s="32">
        <v>79.8</v>
      </c>
      <c r="Y67" s="32">
        <v>4678935</v>
      </c>
      <c r="Z67" s="45">
        <v>2</v>
      </c>
    </row>
    <row r="68" spans="3:26">
      <c r="C68" s="44">
        <v>3</v>
      </c>
      <c r="D68" s="32">
        <v>4</v>
      </c>
      <c r="E68" s="32">
        <v>24000</v>
      </c>
      <c r="F68" s="32">
        <v>6000</v>
      </c>
      <c r="G68" s="32">
        <v>12734.5</v>
      </c>
      <c r="H68" s="32">
        <v>1852.17</v>
      </c>
      <c r="I68" s="32">
        <v>76406976</v>
      </c>
      <c r="J68" s="32">
        <v>11113033</v>
      </c>
      <c r="K68" s="32">
        <v>48</v>
      </c>
      <c r="L68" s="32">
        <v>2304000</v>
      </c>
      <c r="M68" s="32">
        <v>150000</v>
      </c>
      <c r="N68" s="32">
        <v>75000</v>
      </c>
      <c r="O68" s="32">
        <v>13642033</v>
      </c>
      <c r="P68" s="32">
        <v>65293942</v>
      </c>
      <c r="Q68" s="32">
        <v>62764942</v>
      </c>
      <c r="R68" s="32">
        <v>12000</v>
      </c>
      <c r="S68" s="32">
        <v>1800000</v>
      </c>
      <c r="T68" s="32">
        <v>600</v>
      </c>
      <c r="U68" s="32">
        <v>1111303</v>
      </c>
      <c r="V68" s="32">
        <v>2911303</v>
      </c>
      <c r="W68" s="32">
        <v>4.63</v>
      </c>
      <c r="X68" s="32">
        <v>78.8</v>
      </c>
      <c r="Y68" s="32">
        <v>4711303</v>
      </c>
      <c r="Z68" s="45">
        <v>2</v>
      </c>
    </row>
    <row r="69" spans="3:26">
      <c r="C69" s="44">
        <v>3</v>
      </c>
      <c r="D69" s="32">
        <v>5</v>
      </c>
      <c r="E69" s="32">
        <v>24000</v>
      </c>
      <c r="F69" s="32">
        <v>6000</v>
      </c>
      <c r="G69" s="32">
        <v>12989.19</v>
      </c>
      <c r="H69" s="32">
        <v>1907.74</v>
      </c>
      <c r="I69" s="32">
        <v>77935115</v>
      </c>
      <c r="J69" s="32">
        <v>11446424</v>
      </c>
      <c r="K69" s="32">
        <v>48</v>
      </c>
      <c r="L69" s="32">
        <v>2304000</v>
      </c>
      <c r="M69" s="32">
        <v>150000</v>
      </c>
      <c r="N69" s="32">
        <v>75000</v>
      </c>
      <c r="O69" s="32">
        <v>13975424</v>
      </c>
      <c r="P69" s="32">
        <v>66488690</v>
      </c>
      <c r="Q69" s="32">
        <v>63959690</v>
      </c>
      <c r="R69" s="32">
        <v>12000</v>
      </c>
      <c r="S69" s="32">
        <v>1800000</v>
      </c>
      <c r="T69" s="32">
        <v>600</v>
      </c>
      <c r="U69" s="32">
        <v>1144642</v>
      </c>
      <c r="V69" s="32">
        <v>2944642</v>
      </c>
      <c r="W69" s="32">
        <v>4.7</v>
      </c>
      <c r="X69" s="32">
        <v>77.7</v>
      </c>
      <c r="Y69" s="32">
        <v>4744642</v>
      </c>
      <c r="Z69" s="45">
        <v>2</v>
      </c>
    </row>
    <row r="70" spans="3:26">
      <c r="C70" s="44">
        <v>3</v>
      </c>
      <c r="D70" s="32">
        <v>6</v>
      </c>
      <c r="E70" s="32">
        <v>24000</v>
      </c>
      <c r="F70" s="32">
        <v>6000</v>
      </c>
      <c r="G70" s="32">
        <v>13248.97</v>
      </c>
      <c r="H70" s="32">
        <v>1964.97</v>
      </c>
      <c r="I70" s="32">
        <v>79493817</v>
      </c>
      <c r="J70" s="32">
        <v>11789817</v>
      </c>
      <c r="K70" s="32">
        <v>48</v>
      </c>
      <c r="L70" s="32">
        <v>2304000</v>
      </c>
      <c r="M70" s="32">
        <v>150000</v>
      </c>
      <c r="N70" s="32">
        <v>75000</v>
      </c>
      <c r="O70" s="32">
        <v>14318817</v>
      </c>
      <c r="P70" s="32">
        <v>67704000</v>
      </c>
      <c r="Q70" s="32">
        <v>65175000</v>
      </c>
      <c r="R70" s="32">
        <v>12000</v>
      </c>
      <c r="S70" s="32">
        <v>1800000</v>
      </c>
      <c r="T70" s="32">
        <v>600</v>
      </c>
      <c r="U70" s="32">
        <v>1178981</v>
      </c>
      <c r="V70" s="32">
        <v>2978981</v>
      </c>
      <c r="W70" s="32">
        <v>4.76</v>
      </c>
      <c r="X70" s="32">
        <v>76.7</v>
      </c>
      <c r="Y70" s="32">
        <v>4778981</v>
      </c>
      <c r="Z70" s="45">
        <v>2</v>
      </c>
    </row>
    <row r="71" spans="3:26">
      <c r="C71" s="44">
        <v>3</v>
      </c>
      <c r="D71" s="32">
        <v>7</v>
      </c>
      <c r="E71" s="32">
        <v>24000</v>
      </c>
      <c r="F71" s="32">
        <v>6000</v>
      </c>
      <c r="G71" s="32">
        <v>13513.95</v>
      </c>
      <c r="H71" s="32">
        <v>2023.92</v>
      </c>
      <c r="I71" s="32">
        <v>81083694</v>
      </c>
      <c r="J71" s="32">
        <v>12143511</v>
      </c>
      <c r="K71" s="32">
        <v>48</v>
      </c>
      <c r="L71" s="32">
        <v>2304000</v>
      </c>
      <c r="M71" s="32">
        <v>150000</v>
      </c>
      <c r="N71" s="32">
        <v>75000</v>
      </c>
      <c r="O71" s="32">
        <v>14672511</v>
      </c>
      <c r="P71" s="32">
        <v>68940182</v>
      </c>
      <c r="Q71" s="32">
        <v>66411182</v>
      </c>
      <c r="R71" s="32">
        <v>12000</v>
      </c>
      <c r="S71" s="32">
        <v>1800000</v>
      </c>
      <c r="T71" s="32">
        <v>600</v>
      </c>
      <c r="U71" s="32">
        <v>1214351</v>
      </c>
      <c r="V71" s="32">
        <v>3014351</v>
      </c>
      <c r="W71" s="32">
        <v>4.82</v>
      </c>
      <c r="X71" s="32">
        <v>75.8</v>
      </c>
      <c r="Y71" s="32">
        <v>4814351</v>
      </c>
      <c r="Z71" s="45">
        <v>2</v>
      </c>
    </row>
    <row r="72" spans="3:26">
      <c r="C72" s="44">
        <v>3</v>
      </c>
      <c r="D72" s="32">
        <v>8</v>
      </c>
      <c r="E72" s="32">
        <v>24000</v>
      </c>
      <c r="F72" s="32">
        <v>6000</v>
      </c>
      <c r="G72" s="32">
        <v>13784.23</v>
      </c>
      <c r="H72" s="32">
        <v>2084.64</v>
      </c>
      <c r="I72" s="32">
        <v>82705368</v>
      </c>
      <c r="J72" s="32">
        <v>12507817</v>
      </c>
      <c r="K72" s="32">
        <v>48</v>
      </c>
      <c r="L72" s="32">
        <v>2304000</v>
      </c>
      <c r="M72" s="32">
        <v>150000</v>
      </c>
      <c r="N72" s="32">
        <v>75000</v>
      </c>
      <c r="O72" s="32">
        <v>15036817</v>
      </c>
      <c r="P72" s="32">
        <v>70197550</v>
      </c>
      <c r="Q72" s="32">
        <v>67668550</v>
      </c>
      <c r="R72" s="32">
        <v>12000</v>
      </c>
      <c r="S72" s="32">
        <v>1800000</v>
      </c>
      <c r="T72" s="32">
        <v>600</v>
      </c>
      <c r="U72" s="32">
        <v>1250781</v>
      </c>
      <c r="V72" s="32">
        <v>3050781</v>
      </c>
      <c r="W72" s="32">
        <v>4.88</v>
      </c>
      <c r="X72" s="32">
        <v>74.8</v>
      </c>
      <c r="Y72" s="32">
        <v>4850781</v>
      </c>
      <c r="Z72" s="45">
        <v>2</v>
      </c>
    </row>
    <row r="73" spans="3:26">
      <c r="C73" s="44">
        <v>3</v>
      </c>
      <c r="D73" s="32">
        <v>9</v>
      </c>
      <c r="E73" s="32">
        <v>24000</v>
      </c>
      <c r="F73" s="32">
        <v>6000</v>
      </c>
      <c r="G73" s="32">
        <v>14059.91</v>
      </c>
      <c r="H73" s="32">
        <v>2147.1799999999998</v>
      </c>
      <c r="I73" s="32">
        <v>84359475</v>
      </c>
      <c r="J73" s="32">
        <v>12883051</v>
      </c>
      <c r="K73" s="32">
        <v>48</v>
      </c>
      <c r="L73" s="32">
        <v>2304000</v>
      </c>
      <c r="M73" s="32">
        <v>150000</v>
      </c>
      <c r="N73" s="32">
        <v>75000</v>
      </c>
      <c r="O73" s="32">
        <v>15412051</v>
      </c>
      <c r="P73" s="32">
        <v>71476423</v>
      </c>
      <c r="Q73" s="32">
        <v>68947423</v>
      </c>
      <c r="R73" s="32">
        <v>12000</v>
      </c>
      <c r="S73" s="32">
        <v>1800000</v>
      </c>
      <c r="T73" s="32">
        <v>600</v>
      </c>
      <c r="U73" s="32">
        <v>1288305</v>
      </c>
      <c r="V73" s="32">
        <v>3088305</v>
      </c>
      <c r="W73" s="32">
        <v>4.9400000000000004</v>
      </c>
      <c r="X73" s="32">
        <v>73.900000000000006</v>
      </c>
      <c r="Y73" s="32">
        <v>4888305</v>
      </c>
      <c r="Z73" s="45">
        <v>2</v>
      </c>
    </row>
    <row r="74" spans="3:26">
      <c r="C74" s="49">
        <v>3</v>
      </c>
      <c r="D74" s="50">
        <v>10</v>
      </c>
      <c r="E74" s="50">
        <v>24000</v>
      </c>
      <c r="F74" s="50">
        <v>6000</v>
      </c>
      <c r="G74" s="50">
        <v>14341.11</v>
      </c>
      <c r="H74" s="50">
        <v>2211.59</v>
      </c>
      <c r="I74" s="50">
        <v>86046664</v>
      </c>
      <c r="J74" s="50">
        <v>13269543</v>
      </c>
      <c r="K74" s="50">
        <v>48</v>
      </c>
      <c r="L74" s="50">
        <v>2304000</v>
      </c>
      <c r="M74" s="50">
        <v>150000</v>
      </c>
      <c r="N74" s="50">
        <v>75000</v>
      </c>
      <c r="O74" s="50">
        <v>15798543</v>
      </c>
      <c r="P74" s="50">
        <v>72777121</v>
      </c>
      <c r="Q74" s="50">
        <v>70248121</v>
      </c>
      <c r="R74" s="50">
        <v>12000</v>
      </c>
      <c r="S74" s="50">
        <v>1800000</v>
      </c>
      <c r="T74" s="50">
        <v>600</v>
      </c>
      <c r="U74" s="50">
        <v>1326954</v>
      </c>
      <c r="V74" s="50">
        <v>3126954</v>
      </c>
      <c r="W74" s="50">
        <v>5</v>
      </c>
      <c r="X74" s="50">
        <v>72.900000000000006</v>
      </c>
      <c r="Y74" s="50">
        <v>4926954</v>
      </c>
      <c r="Z74" s="51">
        <v>2</v>
      </c>
    </row>
    <row r="81" spans="3:26" ht="30">
      <c r="C81" s="99" t="s">
        <v>204</v>
      </c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  <c r="X81" s="99"/>
      <c r="Y81" s="99"/>
      <c r="Z81" s="99"/>
    </row>
    <row r="82" spans="3:26">
      <c r="C82" s="55" t="s">
        <v>179</v>
      </c>
      <c r="D82" s="56" t="s">
        <v>180</v>
      </c>
      <c r="E82" s="56" t="s">
        <v>181</v>
      </c>
      <c r="F82" s="56" t="s">
        <v>182</v>
      </c>
      <c r="G82" s="56" t="s">
        <v>183</v>
      </c>
      <c r="H82" s="56" t="s">
        <v>184</v>
      </c>
      <c r="I82" s="56" t="s">
        <v>185</v>
      </c>
      <c r="J82" s="56" t="s">
        <v>186</v>
      </c>
      <c r="K82" s="56" t="s">
        <v>187</v>
      </c>
      <c r="L82" s="56" t="s">
        <v>188</v>
      </c>
      <c r="M82" s="56" t="s">
        <v>189</v>
      </c>
      <c r="N82" s="56" t="s">
        <v>190</v>
      </c>
      <c r="O82" s="56" t="s">
        <v>191</v>
      </c>
      <c r="P82" s="56" t="s">
        <v>192</v>
      </c>
      <c r="Q82" s="56" t="s">
        <v>193</v>
      </c>
      <c r="R82" s="56" t="s">
        <v>194</v>
      </c>
      <c r="S82" s="56" t="s">
        <v>195</v>
      </c>
      <c r="T82" s="56" t="s">
        <v>196</v>
      </c>
      <c r="U82" s="56" t="s">
        <v>197</v>
      </c>
      <c r="V82" s="56" t="s">
        <v>198</v>
      </c>
      <c r="W82" s="56" t="s">
        <v>199</v>
      </c>
      <c r="X82" s="56" t="s">
        <v>200</v>
      </c>
      <c r="Y82" s="56" t="s">
        <v>201</v>
      </c>
      <c r="Z82" s="57" t="s">
        <v>202</v>
      </c>
    </row>
    <row r="83" spans="3:26">
      <c r="C83" s="44">
        <v>30</v>
      </c>
      <c r="D83" s="32">
        <v>1</v>
      </c>
      <c r="E83" s="32">
        <v>240000</v>
      </c>
      <c r="F83" s="32">
        <v>60000</v>
      </c>
      <c r="G83" s="32">
        <v>12000</v>
      </c>
      <c r="H83" s="32">
        <v>1350</v>
      </c>
      <c r="I83" s="32">
        <v>720000000</v>
      </c>
      <c r="J83" s="32">
        <v>81000000</v>
      </c>
      <c r="K83" s="32">
        <v>480</v>
      </c>
      <c r="L83" s="32">
        <v>23040000</v>
      </c>
      <c r="M83" s="32">
        <v>1125000</v>
      </c>
      <c r="N83" s="32">
        <v>562500</v>
      </c>
      <c r="O83" s="32">
        <v>105727500</v>
      </c>
      <c r="P83" s="32">
        <v>639000000</v>
      </c>
      <c r="Q83" s="32">
        <v>614272500</v>
      </c>
      <c r="R83" s="32">
        <v>120000</v>
      </c>
      <c r="S83" s="32">
        <v>18000000</v>
      </c>
      <c r="T83" s="32">
        <v>6000</v>
      </c>
      <c r="U83" s="32">
        <v>8100000</v>
      </c>
      <c r="V83" s="32">
        <v>26100000</v>
      </c>
      <c r="W83" s="32">
        <v>4.01</v>
      </c>
      <c r="X83" s="32">
        <v>91.1</v>
      </c>
      <c r="Y83" s="32">
        <v>44100000</v>
      </c>
      <c r="Z83" s="45">
        <v>15</v>
      </c>
    </row>
    <row r="84" spans="3:26">
      <c r="C84" s="44">
        <v>30</v>
      </c>
      <c r="D84" s="32">
        <v>2</v>
      </c>
      <c r="E84" s="32">
        <v>240000</v>
      </c>
      <c r="F84" s="32">
        <v>60000</v>
      </c>
      <c r="G84" s="32">
        <v>12240</v>
      </c>
      <c r="H84" s="32">
        <v>1390.5</v>
      </c>
      <c r="I84" s="32">
        <v>734400000</v>
      </c>
      <c r="J84" s="32">
        <v>83430000</v>
      </c>
      <c r="K84" s="32">
        <v>480</v>
      </c>
      <c r="L84" s="32">
        <v>23040000</v>
      </c>
      <c r="M84" s="32">
        <v>1125000</v>
      </c>
      <c r="N84" s="32">
        <v>562500</v>
      </c>
      <c r="O84" s="32">
        <v>108157500</v>
      </c>
      <c r="P84" s="32">
        <v>650970000</v>
      </c>
      <c r="Q84" s="32">
        <v>626242500</v>
      </c>
      <c r="R84" s="32">
        <v>120000</v>
      </c>
      <c r="S84" s="32">
        <v>18000000</v>
      </c>
      <c r="T84" s="32">
        <v>6000</v>
      </c>
      <c r="U84" s="32">
        <v>8343000</v>
      </c>
      <c r="V84" s="32">
        <v>26343000</v>
      </c>
      <c r="W84" s="32">
        <v>4.0599999999999996</v>
      </c>
      <c r="X84" s="32">
        <v>89.8</v>
      </c>
      <c r="Y84" s="32">
        <v>44343000</v>
      </c>
      <c r="Z84" s="45">
        <v>15</v>
      </c>
    </row>
    <row r="85" spans="3:26">
      <c r="C85" s="44">
        <v>30</v>
      </c>
      <c r="D85" s="32">
        <v>3</v>
      </c>
      <c r="E85" s="32">
        <v>240000</v>
      </c>
      <c r="F85" s="32">
        <v>60000</v>
      </c>
      <c r="G85" s="32">
        <v>12484.8</v>
      </c>
      <c r="H85" s="32">
        <v>1432.22</v>
      </c>
      <c r="I85" s="32">
        <v>749088000</v>
      </c>
      <c r="J85" s="32">
        <v>85932900</v>
      </c>
      <c r="K85" s="32">
        <v>480</v>
      </c>
      <c r="L85" s="32">
        <v>23040000</v>
      </c>
      <c r="M85" s="32">
        <v>1125000</v>
      </c>
      <c r="N85" s="32">
        <v>562500</v>
      </c>
      <c r="O85" s="32">
        <v>110660400</v>
      </c>
      <c r="P85" s="32">
        <v>663155100</v>
      </c>
      <c r="Q85" s="32">
        <v>638427600</v>
      </c>
      <c r="R85" s="32">
        <v>120000</v>
      </c>
      <c r="S85" s="32">
        <v>18000000</v>
      </c>
      <c r="T85" s="32">
        <v>6000</v>
      </c>
      <c r="U85" s="32">
        <v>8593290</v>
      </c>
      <c r="V85" s="32">
        <v>26593290</v>
      </c>
      <c r="W85" s="32">
        <v>4.12</v>
      </c>
      <c r="X85" s="32">
        <v>88.6</v>
      </c>
      <c r="Y85" s="32">
        <v>44593290</v>
      </c>
      <c r="Z85" s="45">
        <v>15</v>
      </c>
    </row>
    <row r="86" spans="3:26">
      <c r="C86" s="44">
        <v>30</v>
      </c>
      <c r="D86" s="32">
        <v>4</v>
      </c>
      <c r="E86" s="32">
        <v>240000</v>
      </c>
      <c r="F86" s="32">
        <v>60000</v>
      </c>
      <c r="G86" s="32">
        <v>12734.5</v>
      </c>
      <c r="H86" s="32">
        <v>1475.18</v>
      </c>
      <c r="I86" s="32">
        <v>764069760</v>
      </c>
      <c r="J86" s="32">
        <v>88510887</v>
      </c>
      <c r="K86" s="32">
        <v>480</v>
      </c>
      <c r="L86" s="32">
        <v>23040000</v>
      </c>
      <c r="M86" s="32">
        <v>1125000</v>
      </c>
      <c r="N86" s="32">
        <v>562500</v>
      </c>
      <c r="O86" s="32">
        <v>113238387</v>
      </c>
      <c r="P86" s="32">
        <v>675558873</v>
      </c>
      <c r="Q86" s="32">
        <v>650831373</v>
      </c>
      <c r="R86" s="32">
        <v>120000</v>
      </c>
      <c r="S86" s="32">
        <v>18000000</v>
      </c>
      <c r="T86" s="32">
        <v>6000</v>
      </c>
      <c r="U86" s="32">
        <v>8851088</v>
      </c>
      <c r="V86" s="32">
        <v>26851088</v>
      </c>
      <c r="W86" s="32">
        <v>4.18</v>
      </c>
      <c r="X86" s="32">
        <v>87.4</v>
      </c>
      <c r="Y86" s="32">
        <v>44851088</v>
      </c>
      <c r="Z86" s="45">
        <v>15</v>
      </c>
    </row>
    <row r="87" spans="3:26">
      <c r="C87" s="44">
        <v>30</v>
      </c>
      <c r="D87" s="32">
        <v>5</v>
      </c>
      <c r="E87" s="32">
        <v>240000</v>
      </c>
      <c r="F87" s="32">
        <v>60000</v>
      </c>
      <c r="G87" s="32">
        <v>12989.19</v>
      </c>
      <c r="H87" s="32">
        <v>1519.44</v>
      </c>
      <c r="I87" s="32">
        <v>779351155</v>
      </c>
      <c r="J87" s="32">
        <v>91166213</v>
      </c>
      <c r="K87" s="32">
        <v>480</v>
      </c>
      <c r="L87" s="32">
        <v>23040000</v>
      </c>
      <c r="M87" s="32">
        <v>1125000</v>
      </c>
      <c r="N87" s="32">
        <v>562500</v>
      </c>
      <c r="O87" s="32">
        <v>115893713</v>
      </c>
      <c r="P87" s="32">
        <v>688184941</v>
      </c>
      <c r="Q87" s="32">
        <v>663457441</v>
      </c>
      <c r="R87" s="32">
        <v>120000</v>
      </c>
      <c r="S87" s="32">
        <v>18000000</v>
      </c>
      <c r="T87" s="32">
        <v>6000</v>
      </c>
      <c r="U87" s="32">
        <v>9116621</v>
      </c>
      <c r="V87" s="32">
        <v>27116621</v>
      </c>
      <c r="W87" s="32">
        <v>4.2300000000000004</v>
      </c>
      <c r="X87" s="32">
        <v>86.2</v>
      </c>
      <c r="Y87" s="32">
        <v>45116621</v>
      </c>
      <c r="Z87" s="45">
        <v>15</v>
      </c>
    </row>
    <row r="88" spans="3:26">
      <c r="C88" s="44">
        <v>30</v>
      </c>
      <c r="D88" s="32">
        <v>6</v>
      </c>
      <c r="E88" s="32">
        <v>240000</v>
      </c>
      <c r="F88" s="32">
        <v>60000</v>
      </c>
      <c r="G88" s="32">
        <v>13248.97</v>
      </c>
      <c r="H88" s="32">
        <v>1565.02</v>
      </c>
      <c r="I88" s="32">
        <v>794938178</v>
      </c>
      <c r="J88" s="32">
        <v>93901200</v>
      </c>
      <c r="K88" s="32">
        <v>480</v>
      </c>
      <c r="L88" s="32">
        <v>23040000</v>
      </c>
      <c r="M88" s="32">
        <v>1125000</v>
      </c>
      <c r="N88" s="32">
        <v>562500</v>
      </c>
      <c r="O88" s="32">
        <v>118628700</v>
      </c>
      <c r="P88" s="32">
        <v>701036978</v>
      </c>
      <c r="Q88" s="32">
        <v>676309478</v>
      </c>
      <c r="R88" s="32">
        <v>120000</v>
      </c>
      <c r="S88" s="32">
        <v>18000000</v>
      </c>
      <c r="T88" s="32">
        <v>6000</v>
      </c>
      <c r="U88" s="32">
        <v>9390120</v>
      </c>
      <c r="V88" s="32">
        <v>27390120</v>
      </c>
      <c r="W88" s="32">
        <v>4.29</v>
      </c>
      <c r="X88" s="32">
        <v>85.1</v>
      </c>
      <c r="Y88" s="32">
        <v>45390120</v>
      </c>
      <c r="Z88" s="45">
        <v>15</v>
      </c>
    </row>
    <row r="89" spans="3:26">
      <c r="C89" s="44">
        <v>30</v>
      </c>
      <c r="D89" s="32">
        <v>7</v>
      </c>
      <c r="E89" s="32">
        <v>240000</v>
      </c>
      <c r="F89" s="32">
        <v>60000</v>
      </c>
      <c r="G89" s="32">
        <v>13513.95</v>
      </c>
      <c r="H89" s="32">
        <v>1611.97</v>
      </c>
      <c r="I89" s="32">
        <v>810836941</v>
      </c>
      <c r="J89" s="32">
        <v>96718236</v>
      </c>
      <c r="K89" s="32">
        <v>480</v>
      </c>
      <c r="L89" s="32">
        <v>23040000</v>
      </c>
      <c r="M89" s="32">
        <v>1125000</v>
      </c>
      <c r="N89" s="32">
        <v>562500</v>
      </c>
      <c r="O89" s="32">
        <v>121445736</v>
      </c>
      <c r="P89" s="32">
        <v>714118705</v>
      </c>
      <c r="Q89" s="32">
        <v>689391205</v>
      </c>
      <c r="R89" s="32">
        <v>120000</v>
      </c>
      <c r="S89" s="32">
        <v>18000000</v>
      </c>
      <c r="T89" s="32">
        <v>6000</v>
      </c>
      <c r="U89" s="32">
        <v>9671823</v>
      </c>
      <c r="V89" s="32">
        <v>27671823</v>
      </c>
      <c r="W89" s="32">
        <v>4.3499999999999996</v>
      </c>
      <c r="X89" s="32">
        <v>83.9</v>
      </c>
      <c r="Y89" s="32">
        <v>45671823</v>
      </c>
      <c r="Z89" s="45">
        <v>15</v>
      </c>
    </row>
    <row r="90" spans="3:26">
      <c r="C90" s="44">
        <v>30</v>
      </c>
      <c r="D90" s="32">
        <v>8</v>
      </c>
      <c r="E90" s="32">
        <v>240000</v>
      </c>
      <c r="F90" s="32">
        <v>60000</v>
      </c>
      <c r="G90" s="32">
        <v>13784.23</v>
      </c>
      <c r="H90" s="32">
        <v>1660.33</v>
      </c>
      <c r="I90" s="32">
        <v>827053680</v>
      </c>
      <c r="J90" s="32">
        <v>99619783</v>
      </c>
      <c r="K90" s="32">
        <v>480</v>
      </c>
      <c r="L90" s="32">
        <v>23040000</v>
      </c>
      <c r="M90" s="32">
        <v>1125000</v>
      </c>
      <c r="N90" s="32">
        <v>562500</v>
      </c>
      <c r="O90" s="32">
        <v>124347283</v>
      </c>
      <c r="P90" s="32">
        <v>727433897</v>
      </c>
      <c r="Q90" s="32">
        <v>702706397</v>
      </c>
      <c r="R90" s="32">
        <v>120000</v>
      </c>
      <c r="S90" s="32">
        <v>18000000</v>
      </c>
      <c r="T90" s="32">
        <v>6000</v>
      </c>
      <c r="U90" s="32">
        <v>9961978</v>
      </c>
      <c r="V90" s="32">
        <v>27961978</v>
      </c>
      <c r="W90" s="32">
        <v>4.41</v>
      </c>
      <c r="X90" s="32">
        <v>82.8</v>
      </c>
      <c r="Y90" s="32">
        <v>45961978</v>
      </c>
      <c r="Z90" s="45">
        <v>15</v>
      </c>
    </row>
    <row r="91" spans="3:26">
      <c r="C91" s="44">
        <v>30</v>
      </c>
      <c r="D91" s="32">
        <v>9</v>
      </c>
      <c r="E91" s="32">
        <v>240000</v>
      </c>
      <c r="F91" s="32">
        <v>60000</v>
      </c>
      <c r="G91" s="32">
        <v>14059.91</v>
      </c>
      <c r="H91" s="32">
        <v>1710.14</v>
      </c>
      <c r="I91" s="32">
        <v>843594754</v>
      </c>
      <c r="J91" s="32">
        <v>102608376</v>
      </c>
      <c r="K91" s="32">
        <v>480</v>
      </c>
      <c r="L91" s="32">
        <v>23040000</v>
      </c>
      <c r="M91" s="32">
        <v>1125000</v>
      </c>
      <c r="N91" s="32">
        <v>562500</v>
      </c>
      <c r="O91" s="32">
        <v>127335876</v>
      </c>
      <c r="P91" s="32">
        <v>740986377</v>
      </c>
      <c r="Q91" s="32">
        <v>716258877</v>
      </c>
      <c r="R91" s="32">
        <v>120000</v>
      </c>
      <c r="S91" s="32">
        <v>18000000</v>
      </c>
      <c r="T91" s="32">
        <v>6000</v>
      </c>
      <c r="U91" s="32">
        <v>10260837</v>
      </c>
      <c r="V91" s="32">
        <v>28260837</v>
      </c>
      <c r="W91" s="32">
        <v>4.47</v>
      </c>
      <c r="X91" s="32">
        <v>81.7</v>
      </c>
      <c r="Y91" s="32">
        <v>46260837</v>
      </c>
      <c r="Z91" s="45">
        <v>15</v>
      </c>
    </row>
    <row r="92" spans="3:26">
      <c r="C92" s="49">
        <v>30</v>
      </c>
      <c r="D92" s="50">
        <v>10</v>
      </c>
      <c r="E92" s="50">
        <v>240000</v>
      </c>
      <c r="F92" s="50">
        <v>60000</v>
      </c>
      <c r="G92" s="50">
        <v>14341.11</v>
      </c>
      <c r="H92" s="50">
        <v>1761.44</v>
      </c>
      <c r="I92" s="50">
        <v>860466649</v>
      </c>
      <c r="J92" s="50">
        <v>105686627</v>
      </c>
      <c r="K92" s="50">
        <v>480</v>
      </c>
      <c r="L92" s="50">
        <v>23040000</v>
      </c>
      <c r="M92" s="50">
        <v>1125000</v>
      </c>
      <c r="N92" s="50">
        <v>562500</v>
      </c>
      <c r="O92" s="50">
        <v>130414127</v>
      </c>
      <c r="P92" s="50">
        <v>754780021</v>
      </c>
      <c r="Q92" s="50">
        <v>730052521</v>
      </c>
      <c r="R92" s="50">
        <v>120000</v>
      </c>
      <c r="S92" s="50">
        <v>18000000</v>
      </c>
      <c r="T92" s="50">
        <v>6000</v>
      </c>
      <c r="U92" s="50">
        <v>10568662</v>
      </c>
      <c r="V92" s="50">
        <v>28568662</v>
      </c>
      <c r="W92" s="50">
        <v>4.53</v>
      </c>
      <c r="X92" s="50">
        <v>80.7</v>
      </c>
      <c r="Y92" s="50">
        <v>46568662</v>
      </c>
      <c r="Z92" s="51">
        <v>15</v>
      </c>
    </row>
    <row r="103" spans="3:26" ht="30">
      <c r="C103" s="99" t="s">
        <v>205</v>
      </c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</row>
    <row r="104" spans="3:26">
      <c r="C104" s="55" t="s">
        <v>179</v>
      </c>
      <c r="D104" s="56" t="s">
        <v>180</v>
      </c>
      <c r="E104" s="56" t="s">
        <v>181</v>
      </c>
      <c r="F104" s="56" t="s">
        <v>182</v>
      </c>
      <c r="G104" s="56" t="s">
        <v>183</v>
      </c>
      <c r="H104" s="56" t="s">
        <v>184</v>
      </c>
      <c r="I104" s="56" t="s">
        <v>185</v>
      </c>
      <c r="J104" s="56" t="s">
        <v>186</v>
      </c>
      <c r="K104" s="56" t="s">
        <v>187</v>
      </c>
      <c r="L104" s="56" t="s">
        <v>188</v>
      </c>
      <c r="M104" s="56" t="s">
        <v>189</v>
      </c>
      <c r="N104" s="56" t="s">
        <v>190</v>
      </c>
      <c r="O104" s="56" t="s">
        <v>191</v>
      </c>
      <c r="P104" s="56" t="s">
        <v>192</v>
      </c>
      <c r="Q104" s="56" t="s">
        <v>193</v>
      </c>
      <c r="R104" s="56" t="s">
        <v>194</v>
      </c>
      <c r="S104" s="56" t="s">
        <v>195</v>
      </c>
      <c r="T104" s="56" t="s">
        <v>196</v>
      </c>
      <c r="U104" s="56" t="s">
        <v>197</v>
      </c>
      <c r="V104" s="56" t="s">
        <v>198</v>
      </c>
      <c r="W104" s="56" t="s">
        <v>199</v>
      </c>
      <c r="X104" s="56" t="s">
        <v>200</v>
      </c>
      <c r="Y104" s="56" t="s">
        <v>201</v>
      </c>
      <c r="Z104" s="57" t="s">
        <v>202</v>
      </c>
    </row>
    <row r="105" spans="3:26">
      <c r="C105" s="44">
        <v>60</v>
      </c>
      <c r="D105" s="32">
        <v>1</v>
      </c>
      <c r="E105" s="32">
        <v>480000</v>
      </c>
      <c r="F105" s="32">
        <v>120000</v>
      </c>
      <c r="G105" s="32">
        <v>12000</v>
      </c>
      <c r="H105" s="32">
        <v>1198</v>
      </c>
      <c r="I105" s="32">
        <v>1440000000</v>
      </c>
      <c r="J105" s="32">
        <v>143760000</v>
      </c>
      <c r="K105" s="32">
        <v>960</v>
      </c>
      <c r="L105" s="32">
        <v>46080000</v>
      </c>
      <c r="M105" s="32">
        <v>2250000</v>
      </c>
      <c r="N105" s="32">
        <v>1125000</v>
      </c>
      <c r="O105" s="32">
        <v>193215000</v>
      </c>
      <c r="P105" s="32">
        <v>1296240000</v>
      </c>
      <c r="Q105" s="32">
        <v>1246785000</v>
      </c>
      <c r="R105" s="32">
        <v>240000</v>
      </c>
      <c r="S105" s="32">
        <v>36000000</v>
      </c>
      <c r="T105" s="32">
        <v>12000</v>
      </c>
      <c r="U105" s="32">
        <v>14376000</v>
      </c>
      <c r="V105" s="32">
        <v>50376000</v>
      </c>
      <c r="W105" s="32">
        <v>3.79</v>
      </c>
      <c r="X105" s="32">
        <v>96.3</v>
      </c>
      <c r="Y105" s="32">
        <v>86376000</v>
      </c>
      <c r="Z105" s="45">
        <v>30</v>
      </c>
    </row>
    <row r="106" spans="3:26">
      <c r="C106" s="44">
        <v>60</v>
      </c>
      <c r="D106" s="32">
        <v>2</v>
      </c>
      <c r="E106" s="32">
        <v>480000</v>
      </c>
      <c r="F106" s="32">
        <v>120000</v>
      </c>
      <c r="G106" s="32">
        <v>12240</v>
      </c>
      <c r="H106" s="32">
        <v>1233.94</v>
      </c>
      <c r="I106" s="32">
        <v>1468800000</v>
      </c>
      <c r="J106" s="32">
        <v>148072800</v>
      </c>
      <c r="K106" s="32">
        <v>960</v>
      </c>
      <c r="L106" s="32">
        <v>46080000</v>
      </c>
      <c r="M106" s="32">
        <v>2250000</v>
      </c>
      <c r="N106" s="32">
        <v>1125000</v>
      </c>
      <c r="O106" s="32">
        <v>197527800</v>
      </c>
      <c r="P106" s="32">
        <v>1320727200</v>
      </c>
      <c r="Q106" s="32">
        <v>1271272200</v>
      </c>
      <c r="R106" s="32">
        <v>240000</v>
      </c>
      <c r="S106" s="32">
        <v>36000000</v>
      </c>
      <c r="T106" s="32">
        <v>12000</v>
      </c>
      <c r="U106" s="32">
        <v>14807280</v>
      </c>
      <c r="V106" s="32">
        <v>50807280</v>
      </c>
      <c r="W106" s="32">
        <v>3.84</v>
      </c>
      <c r="X106" s="32">
        <v>95</v>
      </c>
      <c r="Y106" s="32">
        <v>86807280</v>
      </c>
      <c r="Z106" s="45">
        <v>30</v>
      </c>
    </row>
    <row r="107" spans="3:26">
      <c r="C107" s="44">
        <v>60</v>
      </c>
      <c r="D107" s="32">
        <v>3</v>
      </c>
      <c r="E107" s="32">
        <v>480000</v>
      </c>
      <c r="F107" s="32">
        <v>120000</v>
      </c>
      <c r="G107" s="32">
        <v>12484.8</v>
      </c>
      <c r="H107" s="32">
        <v>1270.96</v>
      </c>
      <c r="I107" s="32">
        <v>1498176000</v>
      </c>
      <c r="J107" s="32">
        <v>152514984</v>
      </c>
      <c r="K107" s="32">
        <v>960</v>
      </c>
      <c r="L107" s="32">
        <v>46080000</v>
      </c>
      <c r="M107" s="32">
        <v>2250000</v>
      </c>
      <c r="N107" s="32">
        <v>1125000</v>
      </c>
      <c r="O107" s="32">
        <v>201969984</v>
      </c>
      <c r="P107" s="32">
        <v>1345661016</v>
      </c>
      <c r="Q107" s="32">
        <v>1296206016</v>
      </c>
      <c r="R107" s="32">
        <v>240000</v>
      </c>
      <c r="S107" s="32">
        <v>36000000</v>
      </c>
      <c r="T107" s="32">
        <v>12000</v>
      </c>
      <c r="U107" s="32">
        <v>15251498</v>
      </c>
      <c r="V107" s="32">
        <v>51251498</v>
      </c>
      <c r="W107" s="32">
        <v>3.9</v>
      </c>
      <c r="X107" s="32">
        <v>93.7</v>
      </c>
      <c r="Y107" s="32">
        <v>87251498</v>
      </c>
      <c r="Z107" s="45">
        <v>30</v>
      </c>
    </row>
    <row r="108" spans="3:26">
      <c r="C108" s="44">
        <v>60</v>
      </c>
      <c r="D108" s="32">
        <v>4</v>
      </c>
      <c r="E108" s="32">
        <v>480000</v>
      </c>
      <c r="F108" s="32">
        <v>120000</v>
      </c>
      <c r="G108" s="32">
        <v>12734.5</v>
      </c>
      <c r="H108" s="32">
        <v>1309.0899999999999</v>
      </c>
      <c r="I108" s="32">
        <v>1528139520</v>
      </c>
      <c r="J108" s="32">
        <v>157090433</v>
      </c>
      <c r="K108" s="32">
        <v>960</v>
      </c>
      <c r="L108" s="32">
        <v>46080000</v>
      </c>
      <c r="M108" s="32">
        <v>2250000</v>
      </c>
      <c r="N108" s="32">
        <v>1125000</v>
      </c>
      <c r="O108" s="32">
        <v>206545433</v>
      </c>
      <c r="P108" s="32">
        <v>1371049086</v>
      </c>
      <c r="Q108" s="32">
        <v>1321594086</v>
      </c>
      <c r="R108" s="32">
        <v>240000</v>
      </c>
      <c r="S108" s="32">
        <v>36000000</v>
      </c>
      <c r="T108" s="32">
        <v>12000</v>
      </c>
      <c r="U108" s="32">
        <v>15709043</v>
      </c>
      <c r="V108" s="32">
        <v>51709043</v>
      </c>
      <c r="W108" s="32">
        <v>3.95</v>
      </c>
      <c r="X108" s="32">
        <v>92.4</v>
      </c>
      <c r="Y108" s="32">
        <v>87709043</v>
      </c>
      <c r="Z108" s="45">
        <v>30</v>
      </c>
    </row>
    <row r="109" spans="3:26">
      <c r="C109" s="44">
        <v>60</v>
      </c>
      <c r="D109" s="32">
        <v>5</v>
      </c>
      <c r="E109" s="32">
        <v>480000</v>
      </c>
      <c r="F109" s="32">
        <v>120000</v>
      </c>
      <c r="G109" s="32">
        <v>12989.19</v>
      </c>
      <c r="H109" s="32">
        <v>1348.36</v>
      </c>
      <c r="I109" s="32">
        <v>1558702310</v>
      </c>
      <c r="J109" s="32">
        <v>161803146</v>
      </c>
      <c r="K109" s="32">
        <v>960</v>
      </c>
      <c r="L109" s="32">
        <v>46080000</v>
      </c>
      <c r="M109" s="32">
        <v>2250000</v>
      </c>
      <c r="N109" s="32">
        <v>1125000</v>
      </c>
      <c r="O109" s="32">
        <v>211258146</v>
      </c>
      <c r="P109" s="32">
        <v>1396899163</v>
      </c>
      <c r="Q109" s="32">
        <v>1347444163</v>
      </c>
      <c r="R109" s="32">
        <v>240000</v>
      </c>
      <c r="S109" s="32">
        <v>36000000</v>
      </c>
      <c r="T109" s="32">
        <v>12000</v>
      </c>
      <c r="U109" s="32">
        <v>16180314</v>
      </c>
      <c r="V109" s="32">
        <v>52180314</v>
      </c>
      <c r="W109" s="32">
        <v>4.01</v>
      </c>
      <c r="X109" s="32">
        <v>91.1</v>
      </c>
      <c r="Y109" s="32">
        <v>88180314</v>
      </c>
      <c r="Z109" s="45">
        <v>30</v>
      </c>
    </row>
    <row r="110" spans="3:26">
      <c r="C110" s="44">
        <v>60</v>
      </c>
      <c r="D110" s="32">
        <v>6</v>
      </c>
      <c r="E110" s="32">
        <v>480000</v>
      </c>
      <c r="F110" s="32">
        <v>120000</v>
      </c>
      <c r="G110" s="32">
        <v>13248.97</v>
      </c>
      <c r="H110" s="32">
        <v>1388.81</v>
      </c>
      <c r="I110" s="32">
        <v>1589876356</v>
      </c>
      <c r="J110" s="32">
        <v>166657240</v>
      </c>
      <c r="K110" s="32">
        <v>960</v>
      </c>
      <c r="L110" s="32">
        <v>46080000</v>
      </c>
      <c r="M110" s="32">
        <v>2250000</v>
      </c>
      <c r="N110" s="32">
        <v>1125000</v>
      </c>
      <c r="O110" s="32">
        <v>216112240</v>
      </c>
      <c r="P110" s="32">
        <v>1423219115</v>
      </c>
      <c r="Q110" s="32">
        <v>1373764115</v>
      </c>
      <c r="R110" s="32">
        <v>240000</v>
      </c>
      <c r="S110" s="32">
        <v>36000000</v>
      </c>
      <c r="T110" s="32">
        <v>12000</v>
      </c>
      <c r="U110" s="32">
        <v>16665724</v>
      </c>
      <c r="V110" s="32">
        <v>52665724</v>
      </c>
      <c r="W110" s="32">
        <v>4.0599999999999996</v>
      </c>
      <c r="X110" s="32">
        <v>89.9</v>
      </c>
      <c r="Y110" s="32">
        <v>88665724</v>
      </c>
      <c r="Z110" s="45">
        <v>30</v>
      </c>
    </row>
    <row r="111" spans="3:26">
      <c r="C111" s="44">
        <v>60</v>
      </c>
      <c r="D111" s="32">
        <v>7</v>
      </c>
      <c r="E111" s="32">
        <v>480000</v>
      </c>
      <c r="F111" s="32">
        <v>120000</v>
      </c>
      <c r="G111" s="32">
        <v>13513.95</v>
      </c>
      <c r="H111" s="32">
        <v>1430.47</v>
      </c>
      <c r="I111" s="32">
        <v>1621673883</v>
      </c>
      <c r="J111" s="32">
        <v>171656958</v>
      </c>
      <c r="K111" s="32">
        <v>960</v>
      </c>
      <c r="L111" s="32">
        <v>46080000</v>
      </c>
      <c r="M111" s="32">
        <v>2250000</v>
      </c>
      <c r="N111" s="32">
        <v>1125000</v>
      </c>
      <c r="O111" s="32">
        <v>221111958</v>
      </c>
      <c r="P111" s="32">
        <v>1450016925</v>
      </c>
      <c r="Q111" s="32">
        <v>1400561925</v>
      </c>
      <c r="R111" s="32">
        <v>240000</v>
      </c>
      <c r="S111" s="32">
        <v>36000000</v>
      </c>
      <c r="T111" s="32">
        <v>12000</v>
      </c>
      <c r="U111" s="32">
        <v>17165695</v>
      </c>
      <c r="V111" s="32">
        <v>53165695</v>
      </c>
      <c r="W111" s="32">
        <v>4.12</v>
      </c>
      <c r="X111" s="32">
        <v>88.7</v>
      </c>
      <c r="Y111" s="32">
        <v>89165695</v>
      </c>
      <c r="Z111" s="45">
        <v>30</v>
      </c>
    </row>
    <row r="112" spans="3:26">
      <c r="C112" s="44">
        <v>60</v>
      </c>
      <c r="D112" s="32">
        <v>8</v>
      </c>
      <c r="E112" s="32">
        <v>480000</v>
      </c>
      <c r="F112" s="32">
        <v>120000</v>
      </c>
      <c r="G112" s="32">
        <v>13784.23</v>
      </c>
      <c r="H112" s="32">
        <v>1473.39</v>
      </c>
      <c r="I112" s="32">
        <v>1654107361</v>
      </c>
      <c r="J112" s="32">
        <v>176806666</v>
      </c>
      <c r="K112" s="32">
        <v>960</v>
      </c>
      <c r="L112" s="32">
        <v>46080000</v>
      </c>
      <c r="M112" s="32">
        <v>2250000</v>
      </c>
      <c r="N112" s="32">
        <v>1125000</v>
      </c>
      <c r="O112" s="32">
        <v>226261666</v>
      </c>
      <c r="P112" s="32">
        <v>1477300694</v>
      </c>
      <c r="Q112" s="32">
        <v>1427845694</v>
      </c>
      <c r="R112" s="32">
        <v>240000</v>
      </c>
      <c r="S112" s="32">
        <v>36000000</v>
      </c>
      <c r="T112" s="32">
        <v>12000</v>
      </c>
      <c r="U112" s="32">
        <v>17680666</v>
      </c>
      <c r="V112" s="32">
        <v>53680666</v>
      </c>
      <c r="W112" s="32">
        <v>4.17</v>
      </c>
      <c r="X112" s="32">
        <v>87.5</v>
      </c>
      <c r="Y112" s="32">
        <v>89680666</v>
      </c>
      <c r="Z112" s="45">
        <v>30</v>
      </c>
    </row>
    <row r="113" spans="3:26">
      <c r="C113" s="44">
        <v>60</v>
      </c>
      <c r="D113" s="32">
        <v>9</v>
      </c>
      <c r="E113" s="32">
        <v>480000</v>
      </c>
      <c r="F113" s="32">
        <v>120000</v>
      </c>
      <c r="G113" s="32">
        <v>14059.91</v>
      </c>
      <c r="H113" s="32">
        <v>1517.59</v>
      </c>
      <c r="I113" s="32">
        <v>1687189508</v>
      </c>
      <c r="J113" s="32">
        <v>182110866</v>
      </c>
      <c r="K113" s="32">
        <v>960</v>
      </c>
      <c r="L113" s="32">
        <v>46080000</v>
      </c>
      <c r="M113" s="32">
        <v>2250000</v>
      </c>
      <c r="N113" s="32">
        <v>1125000</v>
      </c>
      <c r="O113" s="32">
        <v>231565866</v>
      </c>
      <c r="P113" s="32">
        <v>1505078641</v>
      </c>
      <c r="Q113" s="32">
        <v>1455623641</v>
      </c>
      <c r="R113" s="32">
        <v>240000</v>
      </c>
      <c r="S113" s="32">
        <v>36000000</v>
      </c>
      <c r="T113" s="32">
        <v>12000</v>
      </c>
      <c r="U113" s="32">
        <v>18211086</v>
      </c>
      <c r="V113" s="32">
        <v>54211086</v>
      </c>
      <c r="W113" s="32">
        <v>4.2300000000000004</v>
      </c>
      <c r="X113" s="32">
        <v>86.3</v>
      </c>
      <c r="Y113" s="32">
        <v>90211086</v>
      </c>
      <c r="Z113" s="45">
        <v>30</v>
      </c>
    </row>
    <row r="114" spans="3:26">
      <c r="C114" s="49">
        <v>60</v>
      </c>
      <c r="D114" s="50">
        <v>10</v>
      </c>
      <c r="E114" s="50">
        <v>480000</v>
      </c>
      <c r="F114" s="50">
        <v>120000</v>
      </c>
      <c r="G114" s="50">
        <v>14341.11</v>
      </c>
      <c r="H114" s="50">
        <v>1563.12</v>
      </c>
      <c r="I114" s="50">
        <v>1720933298</v>
      </c>
      <c r="J114" s="50">
        <v>187574192</v>
      </c>
      <c r="K114" s="50">
        <v>960</v>
      </c>
      <c r="L114" s="50">
        <v>46080000</v>
      </c>
      <c r="M114" s="50">
        <v>2250000</v>
      </c>
      <c r="N114" s="50">
        <v>1125000</v>
      </c>
      <c r="O114" s="50">
        <v>237029192</v>
      </c>
      <c r="P114" s="50">
        <v>1533359105</v>
      </c>
      <c r="Q114" s="50">
        <v>1483904105</v>
      </c>
      <c r="R114" s="50">
        <v>240000</v>
      </c>
      <c r="S114" s="50">
        <v>36000000</v>
      </c>
      <c r="T114" s="50">
        <v>12000</v>
      </c>
      <c r="U114" s="50">
        <v>18757419</v>
      </c>
      <c r="V114" s="50">
        <v>54757419</v>
      </c>
      <c r="W114" s="50">
        <v>4.29</v>
      </c>
      <c r="X114" s="50">
        <v>85.1</v>
      </c>
      <c r="Y114" s="50">
        <v>90757419</v>
      </c>
      <c r="Z114" s="51">
        <v>30</v>
      </c>
    </row>
  </sheetData>
  <mergeCells count="11">
    <mergeCell ref="C63:Z63"/>
    <mergeCell ref="C81:Z81"/>
    <mergeCell ref="C103:Z103"/>
    <mergeCell ref="A1:Z1"/>
    <mergeCell ref="B8:C9"/>
    <mergeCell ref="D8:D9"/>
    <mergeCell ref="B10:C10"/>
    <mergeCell ref="O14:W14"/>
    <mergeCell ref="B14:D14"/>
    <mergeCell ref="I15:K15"/>
    <mergeCell ref="C44:Z44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F9DD-CC96-4F39-ACC3-FD9DE8D7D975}">
  <dimension ref="B1:L24"/>
  <sheetViews>
    <sheetView workbookViewId="0">
      <selection activeCell="K1" sqref="K1"/>
    </sheetView>
  </sheetViews>
  <sheetFormatPr defaultRowHeight="15"/>
  <cols>
    <col min="2" max="2" width="17.5703125" customWidth="1"/>
    <col min="3" max="3" width="18.28515625" customWidth="1"/>
    <col min="4" max="4" width="40.28515625" customWidth="1"/>
    <col min="6" max="6" width="16.42578125" customWidth="1"/>
    <col min="7" max="7" width="20.7109375" customWidth="1"/>
    <col min="8" max="8" width="39" customWidth="1"/>
    <col min="10" max="10" width="20.42578125" customWidth="1"/>
    <col min="11" max="11" width="16.28515625" customWidth="1"/>
    <col min="12" max="12" width="41" customWidth="1"/>
  </cols>
  <sheetData>
    <row r="1" spans="2:12">
      <c r="C1" s="70" t="s">
        <v>206</v>
      </c>
      <c r="G1" s="70"/>
      <c r="K1" s="70"/>
    </row>
    <row r="3" spans="2:12">
      <c r="B3" s="74" t="s">
        <v>207</v>
      </c>
      <c r="C3" s="75" t="s">
        <v>130</v>
      </c>
      <c r="D3" s="75" t="s">
        <v>208</v>
      </c>
      <c r="F3" s="112"/>
      <c r="G3" s="112"/>
      <c r="H3" s="112"/>
      <c r="J3" s="112"/>
      <c r="K3" s="112"/>
      <c r="L3" s="112"/>
    </row>
    <row r="4" spans="2:12">
      <c r="B4" s="76" t="s">
        <v>209</v>
      </c>
      <c r="C4" s="115">
        <v>1.5</v>
      </c>
      <c r="D4" s="115" t="s">
        <v>210</v>
      </c>
      <c r="F4" s="112"/>
      <c r="G4" s="112"/>
      <c r="H4" s="112"/>
      <c r="J4" s="112"/>
      <c r="K4" s="112"/>
      <c r="L4" s="112"/>
    </row>
    <row r="5" spans="2:12">
      <c r="B5" s="76" t="s">
        <v>211</v>
      </c>
      <c r="C5" s="115">
        <v>4</v>
      </c>
      <c r="D5" s="115" t="s">
        <v>212</v>
      </c>
      <c r="F5" s="112"/>
      <c r="G5" s="112"/>
      <c r="H5" s="112"/>
      <c r="J5" s="112"/>
      <c r="K5" s="112"/>
      <c r="L5" s="112"/>
    </row>
    <row r="6" spans="2:12">
      <c r="B6" s="76" t="s">
        <v>213</v>
      </c>
      <c r="C6" s="115">
        <v>2</v>
      </c>
      <c r="D6" s="115" t="s">
        <v>210</v>
      </c>
      <c r="F6" s="112"/>
      <c r="G6" s="112"/>
      <c r="H6" s="112"/>
      <c r="J6" s="112"/>
      <c r="K6" s="112"/>
      <c r="L6" s="112"/>
    </row>
    <row r="7" spans="2:12">
      <c r="B7" s="76" t="s">
        <v>214</v>
      </c>
      <c r="C7" s="115">
        <v>4</v>
      </c>
      <c r="D7" s="115" t="s">
        <v>212</v>
      </c>
      <c r="F7" s="112"/>
      <c r="G7" s="112"/>
      <c r="H7" s="112"/>
      <c r="J7" s="112"/>
      <c r="K7" s="112"/>
      <c r="L7" s="112"/>
    </row>
    <row r="8" spans="2:12">
      <c r="B8" s="76" t="s">
        <v>215</v>
      </c>
      <c r="C8" s="115">
        <v>3</v>
      </c>
      <c r="D8" s="115" t="s">
        <v>210</v>
      </c>
      <c r="F8" s="112"/>
      <c r="G8" s="112"/>
      <c r="H8" s="112"/>
      <c r="J8" s="112"/>
      <c r="K8" s="112"/>
      <c r="L8" s="112"/>
    </row>
    <row r="9" spans="2:12">
      <c r="B9" s="76" t="s">
        <v>216</v>
      </c>
      <c r="C9" s="115">
        <v>5</v>
      </c>
      <c r="D9" s="115" t="s">
        <v>212</v>
      </c>
      <c r="F9" s="112"/>
      <c r="G9" s="112"/>
      <c r="H9" s="112"/>
      <c r="J9" s="112"/>
      <c r="K9" s="112"/>
      <c r="L9" s="112"/>
    </row>
    <row r="10" spans="2:12">
      <c r="B10" s="76" t="s">
        <v>217</v>
      </c>
      <c r="C10" s="115">
        <f>C4*C5+C5*C7+C8*C9</f>
        <v>37</v>
      </c>
      <c r="D10" s="115" t="s">
        <v>218</v>
      </c>
      <c r="F10" s="112"/>
      <c r="G10" s="112"/>
      <c r="H10" s="112"/>
      <c r="J10" s="112"/>
      <c r="K10" s="112"/>
      <c r="L10" s="112"/>
    </row>
    <row r="11" spans="2:12">
      <c r="B11" s="78" t="s">
        <v>219</v>
      </c>
      <c r="C11" s="116" t="s">
        <v>219</v>
      </c>
      <c r="D11" s="116" t="s">
        <v>219</v>
      </c>
      <c r="F11" s="113"/>
      <c r="G11" s="113"/>
      <c r="H11" s="113"/>
      <c r="J11" s="113"/>
      <c r="K11" s="113"/>
      <c r="L11" s="113"/>
    </row>
    <row r="12" spans="2:12">
      <c r="B12" s="76" t="s">
        <v>220</v>
      </c>
      <c r="C12" s="115">
        <v>5.5</v>
      </c>
      <c r="D12" s="115" t="s">
        <v>212</v>
      </c>
      <c r="F12" s="112"/>
      <c r="G12" s="112"/>
      <c r="H12" s="112"/>
      <c r="J12" s="112"/>
      <c r="K12" s="112"/>
      <c r="L12" s="112"/>
    </row>
    <row r="13" spans="2:12">
      <c r="B13" s="76" t="s">
        <v>221</v>
      </c>
      <c r="C13" s="117">
        <v>0.2</v>
      </c>
      <c r="D13" s="115" t="s">
        <v>222</v>
      </c>
      <c r="F13" s="112"/>
      <c r="G13" s="114"/>
      <c r="H13" s="112"/>
      <c r="J13" s="112"/>
      <c r="K13" s="114"/>
      <c r="L13" s="112"/>
    </row>
    <row r="14" spans="2:12">
      <c r="B14" s="76" t="s">
        <v>223</v>
      </c>
      <c r="C14" s="115">
        <v>6.6</v>
      </c>
      <c r="D14" s="115" t="s">
        <v>224</v>
      </c>
      <c r="F14" s="112"/>
      <c r="G14" s="112"/>
      <c r="H14" s="112"/>
      <c r="J14" s="112"/>
      <c r="K14" s="112"/>
      <c r="L14" s="112"/>
    </row>
    <row r="15" spans="2:12">
      <c r="B15" s="76" t="s">
        <v>225</v>
      </c>
      <c r="C15" s="115">
        <v>0.75</v>
      </c>
      <c r="D15" s="115" t="s">
        <v>222</v>
      </c>
      <c r="F15" s="112"/>
      <c r="G15" s="112"/>
      <c r="H15" s="112"/>
      <c r="J15" s="112"/>
      <c r="K15" s="112"/>
      <c r="L15" s="112"/>
    </row>
    <row r="16" spans="2:12">
      <c r="B16" s="76" t="s">
        <v>226</v>
      </c>
      <c r="C16" s="115">
        <f>C10/(C14*C15)</f>
        <v>7.4747474747474758</v>
      </c>
      <c r="D16" s="115" t="s">
        <v>227</v>
      </c>
      <c r="F16" s="112"/>
      <c r="G16" s="112"/>
      <c r="H16" s="112"/>
      <c r="J16" s="112"/>
      <c r="K16" s="112"/>
      <c r="L16" s="112"/>
    </row>
    <row r="17" spans="2:12">
      <c r="B17" s="76" t="s">
        <v>228</v>
      </c>
      <c r="C17" s="115">
        <v>400</v>
      </c>
      <c r="D17" s="115" t="s">
        <v>229</v>
      </c>
      <c r="F17" s="112"/>
      <c r="G17" s="112"/>
      <c r="H17" s="112"/>
      <c r="J17" s="112"/>
      <c r="K17" s="112"/>
      <c r="L17" s="112"/>
    </row>
    <row r="18" spans="2:12">
      <c r="B18" s="76" t="s">
        <v>230</v>
      </c>
      <c r="C18" s="115">
        <f>(C16*1000)/400</f>
        <v>18.686868686868692</v>
      </c>
      <c r="D18" s="115" t="s">
        <v>231</v>
      </c>
      <c r="F18" s="112"/>
      <c r="G18" s="112"/>
      <c r="H18" s="112"/>
      <c r="J18" s="112"/>
      <c r="K18" s="112"/>
      <c r="L18" s="112"/>
    </row>
    <row r="19" spans="2:12">
      <c r="B19" s="78" t="s">
        <v>219</v>
      </c>
      <c r="C19" s="116" t="s">
        <v>219</v>
      </c>
      <c r="D19" s="116" t="s">
        <v>219</v>
      </c>
      <c r="F19" s="113"/>
      <c r="G19" s="113"/>
      <c r="H19" s="113"/>
      <c r="J19" s="113"/>
      <c r="K19" s="113"/>
      <c r="L19" s="113"/>
    </row>
    <row r="20" spans="2:12">
      <c r="B20" s="76" t="s">
        <v>232</v>
      </c>
      <c r="C20" s="115">
        <v>0.9</v>
      </c>
      <c r="D20" s="115"/>
      <c r="F20" s="112"/>
      <c r="G20" s="112"/>
      <c r="H20" s="112"/>
      <c r="J20" s="112"/>
      <c r="K20" s="112"/>
      <c r="L20" s="112"/>
    </row>
    <row r="21" spans="2:12">
      <c r="B21" s="76" t="s">
        <v>233</v>
      </c>
      <c r="C21" s="115">
        <v>0.8</v>
      </c>
      <c r="D21" s="115"/>
      <c r="F21" s="112"/>
      <c r="G21" s="112"/>
      <c r="H21" s="112"/>
      <c r="J21" s="112"/>
      <c r="K21" s="112"/>
      <c r="L21" s="112"/>
    </row>
    <row r="22" spans="2:12" ht="23.25">
      <c r="B22" s="76" t="s">
        <v>234</v>
      </c>
      <c r="C22" s="115">
        <f>C10/(C20*C21)</f>
        <v>51.388888888888886</v>
      </c>
      <c r="D22" s="115" t="s">
        <v>218</v>
      </c>
      <c r="F22" s="112"/>
      <c r="G22" s="112"/>
      <c r="H22" s="112"/>
      <c r="J22" s="112"/>
      <c r="K22" s="112"/>
      <c r="L22" s="112"/>
    </row>
    <row r="23" spans="2:12">
      <c r="B23" s="78" t="s">
        <v>219</v>
      </c>
      <c r="C23" s="116" t="s">
        <v>219</v>
      </c>
      <c r="D23" s="116" t="s">
        <v>219</v>
      </c>
      <c r="F23" s="113"/>
      <c r="G23" s="113"/>
      <c r="H23" s="113"/>
      <c r="J23" s="113"/>
      <c r="K23" s="113"/>
      <c r="L23" s="113"/>
    </row>
    <row r="24" spans="2:12">
      <c r="B24" s="76" t="s">
        <v>235</v>
      </c>
      <c r="C24" s="115">
        <v>6.5</v>
      </c>
      <c r="D24" s="115" t="s">
        <v>210</v>
      </c>
      <c r="F24" s="112"/>
      <c r="G24" s="112"/>
      <c r="H24" s="112"/>
      <c r="J24" s="112"/>
      <c r="K24" s="112"/>
      <c r="L24" s="1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1EB9-DCF8-4E0D-A2D2-EFBE00CED3CD}">
  <dimension ref="B4:G5"/>
  <sheetViews>
    <sheetView tabSelected="1" workbookViewId="0">
      <selection activeCell="F10" sqref="F10"/>
    </sheetView>
  </sheetViews>
  <sheetFormatPr defaultRowHeight="15"/>
  <cols>
    <col min="2" max="2" width="21.28515625" customWidth="1"/>
    <col min="3" max="3" width="22.28515625" customWidth="1"/>
    <col min="4" max="4" width="24.28515625" customWidth="1"/>
    <col min="5" max="5" width="26.42578125" customWidth="1"/>
    <col min="6" max="6" width="31" customWidth="1"/>
    <col min="7" max="7" width="23.28515625" bestFit="1" customWidth="1"/>
  </cols>
  <sheetData>
    <row r="4" spans="2:7" ht="23.25">
      <c r="B4" s="74" t="s">
        <v>236</v>
      </c>
      <c r="C4" s="75" t="s">
        <v>237</v>
      </c>
      <c r="D4" s="75" t="s">
        <v>238</v>
      </c>
      <c r="E4" s="75" t="s">
        <v>239</v>
      </c>
      <c r="F4" s="75" t="s">
        <v>240</v>
      </c>
      <c r="G4" s="79" t="s">
        <v>241</v>
      </c>
    </row>
    <row r="5" spans="2:7" ht="14.25">
      <c r="B5" s="76" t="s">
        <v>242</v>
      </c>
      <c r="C5" s="77">
        <v>37</v>
      </c>
      <c r="D5" s="77">
        <v>7.5</v>
      </c>
      <c r="E5" s="77">
        <v>19</v>
      </c>
      <c r="F5" s="77">
        <v>52</v>
      </c>
      <c r="G5" s="77">
        <v>6.3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53FAB-D4DF-4407-AE90-24D8E540EE36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08243-7A27-4CF1-A63F-80603506DB4B}">
  <dimension ref="C5:F18"/>
  <sheetViews>
    <sheetView workbookViewId="0">
      <selection activeCell="C9" sqref="C9:F9"/>
    </sheetView>
  </sheetViews>
  <sheetFormatPr defaultRowHeight="15"/>
  <cols>
    <col min="3" max="3" width="32.42578125" customWidth="1"/>
    <col min="4" max="4" width="28.140625" bestFit="1" customWidth="1"/>
    <col min="5" max="5" width="14.5703125" bestFit="1" customWidth="1"/>
    <col min="6" max="6" width="14" bestFit="1" customWidth="1"/>
  </cols>
  <sheetData>
    <row r="5" spans="3:6">
      <c r="C5" s="21"/>
      <c r="E5" s="22"/>
      <c r="F5" s="22"/>
    </row>
    <row r="6" spans="3:6">
      <c r="C6" s="108" t="s">
        <v>243</v>
      </c>
      <c r="D6" s="108"/>
      <c r="E6" s="108"/>
      <c r="F6" s="108"/>
    </row>
    <row r="7" spans="3:6">
      <c r="C7" s="108" t="s">
        <v>244</v>
      </c>
      <c r="D7" s="108"/>
      <c r="E7" s="108"/>
      <c r="F7" s="108"/>
    </row>
    <row r="8" spans="3:6">
      <c r="C8" s="109" t="s">
        <v>245</v>
      </c>
      <c r="D8" s="109"/>
      <c r="E8" s="109"/>
      <c r="F8" s="109"/>
    </row>
    <row r="9" spans="3:6">
      <c r="C9" s="110" t="s">
        <v>245</v>
      </c>
      <c r="D9" s="111"/>
      <c r="E9" s="111"/>
      <c r="F9" s="111"/>
    </row>
    <row r="10" spans="3:6">
      <c r="C10" s="72"/>
      <c r="D10" s="73"/>
      <c r="E10" s="73"/>
      <c r="F10" s="73"/>
    </row>
    <row r="11" spans="3:6" ht="15.75">
      <c r="C11" s="23" t="s">
        <v>246</v>
      </c>
      <c r="D11" s="23" t="s">
        <v>247</v>
      </c>
      <c r="E11" s="23" t="s">
        <v>248</v>
      </c>
      <c r="F11" s="23" t="s">
        <v>249</v>
      </c>
    </row>
    <row r="12" spans="3:6" ht="15.75">
      <c r="C12" s="24" t="s">
        <v>250</v>
      </c>
      <c r="D12" s="25" t="s">
        <v>251</v>
      </c>
      <c r="E12" s="26">
        <v>9</v>
      </c>
      <c r="F12" s="26">
        <v>5400</v>
      </c>
    </row>
    <row r="13" spans="3:6" ht="15.75">
      <c r="C13" s="27" t="s">
        <v>252</v>
      </c>
      <c r="D13" s="27">
        <v>12</v>
      </c>
      <c r="E13" s="28">
        <v>140</v>
      </c>
      <c r="F13" s="28">
        <v>1680</v>
      </c>
    </row>
    <row r="14" spans="3:6" ht="15.75">
      <c r="C14" s="25" t="s">
        <v>253</v>
      </c>
      <c r="D14" s="25">
        <v>2</v>
      </c>
      <c r="E14" s="26">
        <v>190</v>
      </c>
      <c r="F14" s="26">
        <v>380</v>
      </c>
    </row>
    <row r="15" spans="3:6" ht="15.75">
      <c r="C15" s="27" t="s">
        <v>254</v>
      </c>
      <c r="D15" s="27">
        <v>8</v>
      </c>
      <c r="E15" s="28">
        <v>110</v>
      </c>
      <c r="F15" s="28">
        <v>880</v>
      </c>
    </row>
    <row r="16" spans="3:6" ht="15.75">
      <c r="C16" s="25" t="s">
        <v>255</v>
      </c>
      <c r="D16" s="25">
        <v>2</v>
      </c>
      <c r="E16" s="26">
        <v>480</v>
      </c>
      <c r="F16" s="26">
        <v>960</v>
      </c>
    </row>
    <row r="17" spans="3:6" ht="15.75">
      <c r="C17" s="27" t="s">
        <v>256</v>
      </c>
      <c r="D17" s="27">
        <v>1</v>
      </c>
      <c r="E17" s="28">
        <v>1400</v>
      </c>
      <c r="F17" s="28">
        <v>1400</v>
      </c>
    </row>
    <row r="18" spans="3:6" ht="15.75">
      <c r="C18" s="24" t="s">
        <v>257</v>
      </c>
      <c r="D18" s="29" t="s">
        <v>258</v>
      </c>
      <c r="E18" s="29" t="s">
        <v>258</v>
      </c>
      <c r="F18" s="30">
        <v>10700</v>
      </c>
    </row>
  </sheetData>
  <mergeCells count="4">
    <mergeCell ref="C6:F6"/>
    <mergeCell ref="C7:F7"/>
    <mergeCell ref="C8:F8"/>
    <mergeCell ref="C9:F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Utilisateur invité</cp:lastModifiedBy>
  <cp:revision/>
  <dcterms:created xsi:type="dcterms:W3CDTF">2025-09-13T16:22:16Z</dcterms:created>
  <dcterms:modified xsi:type="dcterms:W3CDTF">2025-09-18T21:08:44Z</dcterms:modified>
  <cp:category/>
  <cp:contentStatus/>
</cp:coreProperties>
</file>