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6"/>
  <workbookPr/>
  <xr:revisionPtr revIDLastSave="0" documentId="8_{1D847D14-4F76-4E73-A4AF-46F82BF97AE4}" xr6:coauthVersionLast="47" xr6:coauthVersionMax="47" xr10:uidLastSave="{00000000-0000-0000-0000-000000000000}"/>
  <bookViews>
    <workbookView xWindow="240" yWindow="105" windowWidth="14805" windowHeight="8010" firstSheet="1" activeTab="1" xr2:uid="{00000000-000D-0000-FFFF-FFFF00000000}"/>
  </bookViews>
  <sheets>
    <sheet name="Overall Farm" sheetId="1" r:id="rId1"/>
    <sheet name="Plants(Zalka)" sheetId="2" r:id="rId2"/>
    <sheet name="Irrigation System(Arcus)" sheetId="3" r:id="rId3"/>
    <sheet name="Processing Machines(Ange Marie)" sheetId="4" r:id="rId4"/>
    <sheet name="Smart Dryer(Cedric)" sheetId="5" r:id="rId5"/>
    <sheet name="Solar PV power plant(Abdoul)" sheetId="6" r:id="rId6"/>
    <sheet name="Solar tracking(Narcisse)" sheetId="7" r:id="rId7"/>
    <sheet name="Narcisse" sheetId="10" r:id="rId8"/>
    <sheet name="No Reesa(Afiatou)" sheetId="8" r:id="rId9"/>
    <sheet name="Face Recognition(Yanick)" sheetId="9"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3" l="1"/>
  <c r="D95" i="1"/>
  <c r="D73" i="1"/>
  <c r="D87" i="1"/>
  <c r="D91" i="1"/>
  <c r="H95" i="7"/>
  <c r="H96" i="7"/>
  <c r="H97" i="7"/>
  <c r="S8" i="3"/>
  <c r="S6" i="3"/>
  <c r="S7" i="3"/>
  <c r="S9" i="3"/>
  <c r="S5" i="3"/>
  <c r="Q42" i="3"/>
  <c r="O67" i="2"/>
  <c r="O66" i="2"/>
  <c r="O65" i="2"/>
  <c r="O64" i="2"/>
  <c r="O63" i="2"/>
  <c r="O62" i="2"/>
  <c r="O61" i="2"/>
  <c r="O60" i="2"/>
  <c r="T9" i="3"/>
  <c r="Q17" i="3" s="1"/>
  <c r="S17" i="3" s="1"/>
  <c r="T8" i="3"/>
  <c r="Q16" i="3" s="1"/>
  <c r="S16" i="3" s="1"/>
  <c r="T7" i="3"/>
  <c r="Q15" i="3" s="1"/>
  <c r="S15" i="3" s="1"/>
  <c r="T6" i="3"/>
  <c r="Q14" i="3" s="1"/>
  <c r="S14" i="3" s="1"/>
  <c r="T5" i="3"/>
  <c r="Q13" i="3" s="1"/>
  <c r="S13" i="3" s="1"/>
  <c r="J67" i="2"/>
  <c r="J66" i="2"/>
  <c r="J65" i="2"/>
  <c r="J64" i="2"/>
  <c r="J63" i="2"/>
  <c r="J62" i="2"/>
  <c r="J61" i="2"/>
  <c r="J60" i="2"/>
  <c r="J69" i="2"/>
  <c r="J68" i="2"/>
  <c r="Q44" i="3"/>
  <c r="Q43" i="3"/>
  <c r="Q45" i="3"/>
  <c r="Q46" i="3" s="1"/>
  <c r="X42" i="3"/>
  <c r="W46" i="3"/>
  <c r="X46" i="3" s="1"/>
  <c r="W45" i="3"/>
  <c r="X45" i="3" s="1"/>
  <c r="W44" i="3"/>
  <c r="X44" i="3" s="1"/>
  <c r="W43" i="3"/>
  <c r="X43" i="3" s="1"/>
  <c r="H61" i="7"/>
  <c r="H60" i="7"/>
  <c r="H62" i="7"/>
  <c r="B4" i="9"/>
  <c r="B5" i="9"/>
  <c r="B6" i="9"/>
  <c r="B7" i="9"/>
  <c r="C55" i="9"/>
  <c r="C56" i="9"/>
  <c r="B54" i="9"/>
  <c r="B47" i="9"/>
  <c r="B46" i="9"/>
  <c r="B45" i="9"/>
  <c r="B53" i="9"/>
  <c r="H49" i="7"/>
  <c r="H48" i="7"/>
  <c r="H63" i="7"/>
  <c r="H64" i="7" s="1"/>
  <c r="H43" i="7"/>
  <c r="H69" i="7" s="1"/>
  <c r="D10" i="5"/>
  <c r="B49" i="5"/>
  <c r="B9" i="5"/>
  <c r="R11" i="2"/>
  <c r="E23" i="9"/>
  <c r="B12" i="5" a="1"/>
  <c r="B12" i="5"/>
  <c r="B11" i="5" a="1"/>
  <c r="B11" i="5"/>
  <c r="B10" i="5"/>
  <c r="E27" i="9"/>
  <c r="R12" i="2"/>
  <c r="R10" i="2"/>
  <c r="R9" i="2"/>
  <c r="R8" i="2"/>
  <c r="R7" i="2"/>
  <c r="R6" i="2"/>
  <c r="R5" i="2"/>
  <c r="R4" i="2"/>
  <c r="R3" i="2"/>
  <c r="R19" i="2"/>
  <c r="R20" i="2" s="1"/>
  <c r="Q9" i="2" s="1"/>
  <c r="B15" i="4"/>
  <c r="B14" i="4"/>
  <c r="B13" i="4"/>
  <c r="B12" i="4"/>
  <c r="B11" i="4"/>
  <c r="B10" i="4"/>
  <c r="B9" i="4"/>
  <c r="B8" i="4"/>
  <c r="B7" i="4"/>
  <c r="B6" i="4"/>
  <c r="B5" i="4"/>
  <c r="B4" i="4"/>
  <c r="E24" i="9"/>
  <c r="E28" i="9"/>
  <c r="E25" i="9"/>
  <c r="E26" i="9"/>
  <c r="B40" i="1"/>
  <c r="D35" i="2"/>
  <c r="G40" i="2"/>
  <c r="G86" i="5"/>
  <c r="G96" i="5"/>
  <c r="D38" i="4"/>
  <c r="D37" i="4"/>
  <c r="C40" i="4"/>
  <c r="B34" i="4"/>
  <c r="B25" i="4"/>
  <c r="B26" i="4"/>
  <c r="B36" i="4" s="1"/>
  <c r="D36" i="2"/>
  <c r="D37" i="2" s="1"/>
  <c r="H35" i="2" s="1"/>
  <c r="C112" i="5"/>
  <c r="C111" i="5"/>
  <c r="C116" i="5"/>
  <c r="C117" i="5"/>
  <c r="C115" i="5"/>
  <c r="C114" i="5"/>
  <c r="C113" i="5"/>
  <c r="C110" i="5"/>
  <c r="C109" i="5"/>
  <c r="C108" i="5"/>
  <c r="E38" i="1"/>
  <c r="B66" i="1"/>
  <c r="B62" i="1"/>
  <c r="B58" i="1"/>
  <c r="B54" i="1"/>
  <c r="B48" i="1"/>
  <c r="B38" i="1"/>
  <c r="E28" i="3"/>
  <c r="U36" i="3"/>
  <c r="U37" i="3"/>
  <c r="U35" i="3"/>
  <c r="H31" i="3"/>
  <c r="H36" i="3"/>
  <c r="H37" i="3"/>
  <c r="D117" i="5"/>
  <c r="E117" i="5" s="1"/>
  <c r="D115" i="5"/>
  <c r="E115" i="5" s="1"/>
  <c r="D114" i="5"/>
  <c r="E114" i="5" s="1"/>
  <c r="D113" i="5"/>
  <c r="E113" i="5" s="1"/>
  <c r="D112" i="5"/>
  <c r="E112" i="5" s="1"/>
  <c r="D111" i="5"/>
  <c r="E111" i="5" s="1"/>
  <c r="D110" i="5"/>
  <c r="E110" i="5" s="1"/>
  <c r="C22" i="3"/>
  <c r="D22" i="3" s="1"/>
  <c r="E22" i="3" s="1"/>
  <c r="E29" i="3"/>
  <c r="E30" i="3"/>
  <c r="E31" i="3"/>
  <c r="E32" i="3"/>
  <c r="E27" i="3"/>
  <c r="E33" i="3" s="1"/>
  <c r="C15" i="3" s="1"/>
  <c r="H71" i="7" l="1"/>
  <c r="H74" i="7" s="1"/>
  <c r="C4" i="4"/>
  <c r="E4" i="4"/>
  <c r="G4" i="4" s="1"/>
  <c r="E5" i="4"/>
  <c r="G5" i="4" s="1"/>
  <c r="C5" i="4"/>
  <c r="E6" i="4"/>
  <c r="G6" i="4" s="1"/>
  <c r="C6" i="4"/>
  <c r="E7" i="4"/>
  <c r="G7" i="4" s="1"/>
  <c r="C7" i="4"/>
  <c r="E8" i="4"/>
  <c r="G8" i="4" s="1"/>
  <c r="C8" i="4"/>
  <c r="E9" i="4"/>
  <c r="G9" i="4" s="1"/>
  <c r="C9" i="4"/>
  <c r="E10" i="4"/>
  <c r="G10" i="4" s="1"/>
  <c r="C10" i="4"/>
  <c r="E11" i="4"/>
  <c r="G11" i="4" s="1"/>
  <c r="C11" i="4"/>
  <c r="E12" i="4"/>
  <c r="G12" i="4" s="1"/>
  <c r="C12" i="4"/>
  <c r="E13" i="4"/>
  <c r="G13" i="4" s="1"/>
  <c r="C13" i="4"/>
  <c r="E14" i="4"/>
  <c r="G14" i="4" s="1"/>
  <c r="C14" i="4"/>
  <c r="E15" i="4"/>
  <c r="G15" i="4" s="1"/>
  <c r="C15" i="4"/>
  <c r="H75" i="7"/>
  <c r="B48" i="9"/>
  <c r="E30" i="9"/>
  <c r="B14" i="5"/>
  <c r="E29" i="9"/>
  <c r="Q8" i="2"/>
  <c r="S8" i="2" s="1"/>
  <c r="S9" i="2"/>
  <c r="Q10" i="2"/>
  <c r="S10" i="2" s="1"/>
  <c r="Q11" i="2"/>
  <c r="S11" i="2" s="1"/>
  <c r="Q12" i="2"/>
  <c r="S12" i="2" s="1"/>
  <c r="Q7" i="2"/>
  <c r="S7" i="2" s="1"/>
  <c r="Q6" i="2"/>
  <c r="S6" i="2" s="1"/>
  <c r="Q5" i="2"/>
  <c r="S5" i="2" s="1"/>
  <c r="Q4" i="2"/>
  <c r="S4" i="2" s="1"/>
  <c r="Q3" i="2"/>
  <c r="S3" i="2" s="1"/>
  <c r="D36" i="4"/>
  <c r="B27" i="4"/>
  <c r="B29" i="4"/>
  <c r="Y35" i="3"/>
  <c r="Y37" i="3"/>
  <c r="Y36" i="3"/>
  <c r="H28" i="3"/>
  <c r="C16" i="3" s="1"/>
  <c r="M22" i="3"/>
  <c r="V37" i="3"/>
  <c r="V36" i="3"/>
  <c r="V35" i="3"/>
  <c r="D109" i="5"/>
  <c r="E109" i="5" s="1"/>
  <c r="D108" i="5"/>
  <c r="E108" i="5" s="1"/>
  <c r="D116" i="5"/>
  <c r="E116" i="5" s="1"/>
  <c r="F22" i="3"/>
  <c r="N22" i="3"/>
  <c r="H38" i="3"/>
  <c r="D81" i="1" s="1"/>
  <c r="C18" i="1" s="1"/>
  <c r="G108" i="5"/>
  <c r="D9" i="5" s="1"/>
  <c r="D14" i="5" s="1"/>
  <c r="F12" i="5" s="1"/>
  <c r="G109" i="5"/>
  <c r="G110" i="5"/>
  <c r="G111" i="5"/>
  <c r="G112" i="5"/>
  <c r="G113" i="5"/>
  <c r="G114" i="5"/>
  <c r="G115" i="5"/>
  <c r="G116" i="5"/>
  <c r="G117" i="5"/>
  <c r="C33" i="4" l="1"/>
  <c r="B19" i="4"/>
  <c r="F15" i="4"/>
  <c r="H15" i="4" s="1"/>
  <c r="D15" i="4"/>
  <c r="I15" i="4" s="1"/>
  <c r="F14" i="4"/>
  <c r="H14" i="4" s="1"/>
  <c r="D14" i="4"/>
  <c r="I14" i="4" s="1"/>
  <c r="F13" i="4"/>
  <c r="H13" i="4" s="1"/>
  <c r="D13" i="4"/>
  <c r="I13" i="4" s="1"/>
  <c r="F12" i="4"/>
  <c r="H12" i="4" s="1"/>
  <c r="D12" i="4"/>
  <c r="I12" i="4" s="1"/>
  <c r="F11" i="4"/>
  <c r="H11" i="4" s="1"/>
  <c r="D11" i="4"/>
  <c r="I11" i="4" s="1"/>
  <c r="F10" i="4"/>
  <c r="H10" i="4" s="1"/>
  <c r="D10" i="4"/>
  <c r="I10" i="4" s="1"/>
  <c r="F9" i="4"/>
  <c r="H9" i="4" s="1"/>
  <c r="D9" i="4"/>
  <c r="I9" i="4" s="1"/>
  <c r="F8" i="4"/>
  <c r="H8" i="4" s="1"/>
  <c r="D8" i="4"/>
  <c r="I8" i="4" s="1"/>
  <c r="F7" i="4"/>
  <c r="H7" i="4" s="1"/>
  <c r="D7" i="4"/>
  <c r="I7" i="4" s="1"/>
  <c r="F6" i="4"/>
  <c r="H6" i="4" s="1"/>
  <c r="D6" i="4"/>
  <c r="I6" i="4" s="1"/>
  <c r="F5" i="4"/>
  <c r="D5" i="4"/>
  <c r="F4" i="4"/>
  <c r="D4" i="4"/>
  <c r="E31" i="9"/>
  <c r="B28" i="4"/>
  <c r="C31" i="4"/>
  <c r="W35" i="3"/>
  <c r="X35" i="3" s="1"/>
  <c r="W36" i="3"/>
  <c r="X36" i="3" s="1"/>
  <c r="W37" i="3"/>
  <c r="X37" i="3" s="1"/>
  <c r="H22" i="3"/>
  <c r="I22" i="3" s="1"/>
  <c r="J22" i="3" s="1"/>
  <c r="K22" i="3" s="1"/>
  <c r="G22" i="3"/>
  <c r="L117" i="5"/>
  <c r="K117" i="5"/>
  <c r="L116" i="5"/>
  <c r="K116" i="5"/>
  <c r="L115" i="5"/>
  <c r="K115" i="5"/>
  <c r="L114" i="5"/>
  <c r="K114" i="5"/>
  <c r="L113" i="5"/>
  <c r="K113" i="5"/>
  <c r="L112" i="5"/>
  <c r="K112" i="5"/>
  <c r="L111" i="5"/>
  <c r="K111" i="5"/>
  <c r="L110" i="5"/>
  <c r="K110" i="5"/>
  <c r="L109" i="5"/>
  <c r="K109" i="5"/>
  <c r="L108" i="5"/>
  <c r="K108" i="5"/>
  <c r="C19" i="4" l="1"/>
  <c r="I4" i="4"/>
  <c r="D19" i="4"/>
  <c r="H4" i="4"/>
  <c r="I5" i="4"/>
  <c r="H5" i="4"/>
  <c r="C32" i="4"/>
  <c r="C34" i="4" s="1"/>
  <c r="B39" i="4"/>
  <c r="D39" i="4" l="1"/>
  <c r="D40" i="4" s="1"/>
  <c r="B42" i="4" s="1"/>
  <c r="B45" i="4" s="1"/>
  <c r="B46" i="4" s="1"/>
  <c r="B4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tc={995BE70A-99E2-4B0C-A4C0-DC95AFC3E5FC}</author>
  </authors>
  <commentList>
    <comment ref="C15" authorId="0" shapeId="0" xr:uid="{995BE70A-99E2-4B0C-A4C0-DC95AFC3E5FC}">
      <text>
        <t>[Threaded comment]
Your version of Excel allows you to read this threaded comment; however, any edits to it will get removed if the file is opened in a newer version of Excel. Learn more: https://go.microsoft.com/fwlink/?linkid=870924
Comment:
    How did you choose this place? Did You make this choice based on which  research. Please add the documentation.
Reply:
    There is a table below responding to your question.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tc={51663C2D-AB48-41CE-9CF7-49936A60FB86}</author>
  </authors>
  <commentList>
    <comment ref="A36" authorId="0" shapeId="0" xr:uid="{51663C2D-AB48-41CE-9CF7-49936A60FB86}">
      <text>
        <t>[Threaded comment]
Your version of Excel allows you to read this threaded comment; however, any edits to it will get removed if the file is opened in a newer version of Excel. Learn more: https://go.microsoft.com/fwlink/?linkid=870924
Comment:
    What do you mean by operational cost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tc={B5CA61C2-7C5C-4BD6-B04E-23162FE0E237}</author>
    <author>tc={34CE7EB9-8758-4483-BD1C-C0B75FF8F5B4}</author>
    <author>tc={B046A186-BFC2-418A-BAE0-618E8F556A24}</author>
    <author>tc={87341C9E-B9DB-46D3-A2AE-F69101F97733}</author>
    <author>tc={A2EC88CB-F0FA-4B5A-87BE-4EFA3FD8B23F}</author>
    <author>tc={E19C23D8-BDDB-4941-BC67-7D4382D1D427}</author>
    <author>tc={E63A8420-42E4-475E-9B92-4E143EEB8E76}</author>
    <author>tc={19629B0B-C54E-4B3C-8465-8E35837978E0}</author>
    <author>tc={2A25DE7A-0856-4475-AD35-68E9FCF33CAC}</author>
    <author>tc={892C97E1-21AA-4D14-AE88-EC5916786E41}</author>
    <author>tc={287FF172-FD47-454D-A575-9A9EF6B072D9}</author>
    <author>tc={4A14AA5F-08E0-4FCB-A3C9-8381563E4600}</author>
    <author>tc={CC67322F-66CC-4932-B3F8-6FFF15835BFE}</author>
    <author>tc={41F8602B-B192-415A-96DD-0A8EE8D03FCE}</author>
    <author>tc={73136E15-C0EE-4511-87AF-28D1D6E443C1}</author>
    <author>tc={15B1AD36-D8B6-4774-B0AD-76A7754F6B21}</author>
    <author>tc={76E52E48-D57E-45CC-8C24-B37A110B39FE}</author>
    <author>tc={5624E5AC-E820-4CA7-A66F-694F2E3C759D}</author>
    <author>tc={8391718E-3BCD-4A8F-94D6-E2519B5CAF6A}</author>
    <author>tc={1F6F246C-E630-4B82-BC73-079414E2AE0A}</author>
    <author>tc={D5590B21-3252-4B15-A613-BD2E41FDBFA8}</author>
    <author>tc={4D3C663A-8D68-4538-8B8E-49A679EDA1FF}</author>
    <author>tc={CB6F7D8E-A003-43C3-86F6-5C1E11FFE1C1}</author>
    <author>tc={30737756-ECBA-4179-BDAF-FE843EB63C53}</author>
    <author>tc={0509A75C-744A-4D34-A90C-256795441E77}</author>
    <author>tc={D9553B01-96AA-485D-8472-0FD1027EB1E5}</author>
  </authors>
  <commentList>
    <comment ref="A2" authorId="0" shapeId="0" xr:uid="{B5CA61C2-7C5C-4BD6-B04E-23162FE0E237}">
      <text>
        <t>[Threaded comment]
Your version of Excel allows you to read this threaded comment; however, any edits to it will get removed if the file is opened in a newer version of Excel. Learn more: https://go.microsoft.com/fwlink/?linkid=870924
Comment:
    To improve the irrigation system, we can use smart IoT control to monitor soil moisture and automate irrigation scheduling, include a remote monitoring dashboard in the system for performance tracking like PV output, water levels, etc, add water recycling and filtration units for better sustainability</t>
      </text>
    </comment>
    <comment ref="T5" authorId="1" shapeId="0" xr:uid="{34CE7EB9-8758-4483-BD1C-C0B75FF8F5B4}">
      <text>
        <t>[Threaded comment]
Your version of Excel allows you to read this threaded comment; however, any edits to it will get removed if the file is opened in a newer version of Excel. Learn more: https://go.microsoft.com/fwlink/?linkid=870924
Comment:
    150 is the cost of the kWh</t>
      </text>
    </comment>
    <comment ref="D15" authorId="2" shapeId="0" xr:uid="{B046A186-BFC2-418A-BAE0-618E8F556A24}">
      <text>
        <t>[Threaded comment]
Your version of Excel allows you to read this threaded comment; however, any edits to it will get removed if the file is opened in a newer version of Excel. Learn more: https://go.microsoft.com/fwlink/?linkid=870924
Comment:
    please check fixed vs variable cost?
Reply:
    Yes I did. You can have a look on the cost calculations table. What is marked in slight green represents the variable costs. The blue one is the fixed</t>
      </text>
    </comment>
    <comment ref="C22" authorId="3" shapeId="0" xr:uid="{87341C9E-B9DB-46D3-A2AE-F69101F97733}">
      <text>
        <t>[Threaded comment]
Your version of Excel allows you to read this threaded comment; however, any edits to it will get removed if the file is opened in a newer version of Excel. Learn more: https://go.microsoft.com/fwlink/?linkid=870924
Comment:
    where does 100 comes from? report, study, guess? 
Reply:
    this depends on how big is the spacing between the trees as well. could you add this parameter to the input column
Reply:
    100 is the estimated number of trees in 1 hectare with a space of 10 m between the trees. You can see the details in the input parameters and definitions</t>
      </text>
    </comment>
    <comment ref="D22" authorId="4" shapeId="0" xr:uid="{A2EC88CB-F0FA-4B5A-87BE-4EFA3FD8B23F}">
      <text>
        <t>[Threaded comment]
Your version of Excel allows you to read this threaded comment; however, any edits to it will get removed if the file is opened in a newer version of Excel. Learn more: https://go.microsoft.com/fwlink/?linkid=870924
Comment:
    please make the formula easy to explain e.g. what is 1000? what is 100? you could make a separate column for  the input parameters
Reply:
    You can find the explanation in the input parameters and definition table</t>
      </text>
    </comment>
    <comment ref="E22" authorId="5" shapeId="0" xr:uid="{E19C23D8-BDDB-4941-BC67-7D4382D1D427}">
      <text>
        <t>[Threaded comment]
Your version of Excel allows you to read this threaded comment; however, any edits to it will get removed if the file is opened in a newer version of Excel. Learn more: https://go.microsoft.com/fwlink/?linkid=870924
Comment:
    does the tree age play a role? e.g. young trees vs mature trees
Reply:
    does this number applies to all year long and all climate conditions e.g. in rainy season the number could be low, ..etc.
Reply:
    this is for mature mango trees in dry season</t>
      </text>
    </comment>
    <comment ref="F22" authorId="6" shapeId="0" xr:uid="{E63A8420-42E4-475E-9B92-4E143EEB8E76}">
      <text>
        <t>[Threaded comment]
Your version of Excel allows you to read this threaded comment; however, any edits to it will get removed if the file is opened in a newer version of Excel. Learn more: https://go.microsoft.com/fwlink/?linkid=870924
Comment:
    what is 5? please explain as suggested with input column
Reply:
    it represents the daily irrigation duration</t>
      </text>
    </comment>
    <comment ref="G22" authorId="7" shapeId="0" xr:uid="{19629B0B-C54E-4B3C-8465-8E35837978E0}">
      <text>
        <t>[Threaded comment]
Your version of Excel allows you to read this threaded comment; however, any edits to it will get removed if the file is opened in a newer version of Excel. Learn more: https://go.microsoft.com/fwlink/?linkid=870924
Comment:
    60 is the number of minutes in 1 hour</t>
      </text>
    </comment>
    <comment ref="L22" authorId="8" shapeId="0" xr:uid="{2A25DE7A-0856-4475-AD35-68E9FCF33CAC}">
      <text>
        <t>[Threaded comment]
Your version of Excel allows you to read this threaded comment; however, any edits to it will get removed if the file is opened in a newer version of Excel. Learn more: https://go.microsoft.com/fwlink/?linkid=870924
Comment:
    does this calculation include any buffer to compensate for losses e.g. efficiency, variations ...etc.?please consider that and adjust your calculations accordingly
Reply:
    yes, it does include any buffer for compensation in case of losses</t>
      </text>
    </comment>
    <comment ref="A25" authorId="9" shapeId="0" xr:uid="{892C97E1-21AA-4D14-AE88-EC5916786E41}">
      <text>
        <t>[Threaded comment]
Your version of Excel allows you to read this threaded comment; however, any edits to it will get removed if the file is opened in a newer version of Excel. Learn more: https://go.microsoft.com/fwlink/?linkid=870924
Comment:
    Some of the cost are local cost. For the smart add-on, drip irrigation, filtration+MPPT costs, it has been estimated basing on the international market</t>
      </text>
    </comment>
    <comment ref="T26" authorId="10" shapeId="0" xr:uid="{287FF172-FD47-454D-A575-9A9EF6B072D9}">
      <text>
        <t xml:space="preserve">[Threaded comment]
Your version of Excel allows you to read this threaded comment; however, any edits to it will get removed if the file is opened in a newer version of Excel. Learn more: https://go.microsoft.com/fwlink/?linkid=870924
Comment:
    Add hyperlinks </t>
      </text>
    </comment>
    <comment ref="A27" authorId="11" shapeId="0" xr:uid="{4A14AA5F-08E0-4FCB-A3C9-8381563E4600}">
      <text>
        <t>[Threaded comment]
Your version of Excel allows you to read this threaded comment; however, any edits to it will get removed if the file is opened in a newer version of Excel. Learn more: https://go.microsoft.com/fwlink/?linkid=870924
Comment:
    what is the capacity of the tank?
Reply:
    Variable because larger farms need larger tanks</t>
      </text>
    </comment>
    <comment ref="E27" authorId="12" shapeId="0" xr:uid="{CC67322F-66CC-4932-B3F8-6FFF15835BFE}">
      <text>
        <t>[Threaded comment]
Your version of Excel allows you to read this threaded comment; however, any edits to it will get removed if the file is opened in a newer version of Excel. Learn more: https://go.microsoft.com/fwlink/?linkid=870924
Comment:
    did you consider any cheaper alternatives?
Reply:
    Yes I considered now</t>
      </text>
    </comment>
    <comment ref="A28" authorId="13" shapeId="0" xr:uid="{41F8602B-B192-415A-96DD-0A8EE8D03FCE}">
      <text>
        <t>[Threaded comment]
Your version of Excel allows you to read this threaded comment; however, any edits to it will get removed if the file is opened in a newer version of Excel. Learn more: https://go.microsoft.com/fwlink/?linkid=870924
Comment:
    may vary because it's linear with number of trees or area</t>
      </text>
    </comment>
    <comment ref="J28" authorId="14" shapeId="0" xr:uid="{73136E15-C0EE-4511-87AF-28D1D6E443C1}">
      <text>
        <t>[Threaded comment]
Your version of Excel allows you to read this threaded comment; however, any edits to it will get removed if the file is opened in a newer version of Excel. Learn more: https://go.microsoft.com/fwlink/?linkid=870924
Comment:
    CAPEX (Capital Expenditure)</t>
      </text>
    </comment>
    <comment ref="A29" authorId="15" shapeId="0" xr:uid="{15B1AD36-D8B6-4774-B0AD-76A7754F6B21}">
      <text>
        <t>[Threaded comment]
Your version of Excel allows you to read this threaded comment; however, any edits to it will get removed if the file is opened in a newer version of Excel. Learn more: https://go.microsoft.com/fwlink/?linkid=870924
Comment:
    It scale vary with pump size and water demand</t>
      </text>
    </comment>
    <comment ref="D29" authorId="16" shapeId="0" xr:uid="{76E52E48-D57E-45CC-8C24-B37A110B39FE}">
      <text>
        <t xml:space="preserve">[Threaded comment]
Your version of Excel allows you to read this threaded comment; however, any edits to it will get removed if the file is opened in a newer version of Excel. Learn more: https://go.microsoft.com/fwlink/?linkid=870924
Comment:
    from which market? burkina faso, china, germany?
Reply:
    Locally
</t>
      </text>
    </comment>
    <comment ref="A30" authorId="17" shapeId="0" xr:uid="{5624E5AC-E820-4CA7-A66F-694F2E3C759D}">
      <text>
        <t>[Threaded comment]
Your version of Excel allows you to read this threaded comment; however, any edits to it will get removed if the file is opened in a newer version of Excel. Learn more: https://go.microsoft.com/fwlink/?linkid=870924
Comment:
    Scales when higher flow is needed</t>
      </text>
    </comment>
    <comment ref="A31" authorId="18" shapeId="0" xr:uid="{8391718E-3BCD-4A8F-94D6-E2519B5CAF6A}">
      <text>
        <t>[Threaded comment]
Your version of Excel allows you to read this threaded comment; however, any edits to it will get removed if the file is opened in a newer version of Excel. Learn more: https://go.microsoft.com/fwlink/?linkid=870924
Comment:
    Fixed because we need one controller for the pump</t>
      </text>
    </comment>
    <comment ref="E33" authorId="19" shapeId="0" xr:uid="{1F6F246C-E630-4B82-BC73-079414E2AE0A}">
      <text>
        <t>[Threaded comment]
Your version of Excel allows you to read this threaded comment; however, any edits to it will get removed if the file is opened in a newer version of Excel. Learn more: https://go.microsoft.com/fwlink/?linkid=870924
Comment:
    how much time do you think you can get this investment sum repaid back. payback period is short means a profitable project, if payback period is long it means less profitable project. make assumptions to calculate payback period
Reply:
    You can see it on the calculation table</t>
      </text>
    </comment>
    <comment ref="H33" authorId="20" shapeId="0" xr:uid="{D5590B21-3252-4B15-A613-BD2E41FDBFA8}">
      <text>
        <t>[Threaded comment]
Your version of Excel allows you to read this threaded comment; however, any edits to it will get removed if the file is opened in a newer version of Excel. Learn more: https://go.microsoft.com/fwlink/?linkid=870924
Comment:
    replaced every 10 years; 2 replacement in total during the project lifetime</t>
      </text>
    </comment>
    <comment ref="M33" authorId="21" shapeId="0" xr:uid="{4D3C663A-8D68-4538-8B8E-49A679EDA1FF}">
      <text>
        <t>[Threaded comment]
Your version of Excel allows you to read this threaded comment; however, any edits to it will get removed if the file is opened in a newer version of Excel. Learn more: https://go.microsoft.com/fwlink/?linkid=870924
Comment:
    where did you get these data. Add Reference</t>
      </text>
    </comment>
    <comment ref="H34" authorId="22" shapeId="0" xr:uid="{CB6F7D8E-A003-43C3-86F6-5C1E11FFE1C1}">
      <text>
        <t>[Threaded comment]
Your version of Excel allows you to read this threaded comment; however, any edits to it will get removed if the file is opened in a newer version of Excel. Learn more: https://go.microsoft.com/fwlink/?linkid=870924
Comment:
    replaced every 10 years; 2 replacement in total</t>
      </text>
    </comment>
    <comment ref="H35" authorId="23" shapeId="0" xr:uid="{30737756-ECBA-4179-BDAF-FE843EB63C53}">
      <text>
        <t>[Threaded comment]
Your version of Excel allows you to read this threaded comment; however, any edits to it will get removed if the file is opened in a newer version of Excel. Learn more: https://go.microsoft.com/fwlink/?linkid=870924
Comment:
    replaced every 10 years also; 2 replacement in total during the project lifetime</t>
      </text>
    </comment>
    <comment ref="U35" authorId="24" shapeId="0" xr:uid="{0509A75C-744A-4D34-A90C-256795441E77}">
      <text>
        <t>[Threaded comment]
Your version of Excel allows you to read this threaded comment; however, any edits to it will get removed if the file is opened in a newer version of Excel. Learn more: https://go.microsoft.com/fwlink/?linkid=870924
Comment:
    100 represents the daily needs in terms of water per tree</t>
      </text>
    </comment>
    <comment ref="W43" authorId="25" shapeId="0" xr:uid="{D9553B01-96AA-485D-8472-0FD1027EB1E5}">
      <text>
        <t>[Threaded comment]
Your version of Excel allows you to read this threaded comment; however, any edits to it will get removed if the file is opened in a newer version of Excel. Learn more: https://go.microsoft.com/fwlink/?linkid=870924
Comment:
    20 is the water need per day in cubic meter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tc={3B5B4A5C-1540-4A5C-B265-7A9B69BF94B1}</author>
    <author>tc={55E8B360-440F-4231-87DA-16F19DBD6083}</author>
    <author>tc={DA61F77F-54E6-4B0E-9684-90D85F7012AC}</author>
    <author>tc={5E36174B-72D2-4061-AA6B-C464FF877BA9}</author>
    <author>tc={12B0CCDA-B040-4AF8-9752-0932C7726612}</author>
    <author>tc={13DC0BDD-8FD5-44D4-980D-3FAC0AA6374D}</author>
    <author>tc={F175AF6E-155D-4863-833D-D392C61721FB}</author>
    <author>tc={69CC5C8E-95A1-42B3-AE11-A3C77AA4BE21}</author>
    <author>tc={00B4676F-CBDB-4825-B59A-A35464238CCB}</author>
    <author>tc={C51D9A80-1FCF-4B6C-8C30-711F181EA2FE}</author>
    <author>tc={4802152D-B483-4806-81E4-853604479D39}</author>
    <author>tc={72B315D0-A92E-40BD-B682-DFF14FB08BA4}</author>
  </authors>
  <commentList>
    <comment ref="A2" authorId="0" shapeId="0" xr:uid="{3B5B4A5C-1540-4A5C-B265-7A9B69BF94B1}">
      <text>
        <t>[Threaded comment]
Your version of Excel allows you to read this threaded comment; however, any edits to it will get removed if the file is opened in a newer version of Excel. Learn more: https://go.microsoft.com/fwlink/?linkid=870924
Comment:
    we might not need a ball mill for the mango but what we need are machines which can be used for cutting the mango</t>
      </text>
    </comment>
    <comment ref="B3" authorId="1" shapeId="0" xr:uid="{55E8B360-440F-4231-87DA-16F19DBD6083}">
      <text>
        <t>[Threaded comment]
Your version of Excel allows you to read this threaded comment; however, any edits to it will get removed if the file is opened in a newer version of Excel. Learn more: https://go.microsoft.com/fwlink/?linkid=870924
Comment:
    why are the numbers fluctuating?
Reply:
    The numbers rise and fall because in Burkina Faso there are periods when mango production is very high and when this period passes production also falls.</t>
      </text>
    </comment>
    <comment ref="C3" authorId="2" shapeId="0" xr:uid="{DA61F77F-54E6-4B0E-9684-90D85F7012AC}">
      <text>
        <t>[Threaded comment]
Your version of Excel allows you to read this threaded comment; however, any edits to it will get removed if the file is opened in a newer version of Excel. Learn more: https://go.microsoft.com/fwlink/?linkid=870924
Comment:
    how is this calculated?
Reply:
    The number is based on study showing that the waste generated is around 50% of the quantity of processed mangoes.</t>
      </text>
    </comment>
    <comment ref="D3" authorId="3" shapeId="0" xr:uid="{5E36174B-72D2-4061-AA6B-C464FF877BA9}">
      <text>
        <t>[Threaded comment]
Your version of Excel allows you to read this threaded comment; however, any edits to it will get removed if the file is opened in a newer version of Excel. Learn more: https://go.microsoft.com/fwlink/?linkid=870924
Comment:
    how is biogas calculated? is it assumed or based on study?
Reply:
    The biogas is calculated by following this formula : 1 kg of mango waste gives 0.043 m³ of biogas. This formula is based on study from the net.</t>
      </text>
    </comment>
    <comment ref="J3" authorId="4" shapeId="0" xr:uid="{12B0CCDA-B040-4AF8-9752-0932C7726612}">
      <text>
        <t>[Threaded comment]
Your version of Excel allows you to read this threaded comment; however, any edits to it will get removed if the file is opened in a newer version of Excel. Learn more: https://go.microsoft.com/fwlink/?linkid=870924
Comment:
    Quantification et caractérisation des
déchets de mangue au Burkina Faso – ESJ</t>
      </text>
    </comment>
    <comment ref="K4" authorId="5" shapeId="0" xr:uid="{13DC0BDD-8FD5-44D4-980D-3FAC0AA6374D}">
      <text>
        <t xml:space="preserve">[Threaded comment]
Your version of Excel allows you to read this threaded comment; however, any edits to it will get removed if the file is opened in a newer version of Excel. Learn more: https://go.microsoft.com/fwlink/?linkid=870924
Comment:
    This biogas volume was used to calculate biogas outputs for each month of the year.
</t>
      </text>
    </comment>
    <comment ref="J10" authorId="6" shapeId="0" xr:uid="{F175AF6E-155D-4863-833D-D392C61721FB}">
      <text>
        <t>[Threaded comment]
Your version of Excel allows you to read this threaded comment; however, any edits to it will get removed if the file is opened in a newer version of Excel. Learn more: https://go.microsoft.com/fwlink/?linkid=870924
Comment:
    Suitable for a 2-hectare farm  
Daily average     3 kW × 5 h × 30 days     
 1 m³ ≈ 6 kWh  </t>
      </text>
    </comment>
    <comment ref="B24" authorId="7" shapeId="0" xr:uid="{69CC5C8E-95A1-42B3-AE11-A3C77AA4BE21}">
      <text>
        <t>[Threaded comment]
Your version of Excel allows you to read this threaded comment; however, any edits to it will get removed if the file is opened in a newer version of Excel. Learn more: https://go.microsoft.com/fwlink/?linkid=870924
Comment:
    This annual output is from the plant sheet in the common excel precisely from plants(Zalka) sheet</t>
      </text>
    </comment>
    <comment ref="G27" authorId="8" shapeId="0" xr:uid="{00B4676F-CBDB-4825-B59A-A35464238CCB}">
      <text>
        <t>[Threaded comment]
Your version of Excel allows you to read this threaded comment; however, any edits to it will get removed if the file is opened in a newer version of Excel. Learn more: https://go.microsoft.com/fwlink/?linkid=870924
Comment:
     Each price has his own link which explain the fact we don't have any formulas there or calculation</t>
      </text>
    </comment>
    <comment ref="B29" authorId="9" shapeId="0" xr:uid="{C51D9A80-1FCF-4B6C-8C30-711F181EA2FE}">
      <text>
        <t>[Threaded comment]
Your version of Excel allows you to read this threaded comment; however, any edits to it will get removed if the file is opened in a newer version of Excel. Learn more: https://go.microsoft.com/fwlink/?linkid=870924
Comment:
     It can be used for biogas and the compost</t>
      </text>
    </comment>
    <comment ref="A31" authorId="10" shapeId="0" xr:uid="{4802152D-B483-4806-81E4-853604479D39}">
      <text>
        <t>[Threaded comment]
Your version of Excel allows you to read this threaded comment; however, any edits to it will get removed if the file is opened in a newer version of Excel. Learn more: https://go.microsoft.com/fwlink/?linkid=870924
Comment:
    200–300 kg/hour1–2 hours/week sufficientSlicing &amp; DryingElectric/Solar Dehydrator50 kg/batch → 5 batches/weekMatches 
229 kg/week dried mango 
outputMilling to PowderHammer/Ball Mill50 kg/hour → ~2.5 hours/weekEfficient for 114.5 kg powder/week</t>
      </text>
    </comment>
    <comment ref="A44" authorId="11" shapeId="0" xr:uid="{72B315D0-A92E-40BD-B682-DFF14FB08BA4}">
      <text>
        <t>[Threaded comment]
Your version of Excel allows you to read this threaded comment; however, any edits to it will get removed if the file is opened in a newer version of Excel. Learn more: https://go.microsoft.com/fwlink/?linkid=870924
Comment:
     (machines, setup)</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tc={30694B0C-B7C0-423E-8071-0E901121F13D}</author>
    <author>tc={A8AB2132-491C-40FC-8167-A4492DE937F3}</author>
    <author>tc={AE53CCDD-16F4-4EF0-B5DC-1D7C98B929FB}</author>
    <author>tc={EBEDA288-CA0E-4F7C-9E06-6A8019C6D2DA}</author>
    <author>tc={BCC751D3-7955-4B44-B762-AF7FB32E0018}</author>
    <author>tc={753BF6E2-4B3E-4436-9CF2-5A0882711F66}</author>
    <author>tc={C7EF18BD-B85D-4954-87E5-07E6AE76388A}</author>
    <author>tc={D951C372-0506-4115-8AB7-F872A9CFC94B}</author>
    <author>tc={8C26E72D-0395-4FCD-B593-447B3BF16F18}</author>
    <author>tc={06AD86B0-7E8C-4A63-8CBD-D8D0C8A8EF7A}</author>
    <author>tc={8023BE6E-9434-439C-8570-AF29F0292DA8}</author>
    <author>tc={125BEC1E-245A-4C9A-A0A9-4D2B90AD1CA7}</author>
    <author>tc={9DCD46C4-20AA-4A19-9FC9-6EBAF2BD727D}</author>
    <author>tc={50444CC8-3A1A-4EB7-9A54-68F72F882D58}</author>
    <author>tc={419161D0-89D9-40A4-9BBB-BDBD80D36272}</author>
    <author>tc={0AB6FBF4-C8E3-4369-A0FF-C50D8DD56783}</author>
    <author>tc={E7B8C9EB-DDF3-4510-8AAA-AEA5B9437ECA}</author>
    <author>tc={B24F0E4A-1782-4739-8599-C50F0D4C0E24}</author>
    <author>tc={49BAD0B2-8887-4A5E-90C8-1F2C46A611EA}</author>
    <author>tc={F541040C-BEE0-41F7-A593-2E9D0DF678BE}</author>
    <author>tc={C87ABDE0-E7AD-4415-B3C2-3E9FBAD8B851}</author>
    <author>tc={494C4857-ABBC-4C45-8BD1-2C6D1D43D130}</author>
    <author>tc={99BD3D61-D27B-470D-8267-ADEFB41103FA}</author>
    <author>tc={A109598C-6E0D-44D4-9A31-C6BC98670944}</author>
    <author>tc={03629136-3E21-4272-91B8-C12A502B9740}</author>
    <author>tc={0D096C4A-BE4C-49A6-8F43-4BF236078598}</author>
    <author>tc={256B4ED8-FB1A-452F-B930-81FD89425AA8}</author>
  </authors>
  <commentList>
    <comment ref="B9" authorId="0" shapeId="0" xr:uid="{30694B0C-B7C0-423E-8071-0E901121F13D}">
      <text>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text>
    </comment>
    <comment ref="B10" authorId="1" shapeId="0" xr:uid="{A8AB2132-491C-40FC-8167-A4492DE937F3}">
      <text>
        <t>[Threaded comment]
Your version of Excel allows you to read this threaded comment; however, any edits to it will get removed if the file is opened in a newer version of Excel. Learn more: https://go.microsoft.com/fwlink/?linkid=870924
Comment:
    what does recovery rate means?
Reply:
    The proportion of usable, good-quality product that remains after harvesting, handling, and processing compared to the total originally harvested.</t>
      </text>
    </comment>
    <comment ref="B11" authorId="2" shapeId="0" xr:uid="{AE53CCDD-16F4-4EF0-B5DC-1D7C98B929FB}">
      <text>
        <t>[Threaded comment]
Your version of Excel allows you to read this threaded comment; however, any edits to it will get removed if the file is opened in a newer version of Excel. Learn more: https://go.microsoft.com/fwlink/?linkid=870924
Comment:
    I understood the term transformation ration but I didn't get 4? e.g. if I put 1 kg of fresh mango how much dried mango I get?
Reply:
    I have added the link saying that It takes between 12 to 15 kg of fresh mangoes to produce 1 kg of dried fruit, although some estimates put the conversion rate closer to 10%. Then with 1 kg appying 10% outputs 0.1kg</t>
      </text>
    </comment>
    <comment ref="B13" authorId="3" shapeId="0" xr:uid="{EBEDA288-CA0E-4F7C-9E06-6A8019C6D2DA}">
      <text>
        <t>[Threaded comment]
Your version of Excel allows you to read this threaded comment; however, any edits to it will get removed if the file is opened in a newer version of Excel. Learn more: https://go.microsoft.com/fwlink/?linkid=870924
Comment:
    please indicate the source of the price is there a portal which tracks these information and publish them?
Reply:
    Alright</t>
      </text>
    </comment>
    <comment ref="B15" authorId="4" shapeId="0" xr:uid="{BCC751D3-7955-4B44-B762-AF7FB32E0018}">
      <text>
        <t>[Threaded comment]
Your version of Excel allows you to read this threaded comment; however, any edits to it will get removed if the file is opened in a newer version of Excel. Learn more: https://go.microsoft.com/fwlink/?linkid=870924
Comment:
    what is meant by campaign here?
Reply:
    It refers to the mango active harvesting season in Burkina.</t>
      </text>
    </comment>
    <comment ref="B21" authorId="5" shapeId="0" xr:uid="{753BF6E2-4B3E-4436-9CF2-5A0882711F66}">
      <text>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text>
    </comment>
    <comment ref="B22" authorId="6" shapeId="0" xr:uid="{C7EF18BD-B85D-4954-87E5-07E6AE76388A}">
      <text>
        <t>[Threaded comment]
Your version of Excel allows you to read this threaded comment; however, any edits to it will get removed if the file is opened in a newer version of Excel. Learn more: https://go.microsoft.com/fwlink/?linkid=870924
Comment:
    what does recovery rate means?
Reply:
    The proportion of usable, good-quality product that remains after harvesting, handling, and processing compared to the total originally harvested.</t>
      </text>
    </comment>
    <comment ref="B23" authorId="7" shapeId="0" xr:uid="{D951C372-0506-4115-8AB7-F872A9CFC94B}">
      <text>
        <t>[Threaded comment]
Your version of Excel allows you to read this threaded comment; however, any edits to it will get removed if the file is opened in a newer version of Excel. Learn more: https://go.microsoft.com/fwlink/?linkid=870924
Comment:
    I understood the term transformation ration but I didn't get 4? e.g. if I put 1 kg of fresh mango how much dried mango I get?
Reply:
    I have added the link saying that It takes between 12 to 15 kg of fresh mangoes to produce 1 kg of dried fruit, although some estimates put the conversion rate closer to 10%. Then with 1 kg appying 10% outputs 0.1kg</t>
      </text>
    </comment>
    <comment ref="B25" authorId="8" shapeId="0" xr:uid="{8C26E72D-0395-4FCD-B593-447B3BF16F18}">
      <text>
        <t>[Threaded comment]
Your version of Excel allows you to read this threaded comment; however, any edits to it will get removed if the file is opened in a newer version of Excel. Learn more: https://go.microsoft.com/fwlink/?linkid=870924
Comment:
    please indicate the source of the price is there a portal which tracks these information and publish them?
Reply:
    Alright</t>
      </text>
    </comment>
    <comment ref="B27" authorId="9" shapeId="0" xr:uid="{06AD86B0-7E8C-4A63-8CBD-D8D0C8A8EF7A}">
      <text>
        <t>[Threaded comment]
Your version of Excel allows you to read this threaded comment; however, any edits to it will get removed if the file is opened in a newer version of Excel. Learn more: https://go.microsoft.com/fwlink/?linkid=870924
Comment:
    what is meant by campaign here?
Reply:
    It refers to the mango active harvesting season in Burkina.</t>
      </text>
    </comment>
    <comment ref="B29" authorId="10" shapeId="0" xr:uid="{8023BE6E-9434-439C-8570-AF29F0292DA8}">
      <text>
        <t>[Threaded comment]
Your version of Excel allows you to read this threaded comment; however, any edits to it will get removed if the file is opened in a newer version of Excel. Learn more: https://go.microsoft.com/fwlink/?linkid=870924
Comment:
    make a calculation column in Euro values 
Reply:
    Alright</t>
      </text>
    </comment>
    <comment ref="B30" authorId="11" shapeId="0" xr:uid="{125BEC1E-245A-4C9A-A0A9-4D2B90AD1CA7}">
      <text>
        <t>[Threaded comment]
Your version of Excel allows you to read this threaded comment; however, any edits to it will get removed if the file is opened in a newer version of Excel. Learn more: https://go.microsoft.com/fwlink/?linkid=870924
Comment:
    I am wondering here how did you consider the 1 hectar area, or 3 hectar area, did you consider that 2.2. 2hectar farm could yield 10 ton mango every month and based on that the calculations are made
Reply:
    yes
Reply:
    But i considered the fact that  1 hectar farm could yield 10 ton mango every year</t>
      </text>
    </comment>
    <comment ref="B43" authorId="12" shapeId="0" xr:uid="{9DCD46C4-20AA-4A19-9FC9-6EBAF2BD727D}">
      <text>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text>
    </comment>
    <comment ref="B44" authorId="13" shapeId="0" xr:uid="{50444CC8-3A1A-4EB7-9A54-68F72F882D58}">
      <text>
        <t>[Threaded comment]
Your version of Excel allows you to read this threaded comment; however, any edits to it will get removed if the file is opened in a newer version of Excel. Learn more: https://go.microsoft.com/fwlink/?linkid=870924
Comment:
    what does recovery rate means?
Reply:
    The proportion of usable, good-quality product that remains after harvesting, handling, and processing compared to the total originally harvested.</t>
      </text>
    </comment>
    <comment ref="B45" authorId="14" shapeId="0" xr:uid="{419161D0-89D9-40A4-9BBB-BDBD80D36272}">
      <text>
        <t>[Threaded comment]
Your version of Excel allows you to read this threaded comment; however, any edits to it will get removed if the file is opened in a newer version of Excel. Learn more: https://go.microsoft.com/fwlink/?linkid=870924
Comment:
    I understood the term transformation ration but I didn't get 4? e.g. if I put 1 kg of fresh mango how much dried mango I get?
Reply:
    I have added the link saying that It takes between 12 to 15 kg of fresh mangoes to produce 1 kg of dried fruit, although some estimates put the conversion rate closer to 10%. Then with 1 kg appying 10% outputs 0.1kg</t>
      </text>
    </comment>
    <comment ref="B47" authorId="15" shapeId="0" xr:uid="{0AB6FBF4-C8E3-4369-A0FF-C50D8DD56783}">
      <text>
        <t>[Threaded comment]
Your version of Excel allows you to read this threaded comment; however, any edits to it will get removed if the file is opened in a newer version of Excel. Learn more: https://go.microsoft.com/fwlink/?linkid=870924
Comment:
    please indicate the source of the price is there a portal which tracks these information and publish them?
Reply:
    Alright</t>
      </text>
    </comment>
    <comment ref="B49" authorId="16" shapeId="0" xr:uid="{E7B8C9EB-DDF3-4510-8AAA-AEA5B9437ECA}">
      <text>
        <t>[Threaded comment]
Your version of Excel allows you to read this threaded comment; however, any edits to it will get removed if the file is opened in a newer version of Excel. Learn more: https://go.microsoft.com/fwlink/?linkid=870924
Comment:
    what is meant by campaign here?
Reply:
    It refers to the mango active harvesting season in Burkina.</t>
      </text>
    </comment>
    <comment ref="A107" authorId="17" shapeId="0" xr:uid="{B24F0E4A-1782-4739-8599-C50F0D4C0E24}">
      <text>
        <t>[Threaded comment]
Your version of Excel allows you to read this threaded comment; however, any edits to it will get removed if the file is opened in a newer version of Excel. Learn more: https://go.microsoft.com/fwlink/?linkid=870924
Comment:
    is there a calculation for 2 hectar?
Reply:
    I will include it.</t>
      </text>
    </comment>
    <comment ref="C108" authorId="18" shapeId="0" xr:uid="{49BAD0B2-8887-4A5E-90C8-1F2C46A611EA}">
      <text>
        <t>[Threaded comment]
Your version of Excel allows you to read this threaded comment; however, any edits to it will get removed if the file is opened in a newer version of Excel. Learn more: https://go.microsoft.com/fwlink/?linkid=870924
Comment:
    what is the source of this calculation?
Reply:
    Over 10000 kg per year 8000 kg is usable can pass through the drying process regarding the  recovery rate.</t>
      </text>
    </comment>
    <comment ref="D108" authorId="19" shapeId="0" xr:uid="{F541040C-BEE0-41F7-A593-2E9D0DF678BE}">
      <text>
        <t>[Threaded comment]
Your version of Excel allows you to read this threaded comment; however, any edits to it will get removed if the file is opened in a newer version of Excel. Learn more: https://go.microsoft.com/fwlink/?linkid=870924
Comment:
    how is this calculation made?
Reply:
    I made a different file mentionning the formulas used accessible from the my homepage. I will ensure to include them into the excel sheet for easier understanding.</t>
      </text>
    </comment>
    <comment ref="E108" authorId="20" shapeId="0" xr:uid="{C87ABDE0-E7AD-4415-B3C2-3E9FBAD8B851}">
      <text>
        <t>[Threaded comment]
Your version of Excel allows you to read this threaded comment; however, any edits to it will get removed if the file is opened in a newer version of Excel. Learn more: https://go.microsoft.com/fwlink/?linkid=870924
Comment:
    why is this column increasing? is the price increasing per time?
Reply:
    I sincerely apologize,this was a mistake.</t>
      </text>
    </comment>
    <comment ref="G108" authorId="21" shapeId="0" xr:uid="{494C4857-ABBC-4C45-8BD1-2C6D1D43D130}">
      <text>
        <t>[Threaded comment]
Your version of Excel allows you to read this threaded comment; however, any edits to it will get removed if the file is opened in a newer version of Excel. Learn more: https://go.microsoft.com/fwlink/?linkid=870924
Comment:
    how is this value obtained? please use the formula mode in Excel e.g. =F46+E46*D47
Reply:
    I added it</t>
      </text>
    </comment>
    <comment ref="B126" authorId="22" shapeId="0" xr:uid="{99BD3D61-D27B-470D-8267-ADEFB41103FA}">
      <text>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text>
    </comment>
    <comment ref="B127" authorId="23" shapeId="0" xr:uid="{A109598C-6E0D-44D4-9A31-C6BC98670944}">
      <text>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text>
    </comment>
    <comment ref="B128" authorId="24" shapeId="0" xr:uid="{03629136-3E21-4272-91B8-C12A502B9740}">
      <text>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text>
    </comment>
    <comment ref="B129" authorId="25" shapeId="0" xr:uid="{0D096C4A-BE4C-49A6-8F43-4BF236078598}">
      <text>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text>
    </comment>
    <comment ref="B130" authorId="26" shapeId="0" xr:uid="{256B4ED8-FB1A-452F-B930-81FD89425AA8}">
      <text>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tc={2057BC50-2FB4-4737-A9F7-799BCFC0BEE7}</author>
    <author>tc={C6353A66-E392-49DB-BFDF-8484511A7CC8}</author>
    <author>tc={FD2D9EAE-BDCF-46E7-B61F-ABFAA18D7E3A}</author>
    <author>tc={FA25FB5E-137C-4583-81C6-699DC5C8F135}</author>
    <author>tc={976A7DD3-3766-4FAD-8D8E-E1D7EB52E343}</author>
    <author>tc={8A2FF993-3F77-4D6C-831C-0BC82BCA3533}</author>
  </authors>
  <commentList>
    <comment ref="C4" authorId="0" shapeId="0" xr:uid="{2057BC50-2FB4-4737-A9F7-799BCFC0BEE7}">
      <text>
        <t>[Threaded comment]
Your version of Excel allows you to read this threaded comment; however, any edits to it will get removed if the file is opened in a newer version of Excel. Learn more: https://go.microsoft.com/fwlink/?linkid=870924
Comment:
    is this a small pump? would it be enough for the farm?
Reply:
    Just for the scenario</t>
      </text>
    </comment>
    <comment ref="C5" authorId="1" shapeId="0" xr:uid="{C6353A66-E392-49DB-BFDF-8484511A7CC8}">
      <text>
        <t>[Threaded comment]
Your version of Excel allows you to read this threaded comment; however, any edits to it will get removed if the file is opened in a newer version of Excel. Learn more: https://go.microsoft.com/fwlink/?linkid=870924
Comment:
    why did you assume that the pump is needed only for 4 hours?</t>
      </text>
    </comment>
    <comment ref="B8" authorId="2" shapeId="0" xr:uid="{FD2D9EAE-BDCF-46E7-B61F-ABFAA18D7E3A}">
      <text>
        <t xml:space="preserve">[Threaded comment]
Your version of Excel allows you to read this threaded comment; however, any edits to it will get removed if the file is opened in a newer version of Excel. Learn more: https://go.microsoft.com/fwlink/?linkid=870924
Comment:
    what is meant by Misc??
Reply:
    used for Miscellaneous load </t>
      </text>
    </comment>
    <comment ref="B12" authorId="3" shapeId="0" xr:uid="{FA25FB5E-137C-4583-81C6-699DC5C8F135}">
      <text>
        <t>[Threaded comment]
Your version of Excel allows you to read this threaded comment; however, any edits to it will get removed if the file is opened in a newer version of Excel. Learn more: https://go.microsoft.com/fwlink/?linkid=870924
Comment:
    what does PSH stands for? could you explain?
Reply:
    Peak Sun Hours: equivalent full-power sunlight hours</t>
      </text>
    </comment>
    <comment ref="B15" authorId="4" shapeId="0" xr:uid="{976A7DD3-3766-4FAD-8D8E-E1D7EB52E343}">
      <text>
        <t>[Threaded comment]
Your version of Excel allows you to read this threaded comment; however, any edits to it will get removed if the file is opened in a newer version of Excel. Learn more: https://go.microsoft.com/fwlink/?linkid=870924
Comment:
    what is meant by Derate?
Reply:
    Overall PV system losses (heat, dust, cables)</t>
      </text>
    </comment>
    <comment ref="B33" authorId="5" shapeId="0" xr:uid="{8A2FF993-3F77-4D6C-831C-0BC82BCA3533}">
      <text>
        <t>[Threaded comment]
Your version of Excel allows you to read this threaded comment; however, any edits to it will get removed if the file is opened in a newer version of Excel. Learn more: https://go.microsoft.com/fwlink/?linkid=870924
Comment:
    please add the costs calculations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<sst xmlns="http://schemas.openxmlformats.org/spreadsheetml/2006/main" count="1880" uniqueCount="1415">
  <si>
    <t>Burkina Faso Sustainable Farm (Cohort 2025-2026)</t>
  </si>
  <si>
    <t>equivalence between euro and xof: 1€ = ... xof</t>
  </si>
  <si>
    <t>1 million xof = ...€</t>
  </si>
  <si>
    <t>Simulation</t>
  </si>
  <si>
    <t>Farm</t>
  </si>
  <si>
    <t>Location</t>
  </si>
  <si>
    <t>software simulation</t>
  </si>
  <si>
    <t>Banfora</t>
  </si>
  <si>
    <t>Size (hectare)</t>
  </si>
  <si>
    <t>Investment needed (Xof)</t>
  </si>
  <si>
    <t>//</t>
  </si>
  <si>
    <t>Investment needed (Euro)</t>
  </si>
  <si>
    <t>Comments</t>
  </si>
  <si>
    <t>phase of simulating the whole farm workflow</t>
  </si>
  <si>
    <t>phase during which we have a sustainable farm in Koubri set to produce mangoes permanently that will be dried and sent to Germany</t>
  </si>
  <si>
    <t>Parts of the Farm</t>
  </si>
  <si>
    <t>Descriptions</t>
  </si>
  <si>
    <t>Energy Supply system (Solar PV power plant,Solar Tracking)</t>
  </si>
  <si>
    <t xml:space="preserve">The solar PV power plant sufficiently provide the farm in green energy									</t>
  </si>
  <si>
    <t>Improve energy production efficiency by tracking sun rotation</t>
  </si>
  <si>
    <t>Irrigation system</t>
  </si>
  <si>
    <t>Automatic irrigation to optimize water usage in the farm</t>
  </si>
  <si>
    <t>Crop Storage (Smart Dryer)</t>
  </si>
  <si>
    <t>The Smart Food Dryer efficiently dries fruits and vegetables, preserving nutrients</t>
  </si>
  <si>
    <t>Fencing and Security (Face Recognition)</t>
  </si>
  <si>
    <t>Secure the farm by managing access to critical areas, personnal management(attendance), classify plants as useful or unwanted</t>
  </si>
  <si>
    <t>Visitors Management (No Reesa)</t>
  </si>
  <si>
    <t>An application that provides a translation of the farm services from Moore to German</t>
  </si>
  <si>
    <t>Processing Machines</t>
  </si>
  <si>
    <t>Idendify the farm needs  in terms of machine</t>
  </si>
  <si>
    <t>Plants</t>
  </si>
  <si>
    <t xml:space="preserve">Know which variety and which amount of mangoes we should have in our farm </t>
  </si>
  <si>
    <t>Stage of the Project</t>
  </si>
  <si>
    <t>key figures from subpart</t>
  </si>
  <si>
    <t>simulation</t>
  </si>
  <si>
    <t>Investment needed  (xof)</t>
  </si>
  <si>
    <t>Input needed</t>
  </si>
  <si>
    <t>Sun</t>
  </si>
  <si>
    <t>Output</t>
  </si>
  <si>
    <t>Electricy</t>
  </si>
  <si>
    <t>Infineon chips</t>
  </si>
  <si>
    <t>PSoC™ Edge AI</t>
  </si>
  <si>
    <t>XENSIV™ TLE4971</t>
  </si>
  <si>
    <t xml:space="preserve">XENSIV™ PAS CO₂ sensor     </t>
  </si>
  <si>
    <t xml:space="preserve">XENSIV™ 60GHz radar sensor    </t>
  </si>
  <si>
    <t xml:space="preserve">XENSIV™ DPS310  </t>
  </si>
  <si>
    <t>water</t>
  </si>
  <si>
    <t>smart irrigation</t>
  </si>
  <si>
    <t>capteur XENSIV</t>
  </si>
  <si>
    <t>Bluetoofh Low Energy</t>
  </si>
  <si>
    <t xml:space="preserve">PSoC CAPSENSE </t>
  </si>
  <si>
    <t xml:space="preserve">Investment needed </t>
  </si>
  <si>
    <t>Mangoes</t>
  </si>
  <si>
    <t>Dried  mangoes</t>
  </si>
  <si>
    <t>plant image</t>
  </si>
  <si>
    <t>disease detection</t>
  </si>
  <si>
    <t>XENSIV™ radar</t>
  </si>
  <si>
    <t>speech in Moore or English</t>
  </si>
  <si>
    <t>translation into the other language</t>
  </si>
  <si>
    <t>KT100</t>
  </si>
  <si>
    <t>Infineon’s energy metering ICs</t>
  </si>
  <si>
    <t>XENSIV™ TLV493D</t>
  </si>
  <si>
    <t>XENSIV™ DPS368</t>
  </si>
  <si>
    <t>XENSIV™ TLE4997</t>
  </si>
  <si>
    <t>2 ha FARM</t>
  </si>
  <si>
    <t>Investment needed  (million xof)</t>
  </si>
  <si>
    <t>Investment needed  (Euro)</t>
  </si>
  <si>
    <t>Investment needed   (Euro)</t>
  </si>
  <si>
    <t>speech in Moore</t>
  </si>
  <si>
    <t>translation into German</t>
  </si>
  <si>
    <t>Processing machines</t>
  </si>
  <si>
    <t>Seed</t>
  </si>
  <si>
    <t>XENSIV™ DPS369</t>
  </si>
  <si>
    <t>XENSIV™ TLE4998</t>
  </si>
  <si>
    <t>Comparative analysis among potential farming areas in Burkina Faso</t>
  </si>
  <si>
    <t>Criteria</t>
  </si>
  <si>
    <t>Koubri (Plateau-Central)</t>
  </si>
  <si>
    <t>Bobo-Dioulasso (Hauts-Bassins)</t>
  </si>
  <si>
    <t>Banfora (Cascades)</t>
  </si>
  <si>
    <t>Comments / Security Implications</t>
  </si>
  <si>
    <t>Rainfall (mm/year)</t>
  </si>
  <si>
    <t>750-850</t>
  </si>
  <si>
    <t>950-1100</t>
  </si>
  <si>
    <t>1000-1200</t>
  </si>
  <si>
    <t>Banfora/Bobo slightly better naturally</t>
  </si>
  <si>
    <t>Soil fertility</t>
  </si>
  <si>
    <t>Medium</t>
  </si>
  <si>
    <t>High</t>
  </si>
  <si>
    <t>South/west soils richer</t>
  </si>
  <si>
    <t>Road &amp; infrastructure</t>
  </si>
  <si>
    <t>Good</t>
  </si>
  <si>
    <t>-</t>
  </si>
  <si>
    <t>Access to domestic market</t>
  </si>
  <si>
    <t>Excellent</t>
  </si>
  <si>
    <t>Moderate</t>
  </si>
  <si>
    <t>Koubri top advantage</t>
  </si>
  <si>
    <t>Electricity / energy for drying</t>
  </si>
  <si>
    <t>Labor availability</t>
  </si>
  <si>
    <t>Land availability / cost</t>
  </si>
  <si>
    <t>Medium-high</t>
  </si>
  <si>
    <t>Low</t>
  </si>
  <si>
    <t>Banfora cheapest, but far</t>
  </si>
  <si>
    <t>Transport &amp; logistics cost</t>
  </si>
  <si>
    <t>Koubri wins</t>
  </si>
  <si>
    <t>Terrorism risk</t>
  </si>
  <si>
    <t>Overall mango profitability (with drying)</t>
  </si>
  <si>
    <t>87.5 %</t>
  </si>
  <si>
    <t>Banfora is the best choice since the dried mangoes are supposed to be exported</t>
  </si>
  <si>
    <t>Table 1:  Farm sizing</t>
  </si>
  <si>
    <t>Present value of future cash flows</t>
  </si>
  <si>
    <t>Variety of mango</t>
  </si>
  <si>
    <t>Number of trees</t>
  </si>
  <si>
    <t xml:space="preserve">Tree-to-tree spacing </t>
  </si>
  <si>
    <t>Output(Kg)</t>
  </si>
  <si>
    <t>Years</t>
  </si>
  <si>
    <t>Cashflow</t>
  </si>
  <si>
    <t>Discount Factor</t>
  </si>
  <si>
    <t>Discounted Cashflow</t>
  </si>
  <si>
    <t>Kent</t>
  </si>
  <si>
    <t>8meters</t>
  </si>
  <si>
    <t>Keitt</t>
  </si>
  <si>
    <t>Amelie</t>
  </si>
  <si>
    <t xml:space="preserve">  </t>
  </si>
  <si>
    <t>Table 3: Monitoring the health of trees and fruit</t>
  </si>
  <si>
    <t>Health Level (%)</t>
  </si>
  <si>
    <t>Observation</t>
  </si>
  <si>
    <t>Table 2: water requirement per month in L</t>
  </si>
  <si>
    <t>0% - 20%</t>
  </si>
  <si>
    <t>Trees and fruit under stress, risk of high yield loss</t>
  </si>
  <si>
    <t xml:space="preserve">water requirement </t>
  </si>
  <si>
    <t>all varieties combined</t>
  </si>
  <si>
    <t xml:space="preserve">21 - 40% </t>
  </si>
  <si>
    <t>Weakened trees, affected fruit development</t>
  </si>
  <si>
    <t xml:space="preserve"> water requirement  per tree </t>
  </si>
  <si>
    <t xml:space="preserve">20 m³ per day </t>
  </si>
  <si>
    <t>41 - 60%</t>
  </si>
  <si>
    <t xml:space="preserve"> Trees in average health, fruit growing normally</t>
  </si>
  <si>
    <t xml:space="preserve">61 - 80% </t>
  </si>
  <si>
    <t>Healthy trees, high-quality fruit</t>
  </si>
  <si>
    <t>81 - 100%</t>
  </si>
  <si>
    <t xml:space="preserve"> Very healthy trees, excellent fruit</t>
  </si>
  <si>
    <t>Cashflow Parameters</t>
  </si>
  <si>
    <t>annual income</t>
  </si>
  <si>
    <t>cashflow</t>
  </si>
  <si>
    <t>Table 4: Equipment Pricing (Fixed cost)</t>
  </si>
  <si>
    <t>Table 5: Variable costs</t>
  </si>
  <si>
    <t xml:space="preserve">Financial Analysis </t>
  </si>
  <si>
    <t>Discount factor</t>
  </si>
  <si>
    <t>Equipment</t>
  </si>
  <si>
    <t xml:space="preserve">2 ha </t>
  </si>
  <si>
    <t>Description</t>
  </si>
  <si>
    <t>Table 6: Purchase price of plots</t>
  </si>
  <si>
    <t xml:space="preserve">Initial equipment cost on 5years </t>
  </si>
  <si>
    <t>Tractor / Power tiller</t>
  </si>
  <si>
    <t>Maintenance (routine)</t>
  </si>
  <si>
    <t>Small, regular repairs on equipment</t>
  </si>
  <si>
    <t>Surface area</t>
  </si>
  <si>
    <t xml:space="preserve">Operational Cost per year </t>
  </si>
  <si>
    <t>Motor pump / Irrigation</t>
  </si>
  <si>
    <t>Packaging materials</t>
  </si>
  <si>
    <t>Bags, crates, and other packaging</t>
  </si>
  <si>
    <t xml:space="preserve">Land </t>
  </si>
  <si>
    <t xml:space="preserve">Operational Cost per 5 years </t>
  </si>
  <si>
    <t>Planting and harvesting tools</t>
  </si>
  <si>
    <t>Irrigation cost</t>
  </si>
  <si>
    <t>Cost of pumped or purchased water</t>
  </si>
  <si>
    <t xml:space="preserve">Administrative Fees </t>
  </si>
  <si>
    <t xml:space="preserve">Investment Cost per 5 years </t>
  </si>
  <si>
    <t>Post-harvest equipment</t>
  </si>
  <si>
    <t>Fuel</t>
  </si>
  <si>
    <t>Fuel for tractor, motor pump, and irrigation</t>
  </si>
  <si>
    <t xml:space="preserve">Labor over 5 years </t>
  </si>
  <si>
    <t>Total income over 5 years</t>
  </si>
  <si>
    <t xml:space="preserve">Inputs (fertilizers, seeds)	 </t>
  </si>
  <si>
    <t>Transport costs</t>
  </si>
  <si>
    <t>Transport of produce to markets or collection centers</t>
  </si>
  <si>
    <t xml:space="preserve">Equipment </t>
  </si>
  <si>
    <t xml:space="preserve">plots Investissement total </t>
  </si>
  <si>
    <t xml:space="preserve">Total Price of equipment </t>
  </si>
  <si>
    <t>Seasonal labor</t>
  </si>
  <si>
    <t>Temporary labor for planting, weeding, and harvesting</t>
  </si>
  <si>
    <t xml:space="preserve">Total Investment </t>
  </si>
  <si>
    <t>ROI (%)</t>
  </si>
  <si>
    <t xml:space="preserve">	16.34%</t>
  </si>
  <si>
    <t>Payback period (years)</t>
  </si>
  <si>
    <t xml:space="preserve"> </t>
  </si>
  <si>
    <t>Depreciation of machinery</t>
  </si>
  <si>
    <t xml:space="preserve">Cost per kg of Mango </t>
  </si>
  <si>
    <t>Item</t>
  </si>
  <si>
    <t xml:space="preserve">Total Value </t>
  </si>
  <si>
    <t>Lifespan (years)</t>
  </si>
  <si>
    <t>Annual Cost</t>
  </si>
  <si>
    <t>Variety</t>
  </si>
  <si>
    <t>Yield 2 ha (kg/year)</t>
  </si>
  <si>
    <t>Cost per kg</t>
  </si>
  <si>
    <t>Machinery  and equipment</t>
  </si>
  <si>
    <t>Operational Costs</t>
  </si>
  <si>
    <t>Total Annual Cost</t>
  </si>
  <si>
    <t>...</t>
  </si>
  <si>
    <t>Cost per Mango</t>
  </si>
  <si>
    <t>`</t>
  </si>
  <si>
    <t>Average Weight (kg)</t>
  </si>
  <si>
    <t>Number of Mangoes/year</t>
  </si>
  <si>
    <t>Table 8: final estimate for a 2-hectare farm</t>
  </si>
  <si>
    <t>53.8</t>
  </si>
  <si>
    <t>64.6</t>
  </si>
  <si>
    <t>Step</t>
  </si>
  <si>
    <t>Values</t>
  </si>
  <si>
    <t>Number of Trees to Plant</t>
  </si>
  <si>
    <t>Total trees on 2 hectares</t>
  </si>
  <si>
    <t xml:space="preserve">200 trees </t>
  </si>
  <si>
    <t>Spacing</t>
  </si>
  <si>
    <t>8 meters between trees</t>
  </si>
  <si>
    <t>Planting Period</t>
  </si>
  <si>
    <t>Best planting time</t>
  </si>
  <si>
    <t>Beginning of the rainy season</t>
  </si>
  <si>
    <t>Growth phases</t>
  </si>
  <si>
    <t>Years 0 to 2: establishment         Years 3 to 5: gradual production                                Years 5 to 7: full production</t>
  </si>
  <si>
    <t>Investment Costs</t>
  </si>
  <si>
    <t>Land purchase and Administrative fees</t>
  </si>
  <si>
    <t>Labor and equipment</t>
  </si>
  <si>
    <t>32 700 000</t>
  </si>
  <si>
    <t>Revenue and Operating</t>
  </si>
  <si>
    <t>Total revenue (5 years)</t>
  </si>
  <si>
    <t>130 900 000</t>
  </si>
  <si>
    <t>Annual operating cost</t>
  </si>
  <si>
    <t>4 400 000</t>
  </si>
  <si>
    <t>Average annual net profit</t>
  </si>
  <si>
    <t>21 780 000</t>
  </si>
  <si>
    <t>ROI and payback period</t>
  </si>
  <si>
    <t xml:space="preserve">ROI </t>
  </si>
  <si>
    <t>16.3% over 5 years</t>
  </si>
  <si>
    <t>Payback period</t>
  </si>
  <si>
    <t>5.2 years</t>
  </si>
  <si>
    <t>Bibliography</t>
  </si>
  <si>
    <t>Planting &amp; Harvesting Tools</t>
  </si>
  <si>
    <t>Post-Harvest Equipment</t>
  </si>
  <si>
    <t>Table 1 : Surface area, Number of trees and Tree spacing</t>
  </si>
  <si>
    <t>Estimated Qty</t>
  </si>
  <si>
    <t xml:space="preserve">Unit Price </t>
  </si>
  <si>
    <t>Total</t>
  </si>
  <si>
    <t>Unit Price</t>
  </si>
  <si>
    <t>https://yearbook.mango.co.za/wp-content/uploads/2024/10/Pg-34-39-Tree-spacing-trends-and-options-for-yield-improvement-in-mango.pdf</t>
  </si>
  <si>
    <t>Steel hoe</t>
  </si>
  <si>
    <t>Stainless steel sorting table</t>
  </si>
  <si>
    <t>https://wikifarmer.com/library/en/article/mango-yield-harvest-and-post-harvest-handling</t>
  </si>
  <si>
    <t>branch cutter</t>
  </si>
  <si>
    <t>brushing unit</t>
  </si>
  <si>
    <t>Pruning shears</t>
  </si>
  <si>
    <t xml:space="preserve">Belt conveyor </t>
  </si>
  <si>
    <t>Table 3 : Monitoring of tree health and water requirements</t>
  </si>
  <si>
    <t>Nursery trays (50 pcs)</t>
  </si>
  <si>
    <t>Packing scale</t>
  </si>
  <si>
    <t>https://www.jains.com/Company/news/blog/HOWMUCHWATERDOESMYCROPNEEDPart2PerennialCrops1Mango.htm</t>
  </si>
  <si>
    <t>Manual row transplanter</t>
  </si>
  <si>
    <t>Dryer</t>
  </si>
  <si>
    <t>Table 2 : Water requirement per month (in litres)</t>
  </si>
  <si>
    <t>Wheelbarrow</t>
  </si>
  <si>
    <t>Impulse sealer</t>
  </si>
  <si>
    <t>Thermal motorized sprayer 25 L</t>
  </si>
  <si>
    <t>Manual pallet jack</t>
  </si>
  <si>
    <t>Others references</t>
  </si>
  <si>
    <t xml:space="preserve">mini tractor </t>
  </si>
  <si>
    <t>Plastic crates</t>
  </si>
  <si>
    <t>This repport  analyzes the dried mango value chain, including export opportunities, processing technologies, and quality standards.</t>
  </si>
  <si>
    <t>Motor pump + hose kit</t>
  </si>
  <si>
    <t>https://resources.colead.link/en/system/files/file_fields/2023/10/04/02-driedmangostudyweb.pdf</t>
  </si>
  <si>
    <t xml:space="preserve">Basic drip irrigation kit </t>
  </si>
  <si>
    <t>This market explores the european dried mango market, highlighting consumer trends, import data, and quality requirements for exporters</t>
  </si>
  <si>
    <t>https://www.cbi.eu/market-information/processed-fruit-vegetables-edible-nuts/dried-mango/market-potential</t>
  </si>
  <si>
    <t>This scientific guide presents the principles of food drying, heat transfer, and the impact of temperature on product quality</t>
  </si>
  <si>
    <t>https://iufost.org/iufostftp/Guide%20to%20Drying-Part1.pdf</t>
  </si>
  <si>
    <t>This link describes different tree spacing systems and their effects on yield, sunlight exposure, and mechanization efficiency</t>
  </si>
  <si>
    <t>https://www.industry.mangoes.net.au/cmsb/media/6-bpr-final_choosing-tree-spacing_upload.pdf</t>
  </si>
  <si>
    <t>This is a research study analyzing how irrigation levels and nutrient management affect mango tree growth and fruit yield</t>
  </si>
  <si>
    <t>https://openknowledge.fao.org/server/api/core/bitstreams/849d2872-9429-46dd-a919-a9f99c197031/content</t>
  </si>
  <si>
    <t>This is details the amount of water required per mango tree under different climatic and soil conditions, and outlines irrigation management methods</t>
  </si>
  <si>
    <t>https://agritrop.cirad.fr/573091/1/document_573091.pdf</t>
  </si>
  <si>
    <t>Summary Table – 2 Hectares Smart Irrigation System</t>
  </si>
  <si>
    <t xml:space="preserve">Parameters </t>
  </si>
  <si>
    <t>Symbol / Unit</t>
  </si>
  <si>
    <t>Value</t>
  </si>
  <si>
    <t>Comment / Description</t>
  </si>
  <si>
    <t>Definitions</t>
  </si>
  <si>
    <t>Input parameters and definitions</t>
  </si>
  <si>
    <t>Regional Irrigation Energy &amp; Cost Comparison (180 days)</t>
  </si>
  <si>
    <t>Area</t>
  </si>
  <si>
    <t>A [ha]</t>
  </si>
  <si>
    <t>Cultivated surface</t>
  </si>
  <si>
    <t>Term / Abbreviation</t>
  </si>
  <si>
    <t>Definition</t>
  </si>
  <si>
    <t>Parameter</t>
  </si>
  <si>
    <t>Symbol</t>
  </si>
  <si>
    <t>Unit</t>
  </si>
  <si>
    <t>Region</t>
  </si>
  <si>
    <t>Daily Water (m³/day)</t>
  </si>
  <si>
    <t>Energy (kWh/day)</t>
  </si>
  <si>
    <t>Annual Energy (kWh/year)</t>
  </si>
  <si>
    <t>Annual Cost (CFA/year)</t>
  </si>
  <si>
    <t>Dry days per year</t>
  </si>
  <si>
    <t>N [trees]</t>
  </si>
  <si>
    <t>8 m spacing</t>
  </si>
  <si>
    <t>Area [ha]</t>
  </si>
  <si>
    <t>Cultivated surface area in hectares</t>
  </si>
  <si>
    <t>Area (ha)</t>
  </si>
  <si>
    <t>A</t>
  </si>
  <si>
    <t>ha</t>
  </si>
  <si>
    <t>Total cultivated area</t>
  </si>
  <si>
    <t>Koubri</t>
  </si>
  <si>
    <t>Water demand per tree</t>
  </si>
  <si>
    <t>Wₜ [L/day]</t>
  </si>
  <si>
    <t>Mature mango tree</t>
  </si>
  <si>
    <t>Trees</t>
  </si>
  <si>
    <t>Number of mango trees</t>
  </si>
  <si>
    <t>S</t>
  </si>
  <si>
    <t xml:space="preserve">m </t>
  </si>
  <si>
    <t>Distance between mango trees</t>
  </si>
  <si>
    <t>Bobo</t>
  </si>
  <si>
    <t>Total water demand</t>
  </si>
  <si>
    <t>[m³/day]</t>
  </si>
  <si>
    <t>200 × 100 / 1000</t>
  </si>
  <si>
    <t>Water demand [m³/d]</t>
  </si>
  <si>
    <t>Required irrigation water per day in cubic meters</t>
  </si>
  <si>
    <t>N</t>
  </si>
  <si>
    <t>tree</t>
  </si>
  <si>
    <t>Based on 8 m spacing (2 ha → 200 trees)</t>
  </si>
  <si>
    <t>Irrigation hours/day</t>
  </si>
  <si>
    <t>t [h/day]</t>
  </si>
  <si>
    <t>Daily irrigation duration</t>
  </si>
  <si>
    <t>Q [m³/h]</t>
  </si>
  <si>
    <t>Flow rate in cubic meters per hour</t>
  </si>
  <si>
    <t>Wt</t>
  </si>
  <si>
    <t>L/day</t>
  </si>
  <si>
    <t>Estimated for mature mango trees in dry season</t>
  </si>
  <si>
    <t>Kaya</t>
  </si>
  <si>
    <t>Flow rate</t>
  </si>
  <si>
    <t>20 ÷ 5</t>
  </si>
  <si>
    <t>Q [L/min]</t>
  </si>
  <si>
    <t>Flow rate in liters per minute</t>
  </si>
  <si>
    <t>Conversion factor</t>
  </si>
  <si>
    <t>Liters to cubic meters</t>
  </si>
  <si>
    <t>Ouahigouya</t>
  </si>
  <si>
    <t>Hydraulic power</t>
  </si>
  <si>
    <t>Pₕ [kW]</t>
  </si>
  <si>
    <t>0.378</t>
  </si>
  <si>
    <t>(ρ × g × Q × H)/3.6×10⁶</t>
  </si>
  <si>
    <t>P_h [kW]</t>
  </si>
  <si>
    <t>Hydraulic pump power</t>
  </si>
  <si>
    <t>t</t>
  </si>
  <si>
    <t>h/day</t>
  </si>
  <si>
    <t>Electric power</t>
  </si>
  <si>
    <t>Pₑ [kW]</t>
  </si>
  <si>
    <t>0.44</t>
  </si>
  <si>
    <t>Considering 85% efficiency</t>
  </si>
  <si>
    <t>P_e [kW]</t>
  </si>
  <si>
    <t>Electric pump power required</t>
  </si>
  <si>
    <t>System efficiency</t>
  </si>
  <si>
    <t>η</t>
  </si>
  <si>
    <t>%</t>
  </si>
  <si>
    <t>Includes hydraulic &amp; electrical losses</t>
  </si>
  <si>
    <t>Solar Savings vs Grid Cost</t>
  </si>
  <si>
    <t>Data</t>
  </si>
  <si>
    <t>Source</t>
  </si>
  <si>
    <t>Link</t>
  </si>
  <si>
    <t>PV size</t>
  </si>
  <si>
    <t>[kWp]</t>
  </si>
  <si>
    <t>0.52</t>
  </si>
  <si>
    <t>For 1 kW pump use</t>
  </si>
  <si>
    <t>PV [kWp]</t>
  </si>
  <si>
    <t>Photovoltaic power peak required</t>
  </si>
  <si>
    <t>Pump head</t>
  </si>
  <si>
    <t>H</t>
  </si>
  <si>
    <t>m</t>
  </si>
  <si>
    <t>Static + dynamic head estimation</t>
  </si>
  <si>
    <t>Grid Cost (CFA/year)</t>
  </si>
  <si>
    <t>Solar OPEX (CFA/year)</t>
  </si>
  <si>
    <t>Annual Savings (CFA/year)</t>
  </si>
  <si>
    <t>Burkina rainfall &amp; seasonal calendar</t>
  </si>
  <si>
    <t>DG-Météo Burkina Faso</t>
  </si>
  <si>
    <t>https://www.meteo.bf/</t>
  </si>
  <si>
    <t>PV panels</t>
  </si>
  <si>
    <t>[units]</t>
  </si>
  <si>
    <t>400 Wp each</t>
  </si>
  <si>
    <t>MPPT</t>
  </si>
  <si>
    <t>Maximum Power Point Tracking (PV controller technology)</t>
  </si>
  <si>
    <t>Tank capacity</t>
  </si>
  <si>
    <t>m³</t>
  </si>
  <si>
    <t>Storage for 1.5-day buffer (30 m³ for 2-ha orchard)</t>
  </si>
  <si>
    <t>Sahel rainfall &amp; ET₀</t>
  </si>
  <si>
    <t>AGRHYMET Regional Centre</t>
  </si>
  <si>
    <t>https://www.agrhymet.ne/</t>
  </si>
  <si>
    <t>[m³]</t>
  </si>
  <si>
    <t>1.5-day storage buffer</t>
  </si>
  <si>
    <t>Smart add-ons</t>
  </si>
  <si>
    <t>IoT devices, sensors, controllers, and communication modules for smart irrigation management (e.g., soil moisture sensors, flow meters, GSM/Wi-Fi monitoring, automated scheduling)</t>
  </si>
  <si>
    <t>Water density</t>
  </si>
  <si>
    <t>ρ</t>
  </si>
  <si>
    <t>kg/m³</t>
  </si>
  <si>
    <t>Density of water</t>
  </si>
  <si>
    <t>ET₀ &amp; crop coefficients</t>
  </si>
  <si>
    <t>FAO ClimWat / AquaCrop</t>
  </si>
  <si>
    <t>https://www.fao.org/land-water/databases-and-software/climwat-for-cropwat/en/</t>
  </si>
  <si>
    <t>Total investment cost</t>
  </si>
  <si>
    <t>[€]</t>
  </si>
  <si>
    <t>CAPEX (equipment only)</t>
  </si>
  <si>
    <t>Gravity</t>
  </si>
  <si>
    <t>g</t>
  </si>
  <si>
    <t>m/s²</t>
  </si>
  <si>
    <t>Acceleration due to gravity</t>
  </si>
  <si>
    <t>Mango water use</t>
  </si>
  <si>
    <t>FAO Irrigation Paper 56</t>
  </si>
  <si>
    <t>https://www.fao.org/3/x0490e/x0490e0i.htm</t>
  </si>
  <si>
    <t>[years]</t>
  </si>
  <si>
    <t>Q</t>
  </si>
  <si>
    <t>m³/h</t>
  </si>
  <si>
    <t>Hourly discharge to meet water demand</t>
  </si>
  <si>
    <t>Sahel dry-season climate maps</t>
  </si>
  <si>
    <t>CILSS</t>
  </si>
  <si>
    <t>https://cilss.int/</t>
  </si>
  <si>
    <t>Annual savings</t>
  </si>
  <si>
    <t>Water &amp; fuel cost savings</t>
  </si>
  <si>
    <t>Solar pumping energy cost</t>
  </si>
  <si>
    <t>ECREEE / ECOWAS energy data</t>
  </si>
  <si>
    <t>https://www.ecowas.int/</t>
  </si>
  <si>
    <t>Project lifetime</t>
  </si>
  <si>
    <t>PV and system lifespan</t>
  </si>
  <si>
    <t>Calculation with 2 hectares scenarios</t>
  </si>
  <si>
    <t>Scenarios</t>
  </si>
  <si>
    <t>Water demand (m³ /day)</t>
  </si>
  <si>
    <t>Water demand (m³/ week)</t>
  </si>
  <si>
    <t>Flow Q (m³/h)</t>
  </si>
  <si>
    <t>Flow Q (L/min)</t>
  </si>
  <si>
    <t>Hydraulic power P_h (kW)</t>
  </si>
  <si>
    <t>Electric power P_e (kW)</t>
  </si>
  <si>
    <t>Pump required (kWh)</t>
  </si>
  <si>
    <t>PV size (kWp)</t>
  </si>
  <si>
    <t>PV Panels (400 Wp)</t>
  </si>
  <si>
    <t>Investment Cost</t>
  </si>
  <si>
    <t>2 hectares</t>
  </si>
  <si>
    <t>Cost calculations</t>
  </si>
  <si>
    <t>Financial analysis</t>
  </si>
  <si>
    <t>Seasonal  Irrigation Plan (Burkina Faso – Mango Zone)</t>
  </si>
  <si>
    <t>Seasonal Water Demand</t>
  </si>
  <si>
    <t>SWOT Analysis – 2-hectare Solar-Powered Smart Irrigation System</t>
  </si>
  <si>
    <t>Material</t>
  </si>
  <si>
    <t>Quantity</t>
  </si>
  <si>
    <t>Unit cost (CFA)</t>
  </si>
  <si>
    <t>Total cost (CFA)</t>
  </si>
  <si>
    <t xml:space="preserve">Unit </t>
  </si>
  <si>
    <t>Comment</t>
  </si>
  <si>
    <t>Season</t>
  </si>
  <si>
    <t>Period (months)</t>
  </si>
  <si>
    <t>Avg monthly rainfall (mm)</t>
  </si>
  <si>
    <t>Irrigation frequency (events/week)</t>
  </si>
  <si>
    <t>Daily water demand (m³/day)</t>
  </si>
  <si>
    <t>Weekly water demand (m³/week)</t>
  </si>
  <si>
    <t>Notes</t>
  </si>
  <si>
    <t>Source / Reference</t>
  </si>
  <si>
    <t>fₛ</t>
  </si>
  <si>
    <t>Water demand (m³/day)</t>
  </si>
  <si>
    <t>Weekly demand (m³/week)</t>
  </si>
  <si>
    <t>Tank (30 m³)</t>
  </si>
  <si>
    <t>unit</t>
  </si>
  <si>
    <t>Annual water cost saved</t>
  </si>
  <si>
    <t>€/year</t>
  </si>
  <si>
    <t>Estimated savings vs. manual irrigation labor and diesel pump use</t>
  </si>
  <si>
    <t>Rainy (Hivernage)</t>
  </si>
  <si>
    <t>May – October</t>
  </si>
  <si>
    <t>120–300</t>
  </si>
  <si>
    <t>6–8</t>
  </si>
  <si>
    <t>42–56</t>
  </si>
  <si>
    <t>Rain-fed; minimal irrigation needed</t>
  </si>
  <si>
    <t>DG-Météo Burkina Faso (2023), AGRHYMET</t>
  </si>
  <si>
    <t>Rainy (May–Oct)</t>
  </si>
  <si>
    <r>
      <t xml:space="preserve">=20×0.5 → </t>
    </r>
    <r>
      <rPr>
        <b/>
        <sz val="14"/>
        <color theme="1"/>
        <rFont val="Times New Roman"/>
      </rPr>
      <t>10 m³/day</t>
    </r>
  </si>
  <si>
    <t>Strengths</t>
  </si>
  <si>
    <t>100% renewable and autonomous — powered by solar energy, no dependency on fuel or grid.</t>
  </si>
  <si>
    <t>Weaknesses</t>
  </si>
  <si>
    <t>High initial investment (~5,000–6,000 €).</t>
  </si>
  <si>
    <t>Drip irrigation</t>
  </si>
  <si>
    <t>Investment cost</t>
  </si>
  <si>
    <t>€</t>
  </si>
  <si>
    <t>Total CAPEX (equipment only)</t>
  </si>
  <si>
    <t>Post-Rainy (Transition)</t>
  </si>
  <si>
    <t>October – November</t>
  </si>
  <si>
    <t>50–100</t>
  </si>
  <si>
    <t>2–3</t>
  </si>
  <si>
    <t>10–12</t>
  </si>
  <si>
    <t>70–84</t>
  </si>
  <si>
    <t>Light irrigation to maintain soil moisture</t>
  </si>
  <si>
    <t>Transition (Oct–Nov)</t>
  </si>
  <si>
    <r>
      <t xml:space="preserve">=20×0.8 → </t>
    </r>
    <r>
      <rPr>
        <b/>
        <sz val="14"/>
        <color theme="1"/>
        <rFont val="Times New Roman"/>
      </rPr>
      <t>16 m³/day</t>
    </r>
  </si>
  <si>
    <t>Reduces water consumption by up to 40% with smart drip and moisture sensors.</t>
  </si>
  <si>
    <t>Requires technical knowledge for installation and maintenance.</t>
  </si>
  <si>
    <t>PV panels (400 Wp, JinkoSolar / Trina)</t>
  </si>
  <si>
    <t xml:space="preserve">Annual maintenance </t>
  </si>
  <si>
    <t>Estimated cost for cleaning filters, IoT subscription, small replacements</t>
  </si>
  <si>
    <t>Cool Dry (Early Dry)</t>
  </si>
  <si>
    <t>November – February</t>
  </si>
  <si>
    <t>0–20</t>
  </si>
  <si>
    <t>3–4</t>
  </si>
  <si>
    <t>12–15</t>
  </si>
  <si>
    <t>84–105</t>
  </si>
  <si>
    <t>Moderate irrigation; tree recovery phase</t>
  </si>
  <si>
    <t>INERA Bobo-Dioulasso</t>
  </si>
  <si>
    <t>Cool Dry (Nov–Feb)</t>
  </si>
  <si>
    <r>
      <t xml:space="preserve">=20×0.9 → </t>
    </r>
    <r>
      <rPr>
        <b/>
        <sz val="14"/>
        <color theme="1"/>
        <rFont val="Times New Roman"/>
      </rPr>
      <t>18 m³/day</t>
    </r>
  </si>
  <si>
    <t>Low operating cost after installation.</t>
  </si>
  <si>
    <t>Smart sensors and IoT systems may face connectivity issues in remote areas.</t>
  </si>
  <si>
    <t>Pump (1 kW DC solar pump)</t>
  </si>
  <si>
    <t>This is acceptable for rural solar investment. It means that the farmer will get the investment money back in 7.2 years</t>
  </si>
  <si>
    <t>Hot Dry (Peak Dry)</t>
  </si>
  <si>
    <t>March – April</t>
  </si>
  <si>
    <t>5–6</t>
  </si>
  <si>
    <t>18–20</t>
  </si>
  <si>
    <t>126–140</t>
  </si>
  <si>
    <t>Maximum irrigation demand period</t>
  </si>
  <si>
    <t>CILSS ClimData Burkina</t>
  </si>
  <si>
    <t>Hot Dry (Mar–Apr)</t>
  </si>
  <si>
    <r>
      <t xml:space="preserve">=20×1.0 → </t>
    </r>
    <r>
      <rPr>
        <b/>
        <sz val="14"/>
        <color theme="1"/>
        <rFont val="Times New Roman"/>
      </rPr>
      <t>20 m³/day</t>
    </r>
  </si>
  <si>
    <t>Adapted to local mango farms and scalable for larger farms.</t>
  </si>
  <si>
    <t>Efficiency depends on sunlight availability (limited operation during cloudy days)</t>
  </si>
  <si>
    <t>Filtration + MPPT</t>
  </si>
  <si>
    <t>set</t>
  </si>
  <si>
    <t>Annuak net saving</t>
  </si>
  <si>
    <t>Long equipment lifespan (PV panels ≈ 25 years, pump ≈ 10 years)</t>
  </si>
  <si>
    <t>Threats</t>
  </si>
  <si>
    <t>Equipment theft or vandalism in rural areas.</t>
  </si>
  <si>
    <t>years</t>
  </si>
  <si>
    <t>Opportunities</t>
  </si>
  <si>
    <t>Increasing demand for sustainable agriculture solutions in West Africa.</t>
  </si>
  <si>
    <t>Fluctuations in market prices for imported equipment (PV panels, pumps).</t>
  </si>
  <si>
    <t>TOTAL</t>
  </si>
  <si>
    <t>_</t>
  </si>
  <si>
    <t>Pump replacement</t>
  </si>
  <si>
    <t>Water Needs by Growth Stage</t>
  </si>
  <si>
    <t>Irrigation strategy</t>
  </si>
  <si>
    <t>Can be extended to other crops or community irrigation schemes.</t>
  </si>
  <si>
    <t>Limited availability of spare parts and qualified technicians locally.</t>
  </si>
  <si>
    <t>MPPT/Controller replacement</t>
  </si>
  <si>
    <t>Tree Age</t>
  </si>
  <si>
    <t>Growth Stage</t>
  </si>
  <si>
    <t>Estimated Water Demand (L/day/tree)</t>
  </si>
  <si>
    <t>Irrigation Frequency</t>
  </si>
  <si>
    <t>Frequency</t>
  </si>
  <si>
    <t>Dose per tree per event (L)</t>
  </si>
  <si>
    <t>Total per event (m3)</t>
  </si>
  <si>
    <t>Pump runtime per event</t>
  </si>
  <si>
    <t>Pump runtime per day</t>
  </si>
  <si>
    <t>Tank sufficiency</t>
  </si>
  <si>
    <t>Possible subsidies or financing from green energy or agricultural development programs.</t>
  </si>
  <si>
    <t>Climate variability may affect long-term water availability.</t>
  </si>
  <si>
    <t>Smart add-on replacement</t>
  </si>
  <si>
    <t>0–2 years</t>
  </si>
  <si>
    <t>Establishment</t>
  </si>
  <si>
    <t>5–10 L</t>
  </si>
  <si>
    <t>Every 2–3 days</t>
  </si>
  <si>
    <t>Frequent, low-volume irrigation for root development</t>
  </si>
  <si>
    <t>daily</t>
  </si>
  <si>
    <t>Opportunity to integrate with water recycling and AI-based scheduling for future upgrades.</t>
  </si>
  <si>
    <t>FINANCIAL ANALYSIS – WITH FORMULAS</t>
  </si>
  <si>
    <t>Total replacement cost</t>
  </si>
  <si>
    <t>2–5 years</t>
  </si>
  <si>
    <t>Growth</t>
  </si>
  <si>
    <t>20–50 L</t>
  </si>
  <si>
    <t>Every 3–5 days</t>
  </si>
  <si>
    <t>Higher demand during canopy expansion</t>
  </si>
  <si>
    <t>every 2 days</t>
  </si>
  <si>
    <t>Formula (Excel)</t>
  </si>
  <si>
    <t>Total saving over 25 years of the project</t>
  </si>
  <si>
    <t>5–10 years</t>
  </si>
  <si>
    <t>Mature trees</t>
  </si>
  <si>
    <t>80–120 L</t>
  </si>
  <si>
    <t>Every 5–7 days</t>
  </si>
  <si>
    <t>Stable root system; main fruit-bearing stage</t>
  </si>
  <si>
    <t>every 5 days</t>
  </si>
  <si>
    <t>Daily energy consumption</t>
  </si>
  <si>
    <t>kWh/day</t>
  </si>
  <si>
    <t>=0.44*5</t>
  </si>
  <si>
    <t>Pₑ × irrigation time</t>
  </si>
  <si>
    <t>Total project cost</t>
  </si>
  <si>
    <t>&gt;10 years</t>
  </si>
  <si>
    <t>Full production</t>
  </si>
  <si>
    <t>100–150 L</t>
  </si>
  <si>
    <t>Peak during fruit formation and dry season</t>
  </si>
  <si>
    <t>Annual energy (old calculation)</t>
  </si>
  <si>
    <t>kWh/year</t>
  </si>
  <si>
    <t>=2.2*365</t>
  </si>
  <si>
    <t>Theoric</t>
  </si>
  <si>
    <t>Reference annual energy (realistic)</t>
  </si>
  <si>
    <t>(Fixed value)</t>
  </si>
  <si>
    <t>Based on real use</t>
  </si>
  <si>
    <t>Total Farm Water Demand (From planting to dried mango production)</t>
  </si>
  <si>
    <t>Water Demand per Region</t>
  </si>
  <si>
    <t>Seasonal coefficient average fₛ</t>
  </si>
  <si>
    <t>—</t>
  </si>
  <si>
    <t>=AVERAGE(0.5,0.8,0.9,1)</t>
  </si>
  <si>
    <t>Average of 4 seasons</t>
  </si>
  <si>
    <t>Updated Financial Analysis</t>
  </si>
  <si>
    <t>Stage</t>
  </si>
  <si>
    <t>Water Demand</t>
  </si>
  <si>
    <t>Formula</t>
  </si>
  <si>
    <t>Result</t>
  </si>
  <si>
    <t>ET₀ Level</t>
  </si>
  <si>
    <t>fₛ (coefficient)</t>
  </si>
  <si>
    <t>Daily Water Demand (m³/day)</t>
  </si>
  <si>
    <t>Weekly (m³/week)</t>
  </si>
  <si>
    <t>Sources</t>
  </si>
  <si>
    <t>Seasonal energy consumption</t>
  </si>
  <si>
    <t>=469 * 0.8</t>
  </si>
  <si>
    <t xml:space="preserve">Seasonal ajustement </t>
  </si>
  <si>
    <t>Orchard irrigation (annual)</t>
  </si>
  <si>
    <t>20 m³/day × 245 dry days</t>
  </si>
  <si>
    <t>= 4900 m³/year</t>
  </si>
  <si>
    <t>Koubri (Centre)</t>
  </si>
  <si>
    <t>700–900</t>
  </si>
  <si>
    <t>DG-Météo, FAO</t>
  </si>
  <si>
    <t>Économie vs. manual/diesel</t>
  </si>
  <si>
    <t>Equipment only</t>
  </si>
  <si>
    <t>Washing mangoes</t>
  </si>
  <si>
    <t>3 L/kg</t>
  </si>
  <si>
    <t>For 10 tons → 30 m³</t>
  </si>
  <si>
    <t>1000–1200</t>
  </si>
  <si>
    <t>ANAM, FAO ClimWat</t>
  </si>
  <si>
    <t>Annual energy saving</t>
  </si>
  <si>
    <t>=(469 - 281)*0.25</t>
  </si>
  <si>
    <t>0.25 €/kWh</t>
  </si>
  <si>
    <t>Maintenance</t>
  </si>
  <si>
    <t>Filters, IoT service</t>
  </si>
  <si>
    <t>Slicing &amp; processing</t>
  </si>
  <si>
    <t>1,5 L/kg</t>
  </si>
  <si>
    <t>= 15 m³</t>
  </si>
  <si>
    <t>1100–1300</t>
  </si>
  <si>
    <t>AGRHYMET</t>
  </si>
  <si>
    <t>Updated annual net saving</t>
  </si>
  <si>
    <t>=800 + 50</t>
  </si>
  <si>
    <t>sum of energy gain</t>
  </si>
  <si>
    <t>Annual water savings</t>
  </si>
  <si>
    <t>vs. diesel/manual irrigation</t>
  </si>
  <si>
    <t>Dryer cleaning/operation</t>
  </si>
  <si>
    <t>5 m³/batch</t>
  </si>
  <si>
    <t>10 batches → 50 m³</t>
  </si>
  <si>
    <t>Kaya (Centre-Nord)</t>
  </si>
  <si>
    <t>600–700</t>
  </si>
  <si>
    <t>(Sum of CAPEX)</t>
  </si>
  <si>
    <t>Total installation cost</t>
  </si>
  <si>
    <t>NEW : Annual energy savings (seasonal)</t>
  </si>
  <si>
    <t>= 469 kWh → 281 kWh/year</t>
  </si>
  <si>
    <t>Adjusted with seasonal plan</t>
  </si>
  <si>
    <t>Total per year</t>
  </si>
  <si>
    <t>sum of the water demand</t>
  </si>
  <si>
    <t>Ouahigouya (Nord)</t>
  </si>
  <si>
    <t>500–600</t>
  </si>
  <si>
    <t>Very high</t>
  </si>
  <si>
    <t>CILSS, FAO ET₀ map</t>
  </si>
  <si>
    <t>Updated payback period</t>
  </si>
  <si>
    <t>=5420 / 850</t>
  </si>
  <si>
    <t>New ROI</t>
  </si>
  <si>
    <t>7.2 years</t>
  </si>
  <si>
    <t>Earlier conservative estimate</t>
  </si>
  <si>
    <t>(Fixed)</t>
  </si>
  <si>
    <t>Lifetime of PV</t>
  </si>
  <si>
    <t>Updated payback with seasonal savings</t>
  </si>
  <si>
    <t>6.5–7 years</t>
  </si>
  <si>
    <t>Improved due to lower energy usage</t>
  </si>
  <si>
    <t>Net benefit after payback</t>
  </si>
  <si>
    <t>=(25 - 7.2)*800</t>
  </si>
  <si>
    <t>Old version</t>
  </si>
  <si>
    <t>25 years</t>
  </si>
  <si>
    <t>Updated net benefit (seasonal)</t>
  </si>
  <si>
    <t>=(25 - 6.37)*850</t>
  </si>
  <si>
    <t xml:space="preserve">realistic Version </t>
  </si>
  <si>
    <t>Net savings over lifetime</t>
  </si>
  <si>
    <t>After payback</t>
  </si>
  <si>
    <t>Updated Technical Calculations</t>
  </si>
  <si>
    <t>Dry-season design values</t>
  </si>
  <si>
    <t>Seasonal average values</t>
  </si>
  <si>
    <t>Seasonal average</t>
  </si>
  <si>
    <t>N × Wₜ / 1000</t>
  </si>
  <si>
    <t>20 m³/day</t>
  </si>
  <si>
    <t>Avg water demand</t>
  </si>
  <si>
    <t>16 m³/day</t>
  </si>
  <si>
    <t>4 m³/h</t>
  </si>
  <si>
    <t>Avg Q (m³/h)</t>
  </si>
  <si>
    <r>
      <t xml:space="preserve">= 16 ÷ 5 → </t>
    </r>
    <r>
      <rPr>
        <b/>
        <sz val="14"/>
        <color theme="1"/>
        <rFont val="Aptos Narrow"/>
        <family val="2"/>
        <scheme val="minor"/>
      </rPr>
      <t>3.2 m³/h</t>
    </r>
  </si>
  <si>
    <t>4×1000 ÷ 60</t>
  </si>
  <si>
    <t>66.7 L/min</t>
  </si>
  <si>
    <t>Avg hydraulic power</t>
  </si>
  <si>
    <t>0.302 kW</t>
  </si>
  <si>
    <t>Hydraulic power Pₕ</t>
  </si>
  <si>
    <t>(ρ×g×Q×H) / 3.6×10⁶</t>
  </si>
  <si>
    <t>0.378 kW</t>
  </si>
  <si>
    <t>Avg electric power</t>
  </si>
  <si>
    <t>0.355 kW</t>
  </si>
  <si>
    <t>Electric power Pₑ</t>
  </si>
  <si>
    <t>Pₕ / η</t>
  </si>
  <si>
    <t>0.44 kW</t>
  </si>
  <si>
    <t>Pₑ / 0.85</t>
  </si>
  <si>
    <t>0.52 kWp</t>
  </si>
  <si>
    <t>PV size ÷ 0.4</t>
  </si>
  <si>
    <t>4 panels</t>
  </si>
  <si>
    <t>Financial and technical plan  (12 months)</t>
  </si>
  <si>
    <t>Month</t>
  </si>
  <si>
    <t>Processed mangoes (kg) |</t>
  </si>
  <si>
    <t xml:space="preserve"> Waste generated (kg)</t>
  </si>
  <si>
    <t>Biogas produced (m³)</t>
  </si>
  <si>
    <t>Dried mango produced (Kg)</t>
  </si>
  <si>
    <t>Compost produced</t>
  </si>
  <si>
    <t>Dried mango income (Euro)</t>
  </si>
  <si>
    <t>Compost income (Euro)</t>
  </si>
  <si>
    <t xml:space="preserve">Biogas income (Euro) </t>
  </si>
  <si>
    <t>Assumptions used</t>
  </si>
  <si>
    <t>Benefits of the project</t>
  </si>
  <si>
    <t>1 kg of mango waste</t>
  </si>
  <si>
    <t xml:space="preserve"> 0.043 </t>
  </si>
  <si>
    <t xml:space="preserve"> m³ </t>
  </si>
  <si>
    <t>1. Energy independence thanks to biogas</t>
  </si>
  <si>
    <t>1 m³ of biogas</t>
  </si>
  <si>
    <t>kWh</t>
  </si>
  <si>
    <t>2. Waste conversion into compost and energy</t>
  </si>
  <si>
    <t xml:space="preserve">Fixed monthly cost </t>
  </si>
  <si>
    <t>274.41</t>
  </si>
  <si>
    <t>3. Reduction in fossil fuel costs</t>
  </si>
  <si>
    <t xml:space="preserve">Selling price of dried mangoes </t>
  </si>
  <si>
    <t>Euro/kg</t>
  </si>
  <si>
    <t>4. Potential for carbon credits or green subsidies</t>
  </si>
  <si>
    <t xml:space="preserve">Compost selling price </t>
  </si>
  <si>
    <t xml:space="preserve"> 0.5 </t>
  </si>
  <si>
    <t>5. Creation of local jobs and strengthening of the agricultural value chain</t>
  </si>
  <si>
    <t>No additional energy costs thanks to biogas.</t>
  </si>
  <si>
    <t>Biogas production</t>
  </si>
  <si>
    <t>Features of the ball mill</t>
  </si>
  <si>
    <t xml:space="preserve">  List of acronyms from the waste of biogas sheet </t>
  </si>
  <si>
    <t>Source of waste</t>
  </si>
  <si>
    <t>Quantity (kg/month)</t>
  </si>
  <si>
    <t>Biogas produced (m³/month)</t>
  </si>
  <si>
    <t>Compost produced (kg/month)</t>
  </si>
  <si>
    <t>Estimated value</t>
  </si>
  <si>
    <t>Unity</t>
  </si>
  <si>
    <t xml:space="preserve"> Acronyms</t>
  </si>
  <si>
    <t xml:space="preserve"> Meaning</t>
  </si>
  <si>
    <t>Mango waste</t>
  </si>
  <si>
    <t>Type of shredder</t>
  </si>
  <si>
    <t>With cannonballs (small model)</t>
  </si>
  <si>
    <t>Suitable for small-scale farming</t>
  </si>
  <si>
    <t xml:space="preserve"> m³</t>
  </si>
  <si>
    <t xml:space="preserve"> Cubic meter</t>
  </si>
  <si>
    <t>Motor power</t>
  </si>
  <si>
    <t>kW</t>
  </si>
  <si>
    <t>Electric motor and biogas</t>
  </si>
  <si>
    <t xml:space="preserve"> kW</t>
  </si>
  <si>
    <t xml:space="preserve"> Kilowatt</t>
  </si>
  <si>
    <r>
      <rPr>
        <sz val="14"/>
        <color rgb="FF186C24"/>
        <rFont val="Times New Roman"/>
      </rPr>
      <t xml:space="preserve"> </t>
    </r>
    <r>
      <rPr>
        <b/>
        <sz val="14"/>
        <color rgb="FF186C24"/>
        <rFont val="Times New Roman"/>
      </rPr>
      <t>2-Hectare Mango Farm Weekly Financial Projection (EUR)</t>
    </r>
  </si>
  <si>
    <t>Grinding capacity</t>
  </si>
  <si>
    <t>kg/h</t>
  </si>
  <si>
    <t>Fresh or pre-treated mangoes</t>
  </si>
  <si>
    <t xml:space="preserve"> Kilogram per hour</t>
  </si>
  <si>
    <t>Operating time</t>
  </si>
  <si>
    <t>Daily average</t>
  </si>
  <si>
    <t xml:space="preserve"> h/day </t>
  </si>
  <si>
    <t xml:space="preserve"> Hour per day</t>
  </si>
  <si>
    <t>Weekly Mango Input</t>
  </si>
  <si>
    <t>Energy consumption</t>
  </si>
  <si>
    <t>kWh/month</t>
  </si>
  <si>
    <t>Depending on use</t>
  </si>
  <si>
    <t xml:space="preserve"> kWh</t>
  </si>
  <si>
    <t xml:space="preserve"> Kilowatt hour</t>
  </si>
  <si>
    <t>Annual output</t>
  </si>
  <si>
    <t>Kg</t>
  </si>
  <si>
    <t>Biogas requirement</t>
  </si>
  <si>
    <t>m³/month</t>
  </si>
  <si>
    <t>1 m³ ≈ 6 kWh</t>
  </si>
  <si>
    <t xml:space="preserve"> kg/month</t>
  </si>
  <si>
    <t xml:space="preserve"> Kilogram per month</t>
  </si>
  <si>
    <t>Monthly output</t>
  </si>
  <si>
    <t xml:space="preserve"> m³/month</t>
  </si>
  <si>
    <t xml:space="preserve"> Cubic meter per month </t>
  </si>
  <si>
    <t>Weekly output</t>
  </si>
  <si>
    <t>Main Machines and Equipment Needed for a Dried Mango Processing Unit</t>
  </si>
  <si>
    <t xml:space="preserve"> Kilowatt hour per month</t>
  </si>
  <si>
    <t>Dried mango</t>
  </si>
  <si>
    <t>Type of machine</t>
  </si>
  <si>
    <t>Useful</t>
  </si>
  <si>
    <t>Cost per unit in euro</t>
  </si>
  <si>
    <t>Links</t>
  </si>
  <si>
    <t>kg</t>
  </si>
  <si>
    <t>Kilogram</t>
  </si>
  <si>
    <t>Mango powder</t>
  </si>
  <si>
    <t xml:space="preserve">Dryer </t>
  </si>
  <si>
    <t>Used to dry the mango slices after preparation.</t>
  </si>
  <si>
    <t>4,162.25</t>
  </si>
  <si>
    <t xml:space="preserve">https://www.alibaba.com/product-detail/NP-Brand-Food-Dehydrators-for-Sale_1601274819369.html?spm=a2706.7843667.0.0.7f6a549481sKM5 </t>
  </si>
  <si>
    <t>Waste (peels + seeds)</t>
  </si>
  <si>
    <t xml:space="preserve">Mango Slicer </t>
  </si>
  <si>
    <t>Cuts mangoes into uniform slices before drying.</t>
  </si>
  <si>
    <t>17,302.53</t>
  </si>
  <si>
    <t xml:space="preserve">https://m.made-in-china.com/product/Lonkia-Turbo-Commercial-Mango-Peeler-High-Speed-Deskinning-2103944972.html?utm_source=chatgpt.com </t>
  </si>
  <si>
    <t>Weekly Revenue (EUR)</t>
  </si>
  <si>
    <t>Unit Price (€)</t>
  </si>
  <si>
    <t>Total Price</t>
  </si>
  <si>
    <t>Washing and Peeling Station</t>
  </si>
  <si>
    <t>For cleaning mangoes and optionally peeling them.</t>
  </si>
  <si>
    <t>Electronic Scale</t>
  </si>
  <si>
    <t>To weigh fresh mangoes, sliced mangoes, and the final dried product to control yield.</t>
  </si>
  <si>
    <t>1,090.06</t>
  </si>
  <si>
    <t>Electronic Scales Full Electric Pallet Truck 3ton 3t Factory Price - Pallet Jack and Electric Pallet Truck</t>
  </si>
  <si>
    <t>Stainless-Steel Preparation Tables</t>
  </si>
  <si>
    <t>Used during sorting, cutting, and arranging slices on trays.</t>
  </si>
  <si>
    <t>181.67</t>
  </si>
  <si>
    <t>30" x 72" Stainless Steel Commercial Work Table</t>
  </si>
  <si>
    <t xml:space="preserve">Drying Trays </t>
  </si>
  <si>
    <t>Where the mango slices are placed during drying.</t>
  </si>
  <si>
    <t>5.85</t>
  </si>
  <si>
    <t>Plateau de rangement en acier inoxydable, plateau de stockage, plaque de fuite, trou, passoire à mailles, lavage des légumes, séchage du bassin, filtre à eau, couvercle du bassin, 304 - AliExpress 15</t>
  </si>
  <si>
    <t xml:space="preserve"> Total weekly revenue</t>
  </si>
  <si>
    <t>Thermometer and Hygrometer</t>
  </si>
  <si>
    <t>To monitor temperature and humidity during the drying process.</t>
  </si>
  <si>
    <t>9.7</t>
  </si>
  <si>
    <t>TFA Thermo-Hygrometer Comfort – Thomann France</t>
  </si>
  <si>
    <t>Weekly Costs (EUR)</t>
  </si>
  <si>
    <t xml:space="preserve">Plastic Bins </t>
  </si>
  <si>
    <t>For storing mangoes before and after drying.</t>
  </si>
  <si>
    <t>2.77</t>
  </si>
  <si>
    <t>Warehouse Industrial Plastic Stackable Storage Bins for Spare Parts Manufacturers &amp; Suppliers – Made-in-China.com</t>
  </si>
  <si>
    <t>Raw mango</t>
  </si>
  <si>
    <t>Heat Sealing / Packaging Machine</t>
  </si>
  <si>
    <t>To seal dried mangoes in airtight packaging.</t>
  </si>
  <si>
    <t>4,481.36</t>
  </si>
  <si>
    <t>Machine À Emballer Automatique De Grains Robuste De 25kg Avec Système De Thermoscellage À Coudre Pour L'emballage De Boîtes De Sacs En Carton - Buy Paper Wrapping Machine glass Packaging Machine easy To Operate Packaging Machine chemical Packing Machine gearbox Sealing System automatic Grain Packaging carton Bag Packaging film Packaging Machine fully Automatic Packaging pet Packing Material pp Packaging Material Product on Alibaba.com</t>
  </si>
  <si>
    <t>Workers</t>
  </si>
  <si>
    <t>Refractometer</t>
  </si>
  <si>
    <t>To check sugar content and support quality control.</t>
  </si>
  <si>
    <t>Réfractomètre de vigneron AT 32 | Brix Meter 0–32% | Réfractomètre de bière | avec ATC pour le brassage de la bière pour mesurer la teneur en sucre pour la production de vins de qualité : Amazon.fr: Cuisine et Maison</t>
  </si>
  <si>
    <t>Energy and maintenance</t>
  </si>
  <si>
    <t>Packaging</t>
  </si>
  <si>
    <r>
      <rPr>
        <sz val="14"/>
        <color rgb="FF000000"/>
        <rFont val="Times New Roman"/>
      </rPr>
      <t xml:space="preserve"> </t>
    </r>
    <r>
      <rPr>
        <b/>
        <sz val="14"/>
        <color rgb="FFC00000"/>
        <rFont val="Times New Roman"/>
      </rPr>
      <t>Total weekly cost</t>
    </r>
  </si>
  <si>
    <t xml:space="preserve"> Weekly Profit &amp; Margin</t>
  </si>
  <si>
    <t>Profit per week</t>
  </si>
  <si>
    <t>ROI Estimation</t>
  </si>
  <si>
    <t>Initial investment</t>
  </si>
  <si>
    <t>Weekly profit</t>
  </si>
  <si>
    <t xml:space="preserve">Weeks to ROI </t>
  </si>
  <si>
    <t> </t>
  </si>
  <si>
    <t>Notes / Adjustments:</t>
  </si>
  <si>
    <t>1. Solar drying may take longer; multiple batches may be needed.</t>
  </si>
  <si>
    <t>2. Biogas and compost add extra revenue (~€512/week).</t>
  </si>
  <si>
    <t>3. Scaling production (more mangoes) linearly increases revenue &amp; profit.</t>
  </si>
  <si>
    <t>4. Export prices may be higher → increases total revenue.</t>
  </si>
  <si>
    <t>Smart dryer financial planning (10 Years)</t>
  </si>
  <si>
    <t>2ha Summary table</t>
  </si>
  <si>
    <t xml:space="preserve"> CAPEX or Total One-Time Cost (EUR)</t>
  </si>
  <si>
    <t>OPEX or Total Recurring Cost per year (EUR)</t>
  </si>
  <si>
    <t>Revenue &amp; Profitability</t>
  </si>
  <si>
    <t>Processing machines (full chain)</t>
  </si>
  <si>
    <t>Production cost (2 ha × €3/kg dried × 1600 kg)</t>
  </si>
  <si>
    <t>Annual dried output</t>
  </si>
  <si>
    <t>1 600 kg</t>
  </si>
  <si>
    <t>Dryers (2 units)</t>
  </si>
  <si>
    <t>Energy</t>
  </si>
  <si>
    <t>Export price</t>
  </si>
  <si>
    <t>30 €/kg</t>
  </si>
  <si>
    <t>IoT sensors (per dryer ×2)</t>
  </si>
  <si>
    <t>Yearly Revenue</t>
  </si>
  <si>
    <t>IoT Installation</t>
  </si>
  <si>
    <t>Connectivity</t>
  </si>
  <si>
    <t>Net Profit (yearly)</t>
  </si>
  <si>
    <t>IoT Gateway</t>
  </si>
  <si>
    <t>Cloud subscription</t>
  </si>
  <si>
    <t>ROI Calculation (first year)</t>
  </si>
  <si>
    <t>Total CAPEX</t>
  </si>
  <si>
    <t>Total OPEX</t>
  </si>
  <si>
    <t>Long-term ROI (annual)</t>
  </si>
  <si>
    <t>Parameters (final output)</t>
  </si>
  <si>
    <t>Unit / Note</t>
  </si>
  <si>
    <t>Yield per ha</t>
  </si>
  <si>
    <t>kg/ha/an</t>
  </si>
  <si>
    <t>Recovery rate</t>
  </si>
  <si>
    <t>Rate (80%)</t>
  </si>
  <si>
    <t>Transformation ratio (fresh to dry)</t>
  </si>
  <si>
    <t>kg fresh -&gt; 0,4 kg dried</t>
  </si>
  <si>
    <t>Cost of a fresh mango</t>
  </si>
  <si>
    <t>€/kg</t>
  </si>
  <si>
    <t xml:space="preserve">Export price (dried) </t>
  </si>
  <si>
    <t>€/kg dried</t>
  </si>
  <si>
    <t>Capacity per cycle (dryer)</t>
  </si>
  <si>
    <t>kg fresh/cycle</t>
  </si>
  <si>
    <t>Campaign duration</t>
  </si>
  <si>
    <t>days (4 months)</t>
  </si>
  <si>
    <t>Max cycles per dryer (4 months)</t>
  </si>
  <si>
    <t>cycles</t>
  </si>
  <si>
    <t>Unit cost per dryer</t>
  </si>
  <si>
    <t>Unit cost (2ha)</t>
  </si>
  <si>
    <t>IOT</t>
  </si>
  <si>
    <t>add_fan_power_kW</t>
  </si>
  <si>
    <t>sensor_cost_per_dryer_€</t>
  </si>
  <si>
    <t>gateway_cost_per_site_€</t>
  </si>
  <si>
    <t>connectivity_monthly_per_dryer_€</t>
  </si>
  <si>
    <t>cloud_subscription_annual_€</t>
  </si>
  <si>
    <t>installation_cost_per_dryer_€</t>
  </si>
  <si>
    <t>iot_capex_lifetime_years</t>
  </si>
  <si>
    <t>Machine</t>
  </si>
  <si>
    <t>Price (€)</t>
  </si>
  <si>
    <t>Elevators</t>
  </si>
  <si>
    <t>Bubble washer</t>
  </si>
  <si>
    <t>Sorter</t>
  </si>
  <si>
    <t>Cleaner</t>
  </si>
  <si>
    <t>Peeler</t>
  </si>
  <si>
    <t>EMPLOYMENT</t>
  </si>
  <si>
    <t>Variables</t>
  </si>
  <si>
    <t>Modalities</t>
  </si>
  <si>
    <t>Frequencies (%)</t>
  </si>
  <si>
    <t>Drying units</t>
  </si>
  <si>
    <t>Producers</t>
  </si>
  <si>
    <t>Sex</t>
  </si>
  <si>
    <t>Man</t>
  </si>
  <si>
    <t>Women</t>
  </si>
  <si>
    <t>Age</t>
  </si>
  <si>
    <t>] 20 ; 29[</t>
  </si>
  <si>
    <t>] 30 ; 39[</t>
  </si>
  <si>
    <t>8, 33</t>
  </si>
  <si>
    <t>] 40 ; 49[</t>
  </si>
  <si>
    <t>] 50 ; 59[</t>
  </si>
  <si>
    <t>&gt; 60</t>
  </si>
  <si>
    <t>Education level</t>
  </si>
  <si>
    <t>Illiterate</t>
  </si>
  <si>
    <t>41.18</t>
  </si>
  <si>
    <t>Literate</t>
  </si>
  <si>
    <t>11.76</t>
  </si>
  <si>
    <t>Primary</t>
  </si>
  <si>
    <t>35.29</t>
  </si>
  <si>
    <t>Secondary</t>
  </si>
  <si>
    <t>83.33</t>
  </si>
  <si>
    <t>Superior</t>
  </si>
  <si>
    <t>12.5</t>
  </si>
  <si>
    <t>Experience in activity</t>
  </si>
  <si>
    <t>] 5 ; 10[</t>
  </si>
  <si>
    <t>87.78</t>
  </si>
  <si>
    <t>17.65</t>
  </si>
  <si>
    <t>] 10 ; 15[</t>
  </si>
  <si>
    <t>3.33</t>
  </si>
  <si>
    <t>29.41</t>
  </si>
  <si>
    <t>] 15 ; 20[</t>
  </si>
  <si>
    <t>5.56</t>
  </si>
  <si>
    <t>&gt; 20</t>
  </si>
  <si>
    <t>2 HA  WEEKLY COSTS</t>
  </si>
  <si>
    <t>Scenario_ha</t>
  </si>
  <si>
    <t>Weekly_dried_avg_kg</t>
  </si>
  <si>
    <t>Weekly_revenue_avg_€</t>
  </si>
  <si>
    <t>Weekly_prod_cost_avg_€</t>
  </si>
  <si>
    <t>Weekly_energy_avg_€</t>
  </si>
  <si>
    <t>Weekly_maintenance_avg_€</t>
  </si>
  <si>
    <t>Weekly_profit_avg_€</t>
  </si>
  <si>
    <t>2 HA  MONTHLY COSTS</t>
  </si>
  <si>
    <t>Monthly_dried_avg_kg</t>
  </si>
  <si>
    <t>Monthly_revenue_avg_€</t>
  </si>
  <si>
    <t>Monthly_prod_cost_avg_€</t>
  </si>
  <si>
    <t>Monthly_energy_avg_€</t>
  </si>
  <si>
    <t>Monthly_maintenance_avg_€</t>
  </si>
  <si>
    <t>Monthly_profit_avg_€</t>
  </si>
  <si>
    <t xml:space="preserve">2 HA  YEARLY COSTS  </t>
  </si>
  <si>
    <t>Year</t>
  </si>
  <si>
    <t>Usable_fresh_kg</t>
  </si>
  <si>
    <t>Dried_kg</t>
  </si>
  <si>
    <t>Export_price_€</t>
  </si>
  <si>
    <t>Unit_cost_€_per_kg</t>
  </si>
  <si>
    <t>Yearly_dried_mango_cost_€</t>
  </si>
  <si>
    <t>Cycles</t>
  </si>
  <si>
    <t>Energy_cost_€</t>
  </si>
  <si>
    <t>Maintenance_€</t>
  </si>
  <si>
    <t>Total_costs_all_€</t>
  </si>
  <si>
    <t>Net_profit_€</t>
  </si>
  <si>
    <t>Inventory_turnover_per_year</t>
  </si>
  <si>
    <t>Dryers_used</t>
  </si>
  <si>
    <t>Relationship</t>
  </si>
  <si>
    <t>https://www.researchgate.net/publication/242642925_The_mango_tree_in_central_and_northern_Benin_Cultivar_inventory_yield_assessment_infested_stages_and_loss_due_to_fruit_flies_Diptera_Tephritidae#read</t>
  </si>
  <si>
    <t>Parameters table; Cell: Yield per ha</t>
  </si>
  <si>
    <t>The paper The mango tree in central and northern Benin: cultivar inventory, yield assessment, infested stages and loss due to fruit flies (Diptera Tephritidae) reports yield data per hectare (t·ha⁻¹) for different mango cultivars.</t>
  </si>
  <si>
    <t>Parameters table; Cell: Transformation ratio</t>
  </si>
  <si>
    <t>The “4 kg fresh → 0.4 kg dried” you have corresponds to a 10% yield, which is supported by one of CBI’s cited conversion rates</t>
  </si>
  <si>
    <t>https://www.gebana.com/eu-en/dried-fruits-mangos-amelie-bio-burkina-faso-quantity</t>
  </si>
  <si>
    <t>Parameters table; Cell: Export price</t>
  </si>
  <si>
    <t>The “30 €/kg dried” export-price you mention corresponds to the base listing price on gebana’s dried-fruits catalogue for certain mango varieties.</t>
  </si>
  <si>
    <t>https://thaiscience.info/Journals/Article/SNRU/10997761.pdf</t>
  </si>
  <si>
    <t>The study says they “used 500 kg of mangos for each dryer; cleaned, peeled and sliced” for the drying experiments.</t>
  </si>
  <si>
    <t>https://www.researchgate.net/publication/376603746_POTENTIAL_AVAILABILITY_OF_MANGO_BY-PRODUCTS_IN_THE_BOBO-DIOULASSO_AND_ORODARA_AREAS_OF_BURKINA_FASO_ASSESSMENT_OF_THE_QUANTITIES_OF_MANGO_BY-PRODUCTS_AND_MANGO_FEED_PRODUCIBLE_FOR_RUMINANTS</t>
  </si>
  <si>
    <t>Employment table</t>
  </si>
  <si>
    <t>The table shows socio-demographic characteristics of the mango drying promoters and mango growers.</t>
  </si>
  <si>
    <t>TECHNICAL DEFINITIONS</t>
  </si>
  <si>
    <t>Irrigation &amp; Miscellaneous Loads</t>
  </si>
  <si>
    <t>ENERGY CONSUMPTION (kWh/day)</t>
  </si>
  <si>
    <t>Scenario</t>
  </si>
  <si>
    <t>Pump</t>
  </si>
  <si>
    <t>Misc. loads</t>
  </si>
  <si>
    <t>TOTAL (kWh/day)</t>
  </si>
  <si>
    <t>Hectare (10,000 m²)</t>
  </si>
  <si>
    <t>Pump power</t>
  </si>
  <si>
    <t>1.5 kW</t>
  </si>
  <si>
    <t>1.5 HP Pump</t>
  </si>
  <si>
    <t>Base</t>
  </si>
  <si>
    <t>PSH</t>
  </si>
  <si>
    <t>Peak Sun Hours: equivalent full-power sunlight hours</t>
  </si>
  <si>
    <t>Pump operating time</t>
  </si>
  <si>
    <t>4 h</t>
  </si>
  <si>
    <t>Agricultural estimate</t>
  </si>
  <si>
    <t>50 kg/day</t>
  </si>
  <si>
    <t>Derate Factor</t>
  </si>
  <si>
    <t>Overall PV system losses (heat, dust, cables)</t>
  </si>
  <si>
    <t>Miscellaneous loads</t>
  </si>
  <si>
    <t>3 kW</t>
  </si>
  <si>
    <t>Various equipment</t>
  </si>
  <si>
    <t>200 kg/day</t>
  </si>
  <si>
    <t>Hydraulic power required by the pump</t>
  </si>
  <si>
    <t>Miscellaneous load duration</t>
  </si>
  <si>
    <t>5 h</t>
  </si>
  <si>
    <t>Standard farm</t>
  </si>
  <si>
    <t>1,000 kg/day</t>
  </si>
  <si>
    <t>Electrical power required by the pump</t>
  </si>
  <si>
    <t>Peak power of the photovoltaic system</t>
  </si>
  <si>
    <t>Mango Drying</t>
  </si>
  <si>
    <t>Maximum Power Point Tracking – PV efficiency optimization</t>
  </si>
  <si>
    <t>Sensors, IoT, PLCs, GSM/Wi-Fi monitoring</t>
  </si>
  <si>
    <t>Energy efficiency of drying</t>
  </si>
  <si>
    <t>3 kWh/kg of fresh mango</t>
  </si>
  <si>
    <t>DoD</t>
  </si>
  <si>
    <t>Depth of Discharge – battery discharge depth</t>
  </si>
  <si>
    <t>Production Scenario 1</t>
  </si>
  <si>
    <t>BOS</t>
  </si>
  <si>
    <t>Balance of System – structure, cables, protections</t>
  </si>
  <si>
    <t>Production Scenario 2</t>
  </si>
  <si>
    <t>LCOE</t>
  </si>
  <si>
    <t>Levelized Cost of Energy – real energy cost</t>
  </si>
  <si>
    <t>Production Scenario 3</t>
  </si>
  <si>
    <t>Solar Parameters</t>
  </si>
  <si>
    <t>Battery Parameters</t>
  </si>
  <si>
    <t>PSH Burkina Faso</t>
  </si>
  <si>
    <t>5.5 h</t>
  </si>
  <si>
    <t>Battery type</t>
  </si>
  <si>
    <t>Lithium-ion</t>
  </si>
  <si>
    <t>Tracker gain</t>
  </si>
  <si>
    <t>Effective PSH</t>
  </si>
  <si>
    <t>6.6 h</t>
  </si>
  <si>
    <t>Inverter efficiency</t>
  </si>
  <si>
    <t>Loss factor</t>
  </si>
  <si>
    <t>Desired autonomy</t>
  </si>
  <si>
    <t>8 h</t>
  </si>
  <si>
    <t>Derate factor</t>
  </si>
  <si>
    <t>Average area per kWp</t>
  </si>
  <si>
    <t>8.5 m²</t>
  </si>
  <si>
    <t>Trackers</t>
  </si>
  <si>
    <t>Complete PV System</t>
  </si>
  <si>
    <t>PV required (kWp)</t>
  </si>
  <si>
    <t>No. of 400W panels</t>
  </si>
  <si>
    <t>Area m²</t>
  </si>
  <si>
    <t>Area ha</t>
  </si>
  <si>
    <t>Required PV = Energy / (PSH × Derate)</t>
  </si>
  <si>
    <t>PV = kWh / 4.95</t>
  </si>
  <si>
    <t>BATTERY SIZING</t>
  </si>
  <si>
    <t>Energy / 8h (kWh)</t>
  </si>
  <si>
    <t>With losses (kWh)</t>
  </si>
  <si>
    <t>Nominal capacity (kWh)</t>
  </si>
  <si>
    <t>Energy 8h = (kWh/day ÷ 24) × 8</t>
  </si>
  <si>
    <t>Usable energy</t>
  </si>
  <si>
    <t>Energy with losses = usable ÷ 0.9</t>
  </si>
  <si>
    <t>Actual required energy</t>
  </si>
  <si>
    <t>Total capacity = actual ÷ DoD</t>
  </si>
  <si>
    <t>Final battery capacity (kWh)</t>
  </si>
  <si>
    <t>COSTS (CAPEX)</t>
  </si>
  <si>
    <t>Component</t>
  </si>
  <si>
    <t>Price</t>
  </si>
  <si>
    <t>PV cost ($)</t>
  </si>
  <si>
    <t>Battery ($)</t>
  </si>
  <si>
    <t>Inverter ($)</t>
  </si>
  <si>
    <t>Total CAPEX ($)</t>
  </si>
  <si>
    <t>PV + BOS</t>
  </si>
  <si>
    <t>$1.20/W</t>
  </si>
  <si>
    <t>Li-Ion Battery</t>
  </si>
  <si>
    <t>$400/kWh</t>
  </si>
  <si>
    <t>Inverter</t>
  </si>
  <si>
    <t>$1,000/kW</t>
  </si>
  <si>
    <t>ROI (Return on Investment)</t>
  </si>
  <si>
    <t>Savings/day ($)</t>
  </si>
  <si>
    <t>Savings/year ($)</t>
  </si>
  <si>
    <t>Maintenance ($)</t>
  </si>
  <si>
    <t>Net savings/year ($)</t>
  </si>
  <si>
    <t>Payback (yrs)</t>
  </si>
  <si>
    <t>Diesel LCOE</t>
  </si>
  <si>
    <t>$0.40/kWh</t>
  </si>
  <si>
    <t>Days/year</t>
  </si>
  <si>
    <t>2% of CAPEX</t>
  </si>
  <si>
    <t>Daily Energy (kWh/day)</t>
  </si>
  <si>
    <t>Required PV Array (kWp)</t>
  </si>
  <si>
    <t>Number of 400 W Panels</t>
  </si>
  <si>
    <t>Required Battery (usable kWh)</t>
  </si>
  <si>
    <t>Inverter Size (kW, nominal)</t>
  </si>
  <si>
    <t>Small farm (≈2 ha)</t>
  </si>
  <si>
    <t>TABLEAU 1: Farm Scenario</t>
  </si>
  <si>
    <t>Metric</t>
  </si>
  <si>
    <t>Fixed base</t>
  </si>
  <si>
    <t>Daily Energy</t>
  </si>
  <si>
    <t>Total daily consumption</t>
  </si>
  <si>
    <t>Required PV Array</t>
  </si>
  <si>
    <t>kWp</t>
  </si>
  <si>
    <t>Fixed-tilt system</t>
  </si>
  <si>
    <t>With tracking</t>
  </si>
  <si>
    <t>400 W Panels</t>
  </si>
  <si>
    <t>Units</t>
  </si>
  <si>
    <t>Fixed-tilt</t>
  </si>
  <si>
    <t>Tracking</t>
  </si>
  <si>
    <t>Battery</t>
  </si>
  <si>
    <t>Usable kWh</t>
  </si>
  <si>
    <t>Storage requirement</t>
  </si>
  <si>
    <t>Inverter Size</t>
  </si>
  <si>
    <t>Nominal rating</t>
  </si>
  <si>
    <t>TABLEAU 2 : Calculation Summary</t>
  </si>
  <si>
    <t>Same for both systems</t>
  </si>
  <si>
    <t>PV Power (Fixed-Tilt)</t>
  </si>
  <si>
    <t>Baseline</t>
  </si>
  <si>
    <t>PV Power (Tracking)</t>
  </si>
  <si>
    <t>20% reduction</t>
  </si>
  <si>
    <t>Panels (Fixed-Tilt)</t>
  </si>
  <si>
    <t>0.4 kW each</t>
  </si>
  <si>
    <t>Panels (Tracking)</t>
  </si>
  <si>
    <t>0.4 KW each</t>
  </si>
  <si>
    <t>System Cost (Fixed-Tilt)</t>
  </si>
  <si>
    <t>Total system cost</t>
  </si>
  <si>
    <t>System Cost (Tracking)</t>
  </si>
  <si>
    <t>Lower due to fewer panels</t>
  </si>
  <si>
    <t>Payback Period (Fixed-Tilt)</t>
  </si>
  <si>
    <t>=Cost/Savings</t>
  </si>
  <si>
    <t>Payback Period (Tracking)</t>
  </si>
  <si>
    <t>Annual Savings</t>
  </si>
  <si>
    <t>=Annual production×rate</t>
  </si>
  <si>
    <t>TABLEAU 3: Energy Breakdown (37 kWh/day)</t>
  </si>
  <si>
    <t>Irrigation</t>
  </si>
  <si>
    <t>Efficient pumps</t>
  </si>
  <si>
    <t>Ventilation/Greenhouses</t>
  </si>
  <si>
    <t>Climate control</t>
  </si>
  <si>
    <t>Storage/Cooling</t>
  </si>
  <si>
    <t>Refrigeration</t>
  </si>
  <si>
    <t>Tools/Machinery</t>
  </si>
  <si>
    <t>Farm tools</t>
  </si>
  <si>
    <t>Electric Fences</t>
  </si>
  <si>
    <t>Protection system</t>
  </si>
  <si>
    <t>Office/Management</t>
  </si>
  <si>
    <t>Monitoring</t>
  </si>
  <si>
    <t>Optimized consumption</t>
  </si>
  <si>
    <t>TABLEAU 4 :System Size and Explanation</t>
  </si>
  <si>
    <t>PV Size (Fixed-Tilt)</t>
  </si>
  <si>
    <t>19 panels × 0.4 kW</t>
  </si>
  <si>
    <t>PV Size (Tracking)</t>
  </si>
  <si>
    <t>15 panels × 0.4 kW</t>
  </si>
  <si>
    <t>Tracking Gain</t>
  </si>
  <si>
    <t>Higher solar yield</t>
  </si>
  <si>
    <t>Panel Reduction</t>
  </si>
  <si>
    <t>Fewer panels needed</t>
  </si>
  <si>
    <t>TABLEAU 5 : Cost Breakdown</t>
  </si>
  <si>
    <t>PV Panels (Fixed-Tilt)</t>
  </si>
  <si>
    <t>Unit price: 1200 €/kWp</t>
  </si>
  <si>
    <t>PV Panels (Tracking)</t>
  </si>
  <si>
    <t>Tracking Hardware</t>
  </si>
  <si>
    <t>Only for tracking</t>
  </si>
  <si>
    <t>Mounting/Installation (Fixed-Tilt)</t>
  </si>
  <si>
    <t>Estimated total</t>
  </si>
  <si>
    <t>Mounting/Installation (Tracking)</t>
  </si>
  <si>
    <t xml:space="preserve">52 kWh usable with 400€/KWh </t>
  </si>
  <si>
    <t>6.3 kW nominal with 500€/KW</t>
  </si>
  <si>
    <t>Total Cost (Fixed-Tilt)</t>
  </si>
  <si>
    <t>System total</t>
  </si>
  <si>
    <t>Total Cost (Tracking)</t>
  </si>
  <si>
    <t>Cost Difference</t>
  </si>
  <si>
    <t>Tracking cheaper overall</t>
  </si>
  <si>
    <t>TABLEAU 6 : ROI Calculation</t>
  </si>
  <si>
    <t>Annual Production</t>
  </si>
  <si>
    <t>Formula: 37 × 365</t>
  </si>
  <si>
    <t>Electricity Price</t>
  </si>
  <si>
    <t>€/kWh</t>
  </si>
  <si>
    <t>Agricultural tariff</t>
  </si>
  <si>
    <t>Production × rate</t>
  </si>
  <si>
    <t>Reference cost table</t>
  </si>
  <si>
    <t>Payback (Fixed-Tilt)</t>
  </si>
  <si>
    <t>Cost ÷ savings</t>
  </si>
  <si>
    <t>Payback (Tracking)</t>
  </si>
  <si>
    <t>TABLEAU 7 : Optimization Tip</t>
  </si>
  <si>
    <t>value</t>
  </si>
  <si>
    <t>Irrigation Shift</t>
  </si>
  <si>
    <t>%Daytime</t>
  </si>
  <si>
    <t>Reduces battery need</t>
  </si>
  <si>
    <t>New Battery Size</t>
  </si>
  <si>
    <t>Updated storage requirement</t>
  </si>
  <si>
    <t>New Payback</t>
  </si>
  <si>
    <t>Lower CAPEX</t>
  </si>
  <si>
    <r>
      <rPr>
        <b/>
        <sz val="14"/>
        <color rgb="FF000000"/>
        <rFont val="Times New Roman"/>
      </rPr>
      <t>TABLE 8</t>
    </r>
    <r>
      <rPr>
        <sz val="14"/>
        <color rgb="FF000000"/>
        <rFont val="Times New Roman"/>
      </rPr>
      <t>: Recommendations and Data Alignment</t>
    </r>
  </si>
  <si>
    <t>Data Alignment</t>
  </si>
  <si>
    <t>Consistent</t>
  </si>
  <si>
    <t>Same 37 kWh/day used in all tables</t>
  </si>
  <si>
    <t>Energy Need Definition</t>
  </si>
  <si>
    <t>Basis for sizing PV and battery</t>
  </si>
  <si>
    <t xml:space="preserve">Panel Selection:monocrystalline or polycrystalline </t>
  </si>
  <si>
    <t>W</t>
  </si>
  <si>
    <r>
      <rPr>
        <b/>
        <sz val="14"/>
        <color rgb="FF000000"/>
        <rFont val="Times New Roman"/>
      </rPr>
      <t>Monocrystalline:</t>
    </r>
    <r>
      <rPr>
        <sz val="14"/>
        <color rgb="FF000000"/>
        <rFont val="Times New Roman"/>
      </rPr>
      <t xml:space="preserve"> best efficiency ideal in moderate temperatures or well-ventilated areas. </t>
    </r>
    <r>
      <rPr>
        <b/>
        <sz val="14"/>
        <color rgb="FF000000"/>
        <rFont val="Times New Roman"/>
      </rPr>
      <t>Polycrystalline:</t>
    </r>
    <r>
      <rPr>
        <sz val="14"/>
        <color rgb="FF000000"/>
        <rFont val="Times New Roman"/>
      </rPr>
      <t xml:space="preserve"> better thermal tolerance, recommended for  hot climates like in the Sahel.</t>
    </r>
  </si>
  <si>
    <t>PV Configuration(Tracking)</t>
  </si>
  <si>
    <t>20% fewer panels, same output</t>
  </si>
  <si>
    <t>Battery Optimization</t>
  </si>
  <si>
    <t>Shift 50% irrigation to daytime to reduce capacity</t>
  </si>
  <si>
    <t>Estimated carbon factor</t>
  </si>
  <si>
    <t>kg CO₂/kWh</t>
  </si>
  <si>
    <t>Average life-cycle emissions of PV panels</t>
  </si>
  <si>
    <t>Carbon Footprint</t>
  </si>
  <si>
    <t>kg CO₂/year</t>
  </si>
  <si>
    <t>Life-cycle emissions from PV generation</t>
  </si>
  <si>
    <t>Grid Emission Comparison</t>
  </si>
  <si>
    <t>Conventional power equivalent (0.5 kg CO₂/kWh)</t>
  </si>
  <si>
    <t>Emission Reduction</t>
  </si>
  <si>
    <t>Compared to grid-based electricity</t>
  </si>
  <si>
    <t>Monitoring System</t>
  </si>
  <si>
    <t>IoT-based</t>
  </si>
  <si>
    <t>Recommended</t>
  </si>
  <si>
    <t>Enables tracking of energy use and CO₂ savings</t>
  </si>
  <si>
    <t>Overall Recommendation</t>
  </si>
  <si>
    <t>no metric</t>
  </si>
  <si>
    <t>Adopt tracking PV with reduced battery</t>
  </si>
  <si>
    <t>Improves efficiency, lowers CAPEX and emissions</t>
  </si>
  <si>
    <t>Design of an Energy-Efficient Warehouse for Preserving Dried Mangoes Until Distribution</t>
  </si>
  <si>
    <t>Zone</t>
  </si>
  <si>
    <t>Purpose</t>
  </si>
  <si>
    <t>Length (m)</t>
  </si>
  <si>
    <t>Width (m)</t>
  </si>
  <si>
    <t>Area (m²)</t>
  </si>
  <si>
    <t>Target Temp (°C)</t>
  </si>
  <si>
    <t>Target RH (%)</t>
  </si>
  <si>
    <t>Energy-efficient tech</t>
  </si>
  <si>
    <t>Estimated CAPEX (€)</t>
  </si>
  <si>
    <t>Estimated OPEX/year (€)</t>
  </si>
  <si>
    <t>Approx. Cooling Load (kW)</t>
  </si>
  <si>
    <t>Receiving &amp; Inspection</t>
  </si>
  <si>
    <t>Unloading trucks, quality check, initial sorting</t>
  </si>
  <si>
    <t>20 to 25</t>
  </si>
  <si>
    <t>40-60</t>
  </si>
  <si>
    <t>Unloading table, scales, pallets</t>
  </si>
  <si>
    <t>LED lighting, motion sensors, natural daylighting</t>
  </si>
  <si>
    <t>Conditioning / Re-drying</t>
  </si>
  <si>
    <t>Optional re-drying or moisture equilibration</t>
  </si>
  <si>
    <t>40 to 60 (process)</t>
  </si>
  <si>
    <t>10-20 (process)</t>
  </si>
  <si>
    <t>Hot air oven, hygrometer</t>
  </si>
  <si>
    <t>Heat-recovery ventilator, insulated chamber, PID control</t>
  </si>
  <si>
    <t>6 (process heating)</t>
  </si>
  <si>
    <t>Bulk Dry Storage (racked)</t>
  </si>
  <si>
    <t>Main storage for dried mango in bulk or boxes</t>
  </si>
  <si>
    <t>15 to 20</t>
  </si>
  <si>
    <t>50-55</t>
  </si>
  <si>
    <t>Racks, fans, dehumidifier</t>
  </si>
  <si>
    <t>Insulated envelope, dehumidifier with hygrostats, HVAC with heat recovery, LED</t>
  </si>
  <si>
    <t>Packaging &amp; Sealing</t>
  </si>
  <si>
    <t>Weighing, packaging, vacuum/MAP sealing, labeling</t>
  </si>
  <si>
    <t>18 to 22</t>
  </si>
  <si>
    <t>50-60</t>
  </si>
  <si>
    <t>Tables, scales, MAP sealer, labeler</t>
  </si>
  <si>
    <t>Efficient packers, LED, schedule-based ventilation</t>
  </si>
  <si>
    <t>Cold Holding (optional)</t>
  </si>
  <si>
    <t>Short-term holding for packaged product before shipment</t>
  </si>
  <si>
    <t>10 to 15</t>
  </si>
  <si>
    <t>30-50</t>
  </si>
  <si>
    <t>Cold room, mobile racks</t>
  </si>
  <si>
    <t>High-efficiency compressor, door curtains, variable-speed drives</t>
  </si>
  <si>
    <t>Loading &amp; Dispatch</t>
  </si>
  <si>
    <t>Staging for outbound shipments</t>
  </si>
  <si>
    <t>Pallets, pallet jacks</t>
  </si>
  <si>
    <t>LED lighting, insulated loading doors</t>
  </si>
  <si>
    <t>Utilities &amp; Mechanical</t>
  </si>
  <si>
    <t>House HVAC, dehumidifiers, solar inverter, backup generator</t>
  </si>
  <si>
    <t>N/A</t>
  </si>
  <si>
    <t>Central HVAC, dehumidifier, inverter, generator</t>
  </si>
  <si>
    <t>Solar PV + battery, energy monitoring, VFD on fans</t>
  </si>
  <si>
    <t>Office &amp; QC Lab</t>
  </si>
  <si>
    <t>Admin, quality control testing, record keeping</t>
  </si>
  <si>
    <t>20 to 24</t>
  </si>
  <si>
    <t>Desks, PCs, microscopes, scales</t>
  </si>
  <si>
    <t>Efficient appliances, daylighting, timers</t>
  </si>
  <si>
    <t>Glossary / Abbreviations:</t>
  </si>
  <si>
    <r>
      <t>CAPEX</t>
    </r>
    <r>
      <rPr>
        <sz val="16"/>
        <color theme="1"/>
        <rFont val="Times New Roman"/>
      </rPr>
      <t xml:space="preserve"> = Capital Expenditure (investment in equipment &amp; infrastructure)</t>
    </r>
  </si>
  <si>
    <t>Estimated Totals:</t>
  </si>
  <si>
    <r>
      <t>OPEX</t>
    </r>
    <r>
      <rPr>
        <sz val="16"/>
        <color theme="1"/>
        <rFont val="Times New Roman"/>
      </rPr>
      <t xml:space="preserve"> = Operational Expenditure (annual operating costs)</t>
    </r>
  </si>
  <si>
    <r>
      <t>Total CAPEX</t>
    </r>
    <r>
      <rPr>
        <sz val="16"/>
        <color theme="1"/>
        <rFont val="Times New Roman"/>
      </rPr>
      <t xml:space="preserve"> ≈ €51,000</t>
    </r>
  </si>
  <si>
    <r>
      <t>MAP</t>
    </r>
    <r>
      <rPr>
        <sz val="16"/>
        <color theme="1"/>
        <rFont val="Times New Roman"/>
      </rPr>
      <t xml:space="preserve"> = Modified Atmosphere Packaging (technique to preserve food)</t>
    </r>
  </si>
  <si>
    <r>
      <t>Total annual OPEX</t>
    </r>
    <r>
      <rPr>
        <sz val="16"/>
        <color theme="1"/>
        <rFont val="Times New Roman"/>
      </rPr>
      <t xml:space="preserve"> ≈ €8,400</t>
    </r>
  </si>
  <si>
    <r>
      <t>kW</t>
    </r>
    <r>
      <rPr>
        <sz val="16"/>
        <color theme="1"/>
        <rFont val="Times New Roman"/>
      </rPr>
      <t xml:space="preserve"> = Kilowatt (unit of power / cooling load)</t>
    </r>
  </si>
  <si>
    <r>
      <t>N/A</t>
    </r>
    <r>
      <rPr>
        <sz val="16"/>
        <color theme="1"/>
        <rFont val="Times New Roman"/>
      </rPr>
      <t xml:space="preserve"> = Not Applicable</t>
    </r>
  </si>
  <si>
    <r>
      <rPr>
        <b/>
        <sz val="16"/>
        <color rgb="FF000000"/>
        <rFont val="Times New Roman"/>
      </rPr>
      <t xml:space="preserve">QC Lab = </t>
    </r>
    <r>
      <rPr>
        <sz val="16"/>
        <color rgb="FF000000"/>
        <rFont val="Times New Roman"/>
      </rPr>
      <t xml:space="preserve">Quality Control Laboratory </t>
    </r>
  </si>
  <si>
    <r>
      <rPr>
        <b/>
        <sz val="16"/>
        <color rgb="FF000000"/>
        <rFont val="Times New Roman"/>
      </rPr>
      <t>HVAC</t>
    </r>
    <r>
      <rPr>
        <sz val="16"/>
        <color rgb="FF000000"/>
        <rFont val="Times New Roman"/>
      </rPr>
      <t xml:space="preserve"> = Heating, Ventilation, and Air Conditioning</t>
    </r>
  </si>
  <si>
    <r>
      <t>RH</t>
    </r>
    <r>
      <rPr>
        <sz val="16"/>
        <color theme="1"/>
        <rFont val="Times New Roman"/>
      </rPr>
      <t xml:space="preserve"> = Relative Humidity (humidity % to maintain product quality)</t>
    </r>
  </si>
  <si>
    <r>
      <rPr>
        <b/>
        <sz val="16"/>
        <color rgb="FF000000"/>
        <rFont val="Times New Roman"/>
      </rPr>
      <t xml:space="preserve">Analysis and Justification of Technical Choices:
</t>
    </r>
    <r>
      <rPr>
        <sz val="11"/>
        <color rgb="FF000000"/>
        <rFont val="Aptos Narrow"/>
        <scheme val="minor"/>
      </rPr>
      <t xml:space="preserve">
</t>
    </r>
    <r>
      <rPr>
        <sz val="14"/>
        <color rgb="FF000000"/>
        <rFont val="Times New Roman"/>
      </rPr>
      <t>The facility layout and design parameters were defined according to the specific thermal and operational needs of each zone. Temperature and humidity targets are carefully adjusted to maintain mango quality during receiving, conditioning, drying, storage, and packaging operations.
Energy-efficient technologies such as LED lighting, motion sensors, heat-recovery ventilation, insulated envelopes, and variable-speed drives have been selected to minimize energy losses and optimize indoor environmental conditions. The integration of dehumidifiers with hygrostats and automated HVAC control ensures stable storage conditions, while MAP sealers and cold rooms preserve product integrity before dispatch.
In the utilities section, the inclusion of a solar photovoltaic system with battery storage and energy monitoring reduces grid dependency and lowers operational costs (OPEX). Overall, these technical decisions reflect a sustainable and cost-effective approach, combining energy efficiency, process reliability, and environmental responsibility.</t>
    </r>
  </si>
  <si>
    <t>No-Reesa (voice translation app)</t>
  </si>
  <si>
    <t>Importance of Moore → German Voice Translation in the Dried Mango Trade</t>
  </si>
  <si>
    <t>Indicator</t>
  </si>
  <si>
    <t>Without Voice Translation App (per year)</t>
  </si>
  <si>
    <t>With Voice Translation App (per year)</t>
  </si>
  <si>
    <t>Gain due to No-Reesa App</t>
  </si>
  <si>
    <t>Impact (%)</t>
  </si>
  <si>
    <t>Number of international buyers reached</t>
  </si>
  <si>
    <t>Total sales (million XOF)</t>
  </si>
  <si>
    <t>8.5</t>
  </si>
  <si>
    <t xml:space="preserve">                                               15.2</t>
  </si>
  <si>
    <t xml:space="preserve">               +6.7</t>
  </si>
  <si>
    <t xml:space="preserve">           78.8%</t>
  </si>
  <si>
    <t>Amount spent on interpreters (million XOF)</t>
  </si>
  <si>
    <t>2.1</t>
  </si>
  <si>
    <t xml:space="preserve">               +2.1</t>
  </si>
  <si>
    <t>Export success rate</t>
  </si>
  <si>
    <t xml:space="preserve">            54.5%</t>
  </si>
  <si>
    <t>Customer satisfaction rate</t>
  </si>
  <si>
    <t xml:space="preserve">            53.3%</t>
  </si>
  <si>
    <t>Average delivery agreements per month</t>
  </si>
  <si>
    <t xml:space="preserve">Investment Needed </t>
  </si>
  <si>
    <t>Category</t>
  </si>
  <si>
    <t>Estimated Cost (EUR)</t>
  </si>
  <si>
    <t>App Development</t>
  </si>
  <si>
    <t>Simplified extension with limited language pairs &amp; interface reuse</t>
  </si>
  <si>
    <t>Data Collection &amp; Translation</t>
  </si>
  <si>
    <t>Small dataset (≈5,000 sentences) using local contributors</t>
  </si>
  <si>
    <t>AI Model Training</t>
  </si>
  <si>
    <t>Training using pre-trained multilingual models (less compute cost)</t>
  </si>
  <si>
    <t>Testing &amp; Quality Assurance</t>
  </si>
  <si>
    <t>Basic linguistic and user testing</t>
  </si>
  <si>
    <t>Marketing &amp; Promotion</t>
  </si>
  <si>
    <t>Digital marketing and awareness in target communities</t>
  </si>
  <si>
    <t>Upwork (2024)</t>
  </si>
  <si>
    <t>Developer cost estimates for mobile app projects in Africa</t>
  </si>
  <si>
    <t>https://www.upwork.com</t>
  </si>
  <si>
    <t>Infrastructure &amp; Hosting</t>
  </si>
  <si>
    <t>Basic cloud instance and database</t>
  </si>
  <si>
    <t>AI4D Africa (2023)</t>
  </si>
  <si>
    <t>Language data collection cost reference</t>
  </si>
  <si>
    <t>https://ai4d.ai</t>
  </si>
  <si>
    <t>Team Salaries (3 months)</t>
  </si>
  <si>
    <t>Small core team (1 dev, 1 linguist, 1 PM)</t>
  </si>
  <si>
    <t>Hugging Face (2024)</t>
  </si>
  <si>
    <t>AI model training and hosting benchmarks</t>
  </si>
  <si>
    <t>https://huggingface.co</t>
  </si>
  <si>
    <t>Legal &amp; Administrative Fees</t>
  </si>
  <si>
    <t>Simplified registration &amp; documentation</t>
  </si>
  <si>
    <t>Google Cloud (2024)</t>
  </si>
  <si>
    <t>Cloud storage and hosting pricing</t>
  </si>
  <si>
    <t>https://cloud.google.com</t>
  </si>
  <si>
    <t>Contingency (10%)</t>
  </si>
  <si>
    <t>Buffer for adjustments</t>
  </si>
  <si>
    <t>API-BF (2024)</t>
  </si>
  <si>
    <t>Administrative and registration costs in Burkina Faso</t>
  </si>
  <si>
    <t>https://www.apibf.bf</t>
  </si>
  <si>
    <t>Total Estimated Investment</t>
  </si>
  <si>
    <t>PROJECT FINANCIAL SUMMARY</t>
  </si>
  <si>
    <t xml:space="preserve">Metric	</t>
  </si>
  <si>
    <t xml:space="preserve">Result	</t>
  </si>
  <si>
    <t>Explanation</t>
  </si>
  <si>
    <t>Total Investment</t>
  </si>
  <si>
    <t>The total cost of the security system including installation.</t>
  </si>
  <si>
    <t>The total amount saved per year from theft reduction, personnel cost reduction, and efficiency gains.</t>
  </si>
  <si>
    <t>Payback Period</t>
  </si>
  <si>
    <t>The time it takes for the annual savings to cover the initial investment.</t>
  </si>
  <si>
    <t>Annual ROI</t>
  </si>
  <si>
    <t>The annual return on investment, indicating high profitability.</t>
  </si>
  <si>
    <t>GENERAL INFORMATION</t>
  </si>
  <si>
    <t>Details</t>
  </si>
  <si>
    <t>Project Name</t>
  </si>
  <si>
    <t>Mango Drying Farm Security System</t>
  </si>
  <si>
    <t>Farm Location</t>
  </si>
  <si>
    <t>Location Of The Farm</t>
  </si>
  <si>
    <t>Farm Area</t>
  </si>
  <si>
    <t>2 Hectares</t>
  </si>
  <si>
    <t>Objectives</t>
  </si>
  <si>
    <t>Theft reduction, improved monitoring</t>
  </si>
  <si>
    <t>Crop</t>
  </si>
  <si>
    <t>Mango</t>
  </si>
  <si>
    <t>Currency</t>
  </si>
  <si>
    <t>Euro (€)</t>
  </si>
  <si>
    <t>COMPONENTS AND COSTS</t>
  </si>
  <si>
    <t>Unit Cost (€)</t>
  </si>
  <si>
    <t>Subtotal (€)</t>
  </si>
  <si>
    <t>Specifications</t>
  </si>
  <si>
    <t>Perimeter fence</t>
  </si>
  <si>
    <t>meter</t>
  </si>
  <si>
    <t>Security fence</t>
  </si>
  <si>
    <t>Perimeter cameras</t>
  </si>
  <si>
    <t>4MP, weatherproof</t>
  </si>
  <si>
    <t>Face recognition cameras</t>
  </si>
  <si>
    <t>AI technology</t>
  </si>
  <si>
    <t>Internal cameras</t>
  </si>
  <si>
    <t>Indoor monitoring</t>
  </si>
  <si>
    <t>Monitoring system</t>
  </si>
  <si>
    <t>Server + software</t>
  </si>
  <si>
    <t>Access control</t>
  </si>
  <si>
    <t>Entry control</t>
  </si>
  <si>
    <t>SUB-TOTAL</t>
  </si>
  <si>
    <t>Installation</t>
  </si>
  <si>
    <t>10% of equipment</t>
  </si>
  <si>
    <t>TOTAL INVESTMENT</t>
  </si>
  <si>
    <t>ASSUMPTIONS &amp; BASE VALUES</t>
  </si>
  <si>
    <t xml:space="preserve">Description	</t>
  </si>
  <si>
    <t>Previous annual losses</t>
  </si>
  <si>
    <t>Security guard annual salary</t>
  </si>
  <si>
    <t>Annual maintenance costs</t>
  </si>
  <si>
    <t>Theft reduction rate</t>
  </si>
  <si>
    <t>Maintenance improvement rate</t>
  </si>
  <si>
    <t>ANNUAL BENEFITS</t>
  </si>
  <si>
    <t>Benefit Type</t>
  </si>
  <si>
    <t>Amount (€)</t>
  </si>
  <si>
    <t>Theft reduction</t>
  </si>
  <si>
    <t>Loss prevention</t>
  </si>
  <si>
    <t>Personnel cost reduction</t>
  </si>
  <si>
    <t>Automated monitoring</t>
  </si>
  <si>
    <t>Maintenance improvement</t>
  </si>
  <si>
    <t>Efficiency gains</t>
  </si>
  <si>
    <t>TOTAL SAVINGS</t>
  </si>
  <si>
    <t>FINANCIAL ANALYSIS</t>
  </si>
  <si>
    <t xml:space="preserve">5 months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</si>
</sst>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0\ &quot;€&quot;;[Red]\-#,##0\ &quot;€&quot;"/>
    <numFmt numFmtId="8" formatCode="#,##0.00\ &quot;€&quot;;[Red]\-#,##0.00\ &quot;€&quot;"/>
    <numFmt numFmtId="164" formatCode="&quot;$&quot;#,##0_);[Red]\(&quot;$&quot;#,##0\)"/>
    <numFmt numFmtId="165" formatCode="_(* #,##0.00_);_(* \(#,##0.00\);_(* &quot;-&quot;??_);_(@_)"/>
    <numFmt numFmtId="166" formatCode="0.000"/>
    <numFmt numFmtId="167" formatCode="0.0"/>
    <numFmt numFmtId="168" formatCode="_(* #,##0_);_(* \(#,##0\);_(* &quot;-&quot;??_);_(@_)"/>
    <numFmt numFmtId="169" formatCode="_([$€-2]\ * #,##0.00_);_([$€-2]\ * \(#,##0.00\);_([$€-2]\ * &quot;-&quot;??_);_(@_)"/>
    <numFmt numFmtId="170" formatCode="_-* #,##0\ [$CFA-340C]_-;\-* #,##0\ [$CFA-340C]_-;_-* &quot;-&quot;\ [$CFA-340C]_-;_-@_-"/>
    <numFmt numFmtId="171" formatCode="#,##0\ [$CFA-340C]"/>
    <numFmt numFmtId="172" formatCode="_-* #,##0.00\ [$€-40C]_-;\-* #,##0.00\ [$€-40C]_-;_-* &quot;-&quot;??\ [$€-40C]_-;_-@_-"/>
    <numFmt numFmtId="173" formatCode="#,##0.0\ &quot;€&quot;;[Red]\-#,##0.0\ &quot;€&quot;"/>
  </numFmts>
  <fonts count="145">
    <font>
      <sz val="11"/>
      <color theme="1"/>
      <name val="Aptos Narrow"/>
      <family val="2"/>
      <scheme val="minor"/>
    </font>
    <font>
      <b/>
      <sz val="14"/>
      <color rgb="FF000000"/>
      <name val="Times New Roman"/>
      <family val="1"/>
    </font>
    <font>
      <sz val="14"/>
      <color rgb="FF000000"/>
      <name val="Times New Roman"/>
      <family val="1"/>
    </font>
    <font>
      <b/>
      <sz val="18"/>
      <color rgb="FF4EA72E"/>
      <name val="Aptos Narrow"/>
      <scheme val="minor"/>
    </font>
    <font>
      <b/>
      <sz val="12"/>
      <color rgb="FF000000"/>
      <name val="Times New Roman"/>
      <family val="1"/>
    </font>
    <font>
      <b/>
      <sz val="16"/>
      <color rgb="FF000000"/>
      <name val="Times New Roman"/>
      <family val="1"/>
    </font>
    <font>
      <sz val="16"/>
      <color rgb="FF000000"/>
      <name val="Times New Roman"/>
      <family val="1"/>
    </font>
    <font>
      <sz val="16"/>
      <color rgb="FF000000"/>
      <name val="Calibri"/>
      <family val="2"/>
    </font>
    <font>
      <sz val="16"/>
      <color theme="1"/>
      <name val="Aptos Narrow"/>
      <family val="2"/>
      <scheme val="minor"/>
    </font>
    <font>
      <b/>
      <sz val="14"/>
      <color rgb="FF215C98"/>
      <name val="Times New Roman"/>
    </font>
    <font>
      <b/>
      <sz val="14"/>
      <color rgb="FF000000"/>
      <name val="Times New Roman"/>
    </font>
    <font>
      <sz val="14"/>
      <color rgb="FF000000"/>
      <name val="Times New Roman"/>
    </font>
    <font>
      <sz val="14"/>
      <color rgb="FFFF0000"/>
      <name val="Times New Roman"/>
    </font>
    <font>
      <b/>
      <sz val="16"/>
      <color rgb="FF4EA72E"/>
      <name val="Times New Roman"/>
    </font>
    <font>
      <b/>
      <sz val="11"/>
      <color theme="1"/>
      <name val="Aptos Narrow"/>
      <family val="2"/>
      <scheme val="minor"/>
    </font>
    <font>
      <b/>
      <sz val="11"/>
      <color rgb="FF000000"/>
      <name val="Calibri"/>
      <charset val="134"/>
    </font>
    <font>
      <sz val="11"/>
      <color rgb="FF000000"/>
      <name val="Calibri"/>
      <charset val="134"/>
    </font>
    <font>
      <b/>
      <sz val="24"/>
      <color rgb="FF215C98"/>
      <name val="Times New Roman"/>
    </font>
    <font>
      <b/>
      <sz val="48"/>
      <color theme="0"/>
      <name val="Times New Roman"/>
    </font>
    <font>
      <sz val="12"/>
      <color theme="1"/>
      <name val="Aptos Narrow"/>
      <family val="2"/>
      <scheme val="minor"/>
    </font>
    <font>
      <b/>
      <sz val="14"/>
      <color theme="7"/>
      <name val="Aptos Narrow"/>
      <family val="2"/>
      <scheme val="minor"/>
    </font>
    <font>
      <b/>
      <sz val="14"/>
      <color rgb="FFFF0000"/>
      <name val="Aptos Narrow"/>
      <family val="2"/>
      <scheme val="minor"/>
    </font>
    <font>
      <sz val="12"/>
      <color rgb="FF000000"/>
      <name val="Aptos Narrow"/>
      <family val="2"/>
      <scheme val="minor"/>
    </font>
    <font>
      <b/>
      <sz val="14"/>
      <color theme="1"/>
      <name val="Aptos Narrow"/>
      <family val="2"/>
      <scheme val="minor"/>
    </font>
    <font>
      <b/>
      <sz val="14"/>
      <color rgb="FF00B0F0"/>
      <name val="Aptos Narrow"/>
      <family val="2"/>
      <scheme val="minor"/>
    </font>
    <font>
      <u/>
      <sz val="11"/>
      <color theme="3" tint="0.249977111117893"/>
      <name val="Aptos Narrow"/>
      <family val="2"/>
      <scheme val="minor"/>
    </font>
    <font>
      <sz val="11"/>
      <color rgb="FF000000"/>
      <name val="Aptos Narrow"/>
      <family val="2"/>
      <scheme val="minor"/>
    </font>
    <font>
      <sz val="14"/>
      <color theme="1"/>
      <name val="Aptos Narrow"/>
      <family val="2"/>
      <scheme val="minor"/>
    </font>
    <font>
      <u/>
      <sz val="11"/>
      <color theme="10"/>
      <name val="Aptos Narrow"/>
      <family val="2"/>
      <scheme val="minor"/>
    </font>
    <font>
      <sz val="11"/>
      <color rgb="FF000000"/>
      <name val="Times New Roman"/>
    </font>
    <font>
      <b/>
      <sz val="9"/>
      <color theme="1"/>
      <name val="Aptos Narrow"/>
      <family val="2"/>
      <scheme val="minor"/>
    </font>
    <font>
      <sz val="9"/>
      <color theme="1"/>
      <name val="Aptos Narrow"/>
      <family val="2"/>
      <scheme val="minor"/>
    </font>
    <font>
      <sz val="9"/>
      <color theme="0"/>
      <name val="Aptos Narrow"/>
      <family val="2"/>
      <scheme val="minor"/>
    </font>
    <font>
      <b/>
      <sz val="11"/>
      <color theme="0"/>
      <name val="Aptos Narrow"/>
      <family val="2"/>
      <scheme val="minor"/>
    </font>
    <font>
      <b/>
      <sz val="14"/>
      <color rgb="FF4EA72E"/>
      <name val="Times New Roman"/>
    </font>
    <font>
      <b/>
      <sz val="14"/>
      <color theme="1"/>
      <name val="Times New Roman"/>
    </font>
    <font>
      <sz val="11"/>
      <color theme="1"/>
      <name val="Times New Roman"/>
    </font>
    <font>
      <sz val="11"/>
      <color rgb="FF1D1D1D"/>
      <name val="Times New Roman"/>
    </font>
    <font>
      <b/>
      <sz val="20"/>
      <color theme="3"/>
      <name val="Times New Roman"/>
    </font>
    <font>
      <sz val="14"/>
      <color rgb="FF002060"/>
      <name val="Aptos Narrow"/>
      <family val="2"/>
      <scheme val="minor"/>
    </font>
    <font>
      <b/>
      <sz val="13.5"/>
      <color theme="1"/>
      <name val="Aptos Narrow"/>
      <family val="2"/>
      <scheme val="minor"/>
    </font>
    <font>
      <b/>
      <sz val="16"/>
      <color theme="1"/>
      <name val="Aptos Narrow"/>
      <family val="2"/>
      <scheme val="minor"/>
    </font>
    <font>
      <b/>
      <sz val="16"/>
      <color theme="1"/>
      <name val="Times New Roman"/>
    </font>
    <font>
      <sz val="16"/>
      <color theme="1"/>
      <name val="Times New Roman"/>
    </font>
    <font>
      <sz val="16"/>
      <color rgb="FF000000"/>
      <name val="Times New Roman"/>
    </font>
    <font>
      <b/>
      <sz val="16"/>
      <color rgb="FF000000"/>
      <name val="Times New Roman"/>
    </font>
    <font>
      <b/>
      <sz val="18"/>
      <color theme="1"/>
      <name val="Aptos Narrow"/>
      <family val="2"/>
      <scheme val="minor"/>
    </font>
    <font>
      <b/>
      <sz val="16"/>
      <color rgb="FF00B0F0"/>
      <name val="Aptos Narrow"/>
      <family val="2"/>
      <scheme val="minor"/>
    </font>
    <font>
      <b/>
      <sz val="14"/>
      <color theme="6" tint="0.39997558519241921"/>
      <name val="Aptos Narrow"/>
      <family val="2"/>
      <scheme val="minor"/>
    </font>
    <font>
      <b/>
      <sz val="14"/>
      <color rgb="FFFFC000"/>
      <name val="Aptos Narrow"/>
      <charset val="1"/>
    </font>
    <font>
      <b/>
      <sz val="14"/>
      <color rgb="FFFFC000"/>
      <name val="Aptos Narrow"/>
      <family val="2"/>
      <scheme val="minor"/>
    </font>
    <font>
      <b/>
      <sz val="14"/>
      <color rgb="FFFF0000"/>
      <name val="Aptos Narrow"/>
      <charset val="1"/>
    </font>
    <font>
      <b/>
      <sz val="14"/>
      <color rgb="FF000000"/>
      <name val="Aptos Narrow"/>
      <charset val="1"/>
    </font>
    <font>
      <sz val="12"/>
      <color rgb="FF000000"/>
      <name val="Times New Roman"/>
    </font>
    <font>
      <sz val="11"/>
      <color rgb="FF000000"/>
      <name val="Aptos Narrow"/>
      <scheme val="minor"/>
    </font>
    <font>
      <sz val="11"/>
      <color theme="1"/>
      <name val="Arial"/>
      <family val="2"/>
    </font>
    <font>
      <sz val="11"/>
      <color theme="1"/>
      <name val="Arial"/>
    </font>
    <font>
      <sz val="11"/>
      <color rgb="FF1D1D1D"/>
      <name val="Arial"/>
    </font>
    <font>
      <sz val="14"/>
      <color theme="0"/>
      <name val="Arial"/>
    </font>
    <font>
      <b/>
      <sz val="14"/>
      <color theme="0"/>
      <name val="Arial"/>
      <family val="2"/>
    </font>
    <font>
      <sz val="12"/>
      <color theme="1"/>
      <name val="Arial"/>
    </font>
    <font>
      <sz val="11"/>
      <color rgb="FF242424"/>
      <name val="Arial"/>
    </font>
    <font>
      <sz val="12"/>
      <color rgb="FF000000"/>
      <name val="Arial"/>
    </font>
    <font>
      <b/>
      <sz val="11"/>
      <color theme="3"/>
      <name val="Arial"/>
    </font>
    <font>
      <sz val="11"/>
      <color theme="0"/>
      <name val="Calibri"/>
      <family val="2"/>
      <scheme val="minor"/>
    </font>
    <font>
      <b/>
      <sz val="24"/>
      <color theme="0"/>
      <name val="Times New Roman"/>
    </font>
    <font>
      <b/>
      <sz val="14"/>
      <color theme="1"/>
      <name val="Times New Roman"/>
      <family val="1"/>
      <charset val="1"/>
    </font>
    <font>
      <b/>
      <sz val="14"/>
      <color rgb="FF000000"/>
      <name val="Times New Roman"/>
      <family val="1"/>
      <charset val="1"/>
    </font>
    <font>
      <sz val="14"/>
      <color rgb="FF000000"/>
      <name val="Times New Roman"/>
      <family val="1"/>
      <charset val="1"/>
    </font>
    <font>
      <sz val="14"/>
      <color rgb="FF000000"/>
      <name val="Times New Roman"/>
      <charset val="1"/>
    </font>
    <font>
      <sz val="14"/>
      <color theme="1"/>
      <name val="Times New Roman"/>
    </font>
    <font>
      <sz val="14"/>
      <color rgb="FF186C24"/>
      <name val="Times New Roman"/>
    </font>
    <font>
      <b/>
      <sz val="14"/>
      <color rgb="FF186C24"/>
      <name val="Times New Roman"/>
    </font>
    <font>
      <b/>
      <sz val="14"/>
      <color rgb="FF365F91"/>
      <name val="Times New Roman"/>
    </font>
    <font>
      <u/>
      <sz val="14"/>
      <color theme="10"/>
      <name val="Times New Roman"/>
    </font>
    <font>
      <b/>
      <sz val="14"/>
      <color rgb="FFC00000"/>
      <name val="Times New Roman"/>
    </font>
    <font>
      <b/>
      <sz val="14"/>
      <color rgb="FF145F82"/>
      <name val="Times New Roman"/>
    </font>
    <font>
      <b/>
      <sz val="14"/>
      <color theme="4"/>
      <name val="Times New Roman"/>
    </font>
    <font>
      <sz val="14"/>
      <color rgb="FF000000"/>
      <name val="Times"/>
    </font>
    <font>
      <b/>
      <sz val="11"/>
      <color rgb="FFFFFFFF"/>
      <name val="Calibri"/>
      <family val="2"/>
    </font>
    <font>
      <sz val="14"/>
      <color rgb="FFFFFFFF"/>
      <name val="Aptos Narrow"/>
      <scheme val="minor"/>
    </font>
    <font>
      <b/>
      <sz val="20"/>
      <color theme="1"/>
      <name val="Times New Roman"/>
    </font>
    <font>
      <b/>
      <sz val="11"/>
      <color rgb="FF000000"/>
      <name val="Calibri"/>
      <family val="2"/>
    </font>
    <font>
      <b/>
      <sz val="16"/>
      <color rgb="FFFF0000"/>
      <name val="Aptos Narrow"/>
      <family val="2"/>
      <scheme val="minor"/>
    </font>
    <font>
      <u/>
      <sz val="14"/>
      <color theme="10"/>
      <name val="Aptos Narrow"/>
      <family val="2"/>
      <scheme val="minor"/>
    </font>
    <font>
      <b/>
      <sz val="14"/>
      <color theme="0"/>
      <name val="Times New Roman"/>
    </font>
    <font>
      <b/>
      <sz val="14"/>
      <color rgb="FF1D1D1D"/>
      <name val="Times New Roman"/>
    </font>
    <font>
      <b/>
      <sz val="14"/>
      <color rgb="FFFFFFFF"/>
      <name val="Times New Roman"/>
    </font>
    <font>
      <b/>
      <sz val="14"/>
      <color theme="7" tint="0.39997558519241921"/>
      <name val="Times New Roman"/>
    </font>
    <font>
      <sz val="14"/>
      <color rgb="FF1D1D1D"/>
      <name val="Times New Roman"/>
    </font>
    <font>
      <b/>
      <sz val="14"/>
      <color rgb="FF45D65A"/>
      <name val="Times New Roman"/>
    </font>
    <font>
      <b/>
      <sz val="14"/>
      <color rgb="FFFF0000"/>
      <name val="Times New Roman"/>
    </font>
    <font>
      <b/>
      <sz val="14"/>
      <color theme="2"/>
      <name val="Times New Roman"/>
    </font>
    <font>
      <sz val="14"/>
      <color theme="2"/>
      <name val="Times New Roman"/>
    </font>
    <font>
      <b/>
      <sz val="14"/>
      <color theme="6"/>
      <name val="Times New Roman"/>
    </font>
    <font>
      <b/>
      <sz val="14"/>
      <color theme="4" tint="-0.249977111117893"/>
      <name val="Times New Roman"/>
    </font>
    <font>
      <sz val="14"/>
      <color rgb="FFC00000"/>
      <name val="Times New Roman"/>
    </font>
    <font>
      <b/>
      <sz val="14"/>
      <color theme="9" tint="-0.249977111117893"/>
      <name val="Times New Roman"/>
    </font>
    <font>
      <b/>
      <sz val="14"/>
      <color theme="9"/>
      <name val="Times New Roman"/>
    </font>
    <font>
      <b/>
      <u/>
      <sz val="14"/>
      <color rgb="FFFF0000"/>
      <name val="Times New Roman"/>
    </font>
    <font>
      <sz val="14"/>
      <color rgb="FF0F1115"/>
      <name val="Times New Roman"/>
    </font>
    <font>
      <b/>
      <sz val="14"/>
      <color rgb="FF0F1115"/>
      <name val="Times New Roman"/>
    </font>
    <font>
      <b/>
      <sz val="36"/>
      <color theme="0"/>
      <name val="Times New Roman"/>
    </font>
    <font>
      <sz val="14"/>
      <color theme="0"/>
      <name val="Times New Roman"/>
    </font>
    <font>
      <sz val="11"/>
      <color theme="0"/>
      <name val="Times New Roman"/>
    </font>
    <font>
      <b/>
      <sz val="11"/>
      <color rgb="FF000000"/>
      <name val="Times New Roman"/>
    </font>
    <font>
      <b/>
      <sz val="11"/>
      <color theme="1"/>
      <name val="Times New Roman"/>
    </font>
    <font>
      <sz val="14"/>
      <color rgb="FFFFFFFF"/>
      <name val="Times New Roman"/>
    </font>
    <font>
      <b/>
      <u/>
      <sz val="14"/>
      <color rgb="FF0E2841"/>
      <name val="Times New Roman"/>
    </font>
    <font>
      <sz val="14"/>
      <color theme="3"/>
      <name val="Times New Roman"/>
    </font>
    <font>
      <b/>
      <sz val="18"/>
      <color theme="0"/>
      <name val="Times New Roman"/>
    </font>
    <font>
      <b/>
      <sz val="18"/>
      <color theme="0"/>
      <name val="Arial"/>
      <family val="2"/>
    </font>
    <font>
      <sz val="11"/>
      <color rgb="FF0070C0"/>
      <name val="Times New Roman"/>
    </font>
    <font>
      <sz val="13.5"/>
      <color rgb="FF000000"/>
      <name val="Times New Roman"/>
    </font>
    <font>
      <b/>
      <sz val="13.5"/>
      <color rgb="FF000000"/>
      <name val="Times New Roman"/>
    </font>
    <font>
      <b/>
      <sz val="11"/>
      <color theme="0"/>
      <name val="Times New Roman"/>
    </font>
    <font>
      <u/>
      <sz val="11"/>
      <color theme="10"/>
      <name val="Times New Roman"/>
    </font>
    <font>
      <sz val="12"/>
      <color theme="1"/>
      <name val="Times New Roman"/>
    </font>
    <font>
      <b/>
      <sz val="12"/>
      <color theme="1"/>
      <name val="Times New Roman"/>
    </font>
    <font>
      <b/>
      <sz val="12"/>
      <color rgb="FFFF0000"/>
      <name val="Times New Roman"/>
    </font>
    <font>
      <sz val="12"/>
      <color rgb="FFFF0000"/>
      <name val="Times New Roman"/>
    </font>
    <font>
      <b/>
      <sz val="12"/>
      <color rgb="FFFFC000"/>
      <name val="Times New Roman"/>
    </font>
    <font>
      <sz val="12"/>
      <color rgb="FFFFC000"/>
      <name val="Times New Roman"/>
    </font>
    <font>
      <b/>
      <sz val="12"/>
      <color theme="4"/>
      <name val="Times New Roman"/>
    </font>
    <font>
      <sz val="12"/>
      <color theme="4"/>
      <name val="Times New Roman"/>
    </font>
    <font>
      <i/>
      <sz val="12"/>
      <color theme="4"/>
      <name val="Times New Roman"/>
    </font>
    <font>
      <b/>
      <sz val="12"/>
      <color rgb="FF07524C"/>
      <name val="Times New Roman"/>
    </font>
    <font>
      <sz val="12"/>
      <color rgb="FF07524C"/>
      <name val="Times New Roman"/>
    </font>
    <font>
      <i/>
      <sz val="12"/>
      <color rgb="FF07524C"/>
      <name val="Times New Roman"/>
    </font>
    <font>
      <i/>
      <sz val="12"/>
      <color theme="1"/>
      <name val="Times New Roman"/>
    </font>
    <font>
      <b/>
      <sz val="12"/>
      <color rgb="FF369971"/>
      <name val="Times New Roman"/>
    </font>
    <font>
      <b/>
      <sz val="12"/>
      <color theme="5" tint="0.39997558519241921"/>
      <name val="Times New Roman"/>
    </font>
    <font>
      <b/>
      <sz val="12"/>
      <color rgb="FF0070C0"/>
      <name val="Times New Roman"/>
    </font>
    <font>
      <b/>
      <sz val="12"/>
      <color rgb="FF00B0F0"/>
      <name val="Times New Roman"/>
    </font>
    <font>
      <b/>
      <sz val="12"/>
      <color theme="5"/>
      <name val="Times New Roman"/>
    </font>
    <font>
      <b/>
      <sz val="12"/>
      <color theme="6" tint="0.39997558519241921"/>
      <name val="Times New Roman"/>
    </font>
    <font>
      <b/>
      <sz val="12"/>
      <color rgb="FF7030A0"/>
      <name val="Times New Roman"/>
    </font>
    <font>
      <b/>
      <sz val="14"/>
      <color theme="7"/>
      <name val="Times New Roman"/>
    </font>
    <font>
      <b/>
      <sz val="14"/>
      <color rgb="FF00B0F0"/>
      <name val="Times New Roman"/>
    </font>
    <font>
      <b/>
      <sz val="16"/>
      <color rgb="FF00B0F0"/>
      <name val="Times New Roman"/>
    </font>
    <font>
      <i/>
      <sz val="14"/>
      <color theme="1"/>
      <name val="Times New Roman"/>
    </font>
    <font>
      <sz val="14"/>
      <color rgb="FF000000"/>
      <name val="Ff2"/>
    </font>
    <font>
      <b/>
      <sz val="14"/>
      <color theme="1" tint="4.9989318521683403E-2"/>
      <name val="Times New Roman"/>
    </font>
    <font>
      <sz val="12"/>
      <color theme="1"/>
      <name val="Arial"/>
      <family val="2"/>
    </font>
    <font>
      <sz val="18"/>
      <color theme="0"/>
      <name val="Aptos Narrow"/>
      <scheme val="minor"/>
    </font>
  </fonts>
  <fills count="17">
    <fill>
      <patternFill patternType="none"/>
    </fill>
    <fill>
      <patternFill patternType="gray125"/>
    </fill>
    <fill>
      <patternFill patternType="solid">
        <fgColor rgb="FFF2F2F2"/>
        <bgColor rgb="FF000000"/>
      </patternFill>
    </fill>
    <fill>
      <patternFill patternType="solid">
        <fgColor rgb="FFF2F2F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theme="0" tint="-0.14999847407452621"/>
        <bgColor indexed="64"/>
      </patternFill>
    </fill>
    <fill>
      <patternFill patternType="solid">
        <fgColor theme="3"/>
        <bgColor indexed="64"/>
      </patternFill>
    </fill>
    <fill>
      <patternFill patternType="solid">
        <fgColor rgb="FF0A8276"/>
        <bgColor rgb="FF000000"/>
      </patternFill>
    </fill>
    <fill>
      <patternFill patternType="solid">
        <fgColor rgb="FF078276"/>
        <bgColor indexed="64"/>
      </patternFill>
    </fill>
    <fill>
      <patternFill patternType="solid">
        <fgColor rgb="FFFF000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80">
    <border>
      <left/>
      <right/>
      <top/>
      <bottom/>
      <diagonal/>
    </border>
    <border>
      <left style="thin">
        <color rgb="FFBFBFBF"/>
      </left>
      <right style="thin">
        <color rgb="FFBFBFBF"/>
      </right>
      <top style="thin">
        <color rgb="FFBFBFBF"/>
      </top>
      <bottom style="thin">
        <color rgb="FFBFBFBF"/>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rgb="FFBFBFBF"/>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style="thin">
        <color rgb="FFBFBFBF"/>
      </left>
      <right style="thin">
        <color rgb="FFBFBFBF"/>
      </right>
      <top/>
      <bottom style="thin">
        <color rgb="FFBFBFBF"/>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theme="0"/>
      </left>
      <right/>
      <top/>
      <bottom/>
      <diagonal/>
    </border>
    <border>
      <left style="thin">
        <color theme="0"/>
      </left>
      <right/>
      <top style="thin">
        <color theme="0"/>
      </top>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right/>
      <top style="medium">
        <color rgb="FF000000"/>
      </top>
      <bottom style="thin">
        <color rgb="FF000000"/>
      </bottom>
      <diagonal/>
    </border>
    <border>
      <left/>
      <right/>
      <top/>
      <bottom style="medium">
        <color rgb="FF000000"/>
      </bottom>
      <diagonal/>
    </border>
    <border>
      <left style="thick">
        <color rgb="FF000000"/>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right style="medium">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FFFFFF"/>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theme="3"/>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style="medium">
        <color rgb="FF000000"/>
      </left>
      <right/>
      <top style="medium">
        <color rgb="FF000000"/>
      </top>
      <bottom style="thin">
        <color rgb="FF000000"/>
      </bottom>
      <diagonal/>
    </border>
  </borders>
  <cellStyleXfs count="2">
    <xf numFmtId="0" fontId="0" fillId="0" borderId="0"/>
    <xf numFmtId="0" fontId="28" fillId="0" borderId="0" applyNumberFormat="0" applyFill="0" applyBorder="0" applyAlignment="0" applyProtection="0"/>
  </cellStyleXfs>
  <cellXfs count="845">
    <xf numFmtId="0" fontId="0" fillId="0" borderId="0" xfId="0"/>
    <xf numFmtId="0" fontId="11" fillId="0" borderId="0" xfId="0" applyFont="1" applyFill="1" applyBorder="1" applyAlignment="1">
      <alignment horizontal="left" wrapText="1"/>
    </xf>
    <xf numFmtId="0" fontId="14" fillId="0" borderId="0" xfId="0" applyFont="1"/>
    <xf numFmtId="0" fontId="0" fillId="0" borderId="0" xfId="0" applyBorder="1"/>
    <xf numFmtId="0" fontId="9" fillId="0" borderId="0" xfId="0" applyFont="1" applyFill="1" applyBorder="1" applyAlignment="1"/>
    <xf numFmtId="0" fontId="16" fillId="0" borderId="0" xfId="0" applyFont="1" applyFill="1" applyBorder="1" applyAlignment="1"/>
    <xf numFmtId="0" fontId="19" fillId="0" borderId="0" xfId="0" applyFont="1" applyBorder="1"/>
    <xf numFmtId="0" fontId="23" fillId="0" borderId="19" xfId="0" applyFont="1" applyBorder="1" applyAlignment="1">
      <alignment horizontal="center" vertical="center"/>
    </xf>
    <xf numFmtId="0" fontId="0" fillId="0" borderId="0" xfId="0" applyAlignment="1">
      <alignment wrapText="1"/>
    </xf>
    <xf numFmtId="9" fontId="0" fillId="0" borderId="0" xfId="0" applyNumberFormat="1" applyAlignment="1">
      <alignment wrapText="1"/>
    </xf>
    <xf numFmtId="0" fontId="25" fillId="4" borderId="0" xfId="0" applyFont="1" applyFill="1"/>
    <xf numFmtId="0" fontId="0" fillId="0" borderId="5" xfId="0" applyBorder="1"/>
    <xf numFmtId="0" fontId="0" fillId="4" borderId="5" xfId="0" applyFill="1" applyBorder="1"/>
    <xf numFmtId="0" fontId="27" fillId="0" borderId="19" xfId="0" applyFont="1" applyBorder="1" applyAlignment="1">
      <alignment horizontal="center" vertical="center"/>
    </xf>
    <xf numFmtId="0" fontId="27" fillId="0" borderId="19" xfId="0" applyFont="1" applyBorder="1" applyAlignment="1">
      <alignment horizontal="center" vertical="center" wrapText="1"/>
    </xf>
    <xf numFmtId="0" fontId="17" fillId="0" borderId="0" xfId="0" applyFont="1" applyFill="1" applyBorder="1" applyAlignment="1">
      <alignment horizontal="center"/>
    </xf>
    <xf numFmtId="0" fontId="30" fillId="0" borderId="0" xfId="0" applyFont="1"/>
    <xf numFmtId="0" fontId="31" fillId="0" borderId="0" xfId="0" applyFont="1"/>
    <xf numFmtId="0" fontId="32" fillId="8" borderId="0" xfId="0" applyFont="1" applyFill="1"/>
    <xf numFmtId="0" fontId="36" fillId="0" borderId="0" xfId="0" applyFont="1"/>
    <xf numFmtId="0" fontId="39" fillId="0" borderId="0" xfId="0" applyFont="1"/>
    <xf numFmtId="0" fontId="28" fillId="0" borderId="0" xfId="1"/>
    <xf numFmtId="0" fontId="17" fillId="0" borderId="0" xfId="0" applyFont="1" applyAlignment="1">
      <alignment horizontal="center"/>
    </xf>
    <xf numFmtId="0" fontId="8" fillId="0" borderId="0" xfId="0" quotePrefix="1" applyFont="1" applyAlignment="1">
      <alignment horizontal="center"/>
    </xf>
    <xf numFmtId="0" fontId="41" fillId="0" borderId="0" xfId="0" applyFont="1" applyBorder="1" applyAlignment="1">
      <alignment horizontal="center"/>
    </xf>
    <xf numFmtId="0" fontId="8" fillId="0" borderId="0" xfId="0" applyFont="1" applyBorder="1" applyAlignment="1">
      <alignment horizontal="center"/>
    </xf>
    <xf numFmtId="0" fontId="8" fillId="0" borderId="6" xfId="0" applyFont="1" applyBorder="1" applyAlignment="1">
      <alignment horizontal="center"/>
    </xf>
    <xf numFmtId="0" fontId="42" fillId="0" borderId="0" xfId="0" applyFont="1" applyAlignment="1">
      <alignment horizontal="center"/>
    </xf>
    <xf numFmtId="0" fontId="43" fillId="0" borderId="0" xfId="0" applyFont="1" applyAlignment="1">
      <alignment horizontal="center"/>
    </xf>
    <xf numFmtId="3" fontId="43" fillId="0" borderId="0" xfId="0" applyNumberFormat="1" applyFont="1" applyAlignment="1">
      <alignment horizontal="center"/>
    </xf>
    <xf numFmtId="0" fontId="44" fillId="0" borderId="0" xfId="0" applyFont="1" applyFill="1" applyBorder="1" applyAlignment="1">
      <alignment horizontal="center"/>
    </xf>
    <xf numFmtId="16" fontId="44" fillId="0" borderId="0" xfId="0" applyNumberFormat="1" applyFont="1" applyFill="1" applyBorder="1" applyAlignment="1">
      <alignment horizontal="center"/>
    </xf>
    <xf numFmtId="0" fontId="42" fillId="0" borderId="0" xfId="0" applyFont="1" applyAlignment="1">
      <alignment horizontal="left"/>
    </xf>
    <xf numFmtId="0" fontId="44" fillId="0" borderId="0" xfId="0" applyFont="1"/>
    <xf numFmtId="0" fontId="45" fillId="0" borderId="0" xfId="0" applyFont="1" applyAlignment="1">
      <alignment horizontal="center"/>
    </xf>
    <xf numFmtId="0" fontId="45" fillId="0" borderId="22" xfId="0" applyFont="1" applyFill="1" applyBorder="1" applyAlignment="1">
      <alignment horizontal="center"/>
    </xf>
    <xf numFmtId="0" fontId="5" fillId="0" borderId="22" xfId="0" applyFont="1" applyFill="1" applyBorder="1" applyAlignment="1">
      <alignment horizontal="center"/>
    </xf>
    <xf numFmtId="0" fontId="6" fillId="0" borderId="0" xfId="0" applyFont="1" applyFill="1" applyBorder="1" applyAlignment="1">
      <alignment horizontal="center"/>
    </xf>
    <xf numFmtId="0" fontId="42" fillId="0" borderId="0" xfId="0" applyFont="1"/>
    <xf numFmtId="0" fontId="43" fillId="0" borderId="0" xfId="0" applyFont="1"/>
    <xf numFmtId="0" fontId="45" fillId="0" borderId="0" xfId="0" applyFont="1"/>
    <xf numFmtId="0" fontId="19" fillId="0" borderId="18"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6" xfId="0" applyFont="1" applyBorder="1" applyAlignment="1">
      <alignment horizontal="center" vertical="center" wrapText="1"/>
    </xf>
    <xf numFmtId="0" fontId="0" fillId="0" borderId="19" xfId="0" applyBorder="1" applyAlignment="1">
      <alignment horizontal="center" vertical="center" wrapText="1"/>
    </xf>
    <xf numFmtId="0" fontId="0" fillId="0" borderId="19" xfId="0" applyBorder="1" applyAlignment="1">
      <alignment horizontal="center" vertical="center"/>
    </xf>
    <xf numFmtId="0" fontId="53" fillId="0" borderId="0" xfId="0" applyFont="1" applyAlignment="1">
      <alignment wrapText="1"/>
    </xf>
    <xf numFmtId="0" fontId="55" fillId="0" borderId="0" xfId="0" applyFont="1"/>
    <xf numFmtId="0" fontId="56" fillId="0" borderId="0" xfId="0" applyFont="1"/>
    <xf numFmtId="0" fontId="56" fillId="0" borderId="0" xfId="0" applyFont="1" applyAlignment="1">
      <alignment horizontal="center"/>
    </xf>
    <xf numFmtId="0" fontId="59" fillId="0" borderId="0" xfId="0" applyFont="1" applyAlignment="1">
      <alignment vertical="center"/>
    </xf>
    <xf numFmtId="165" fontId="57" fillId="0" borderId="0" xfId="0" applyNumberFormat="1" applyFont="1" applyBorder="1" applyAlignment="1">
      <alignment horizontal="center"/>
    </xf>
    <xf numFmtId="0" fontId="57" fillId="0" borderId="0" xfId="0" applyFont="1" applyBorder="1" applyAlignment="1">
      <alignment vertical="center"/>
    </xf>
    <xf numFmtId="0" fontId="14" fillId="0" borderId="0" xfId="0" applyFont="1" applyAlignment="1">
      <alignment wrapText="1"/>
    </xf>
    <xf numFmtId="0" fontId="16" fillId="4" borderId="0" xfId="0" applyFont="1" applyFill="1" applyBorder="1" applyAlignment="1"/>
    <xf numFmtId="0" fontId="15" fillId="4" borderId="0" xfId="0" applyFont="1" applyFill="1" applyBorder="1" applyAlignment="1"/>
    <xf numFmtId="0" fontId="0" fillId="4" borderId="0" xfId="0" applyFill="1" applyBorder="1"/>
    <xf numFmtId="0" fontId="17" fillId="4" borderId="0" xfId="0" applyFont="1" applyFill="1" applyBorder="1" applyAlignment="1">
      <alignment horizontal="center"/>
    </xf>
    <xf numFmtId="0" fontId="0" fillId="4" borderId="0" xfId="0" applyFont="1" applyFill="1" applyBorder="1"/>
    <xf numFmtId="0" fontId="2" fillId="0" borderId="0" xfId="0" applyFont="1" applyFill="1" applyBorder="1" applyAlignment="1">
      <alignment horizontal="center"/>
    </xf>
    <xf numFmtId="0" fontId="13" fillId="0" borderId="0" xfId="0" applyFont="1" applyFill="1" applyBorder="1" applyAlignment="1">
      <alignment horizontal="left" wrapText="1"/>
    </xf>
    <xf numFmtId="0" fontId="2" fillId="0" borderId="0" xfId="0" applyFont="1" applyFill="1" applyBorder="1" applyAlignment="1">
      <alignment horizontal="left"/>
    </xf>
    <xf numFmtId="0" fontId="7" fillId="0" borderId="0" xfId="0" applyFont="1" applyFill="1" applyBorder="1" applyAlignment="1">
      <alignment horizontal="left"/>
    </xf>
    <xf numFmtId="0" fontId="10" fillId="0" borderId="0" xfId="0" applyFont="1" applyFill="1" applyBorder="1" applyAlignment="1">
      <alignment horizontal="left"/>
    </xf>
    <xf numFmtId="0" fontId="2" fillId="0" borderId="0" xfId="0" applyFont="1" applyFill="1" applyBorder="1" applyAlignment="1">
      <alignment horizontal="left" wrapText="1"/>
    </xf>
    <xf numFmtId="0" fontId="1" fillId="0" borderId="2" xfId="0" applyFont="1" applyFill="1" applyBorder="1" applyAlignment="1">
      <alignment horizontal="left" wrapText="1"/>
    </xf>
    <xf numFmtId="0" fontId="1" fillId="0" borderId="3" xfId="0" applyFont="1" applyFill="1" applyBorder="1" applyAlignment="1">
      <alignment horizontal="left" wrapText="1"/>
    </xf>
    <xf numFmtId="0" fontId="2" fillId="0" borderId="2" xfId="0" applyFont="1" applyFill="1" applyBorder="1" applyAlignment="1">
      <alignment horizontal="left" wrapText="1"/>
    </xf>
    <xf numFmtId="0" fontId="2" fillId="0" borderId="3" xfId="0" applyFont="1" applyFill="1" applyBorder="1" applyAlignment="1">
      <alignment horizontal="left" wrapText="1"/>
    </xf>
    <xf numFmtId="0" fontId="66" fillId="0" borderId="1" xfId="0" applyFont="1" applyBorder="1" applyAlignment="1">
      <alignment horizontal="left"/>
    </xf>
    <xf numFmtId="0" fontId="67" fillId="3" borderId="1" xfId="0" applyFont="1" applyFill="1" applyBorder="1" applyAlignment="1">
      <alignment horizontal="left"/>
    </xf>
    <xf numFmtId="3" fontId="68" fillId="3" borderId="1" xfId="0" applyNumberFormat="1" applyFont="1" applyFill="1" applyBorder="1" applyAlignment="1">
      <alignment horizontal="left"/>
    </xf>
    <xf numFmtId="0" fontId="4" fillId="0" borderId="0" xfId="0" applyFont="1" applyFill="1" applyBorder="1" applyAlignment="1">
      <alignment horizontal="left" wrapText="1"/>
    </xf>
    <xf numFmtId="0" fontId="12" fillId="0" borderId="0" xfId="0" applyFont="1" applyFill="1" applyBorder="1" applyAlignment="1">
      <alignment horizontal="left"/>
    </xf>
    <xf numFmtId="0" fontId="69" fillId="0" borderId="0" xfId="0" applyFont="1"/>
    <xf numFmtId="0" fontId="70" fillId="0" borderId="0" xfId="0" applyFont="1"/>
    <xf numFmtId="0" fontId="70" fillId="0" borderId="0" xfId="0" applyFont="1" applyAlignment="1">
      <alignment horizontal="center"/>
    </xf>
    <xf numFmtId="0" fontId="73" fillId="0" borderId="0" xfId="0" applyFont="1"/>
    <xf numFmtId="0" fontId="74" fillId="0" borderId="0" xfId="1" quotePrefix="1" applyFont="1"/>
    <xf numFmtId="0" fontId="70" fillId="0" borderId="0" xfId="0" quotePrefix="1" applyFont="1"/>
    <xf numFmtId="0" fontId="75" fillId="0" borderId="0" xfId="0" applyFont="1"/>
    <xf numFmtId="0" fontId="10" fillId="0" borderId="0" xfId="0" applyFont="1"/>
    <xf numFmtId="0" fontId="35" fillId="0" borderId="0" xfId="0" applyFont="1"/>
    <xf numFmtId="0" fontId="71" fillId="0" borderId="0" xfId="0" applyFont="1" applyAlignment="1">
      <alignment horizontal="center"/>
    </xf>
    <xf numFmtId="0" fontId="35" fillId="0" borderId="0" xfId="0" applyFont="1" applyBorder="1" applyAlignment="1">
      <alignment horizontal="left"/>
    </xf>
    <xf numFmtId="0" fontId="70" fillId="0" borderId="0" xfId="0" applyFont="1" applyBorder="1" applyAlignment="1">
      <alignment horizontal="left"/>
    </xf>
    <xf numFmtId="0" fontId="10" fillId="0" borderId="0" xfId="0" applyFont="1" applyBorder="1"/>
    <xf numFmtId="3" fontId="8" fillId="0" borderId="0" xfId="0" applyNumberFormat="1" applyFont="1" applyAlignment="1">
      <alignment horizontal="center"/>
    </xf>
    <xf numFmtId="0" fontId="27" fillId="0" borderId="0" xfId="0" applyFont="1"/>
    <xf numFmtId="0" fontId="11" fillId="0" borderId="0" xfId="0" applyFont="1"/>
    <xf numFmtId="3" fontId="70" fillId="0" borderId="0" xfId="0" applyNumberFormat="1" applyFont="1"/>
    <xf numFmtId="0" fontId="76" fillId="0" borderId="0" xfId="0" applyFont="1"/>
    <xf numFmtId="0" fontId="77" fillId="0" borderId="0" xfId="0" applyFont="1"/>
    <xf numFmtId="4" fontId="70" fillId="0" borderId="0" xfId="0" applyNumberFormat="1" applyFont="1"/>
    <xf numFmtId="3" fontId="76" fillId="0" borderId="0" xfId="0" applyNumberFormat="1" applyFont="1"/>
    <xf numFmtId="3" fontId="70" fillId="0" borderId="0" xfId="0" applyNumberFormat="1" applyFont="1" applyBorder="1" applyAlignment="1">
      <alignment horizontal="left"/>
    </xf>
    <xf numFmtId="3" fontId="70" fillId="0" borderId="0" xfId="0" applyNumberFormat="1" applyFont="1" applyAlignment="1">
      <alignment horizontal="center"/>
    </xf>
    <xf numFmtId="0" fontId="70" fillId="0" borderId="0" xfId="0" applyNumberFormat="1" applyFont="1"/>
    <xf numFmtId="4" fontId="70" fillId="0" borderId="0" xfId="0" applyNumberFormat="1" applyFont="1" applyBorder="1" applyAlignment="1">
      <alignment horizontal="left"/>
    </xf>
    <xf numFmtId="3" fontId="77" fillId="0" borderId="0" xfId="0" applyNumberFormat="1" applyFont="1" applyAlignment="1">
      <alignment horizontal="center"/>
    </xf>
    <xf numFmtId="0" fontId="77" fillId="0" borderId="0" xfId="0" applyFont="1" applyAlignment="1">
      <alignment horizontal="center"/>
    </xf>
    <xf numFmtId="0" fontId="78" fillId="0" borderId="0" xfId="0" applyFont="1"/>
    <xf numFmtId="2" fontId="70" fillId="0" borderId="0" xfId="0" applyNumberFormat="1" applyFont="1"/>
    <xf numFmtId="1" fontId="70" fillId="0" borderId="0" xfId="0" applyNumberFormat="1" applyFont="1"/>
    <xf numFmtId="0" fontId="18" fillId="10" borderId="0" xfId="0" applyFont="1" applyFill="1" applyAlignment="1"/>
    <xf numFmtId="0" fontId="18" fillId="4" borderId="0" xfId="0" applyFont="1" applyFill="1" applyAlignment="1"/>
    <xf numFmtId="0" fontId="18" fillId="4" borderId="0" xfId="0" applyFont="1" applyFill="1" applyBorder="1" applyAlignment="1">
      <alignment wrapText="1"/>
    </xf>
    <xf numFmtId="0" fontId="36" fillId="0" borderId="0" xfId="0" applyFont="1" applyBorder="1"/>
    <xf numFmtId="0" fontId="35" fillId="0" borderId="0" xfId="0" applyFont="1" applyBorder="1"/>
    <xf numFmtId="0" fontId="14" fillId="4" borderId="0" xfId="0" applyFont="1" applyFill="1" applyAlignment="1">
      <alignment wrapText="1"/>
    </xf>
    <xf numFmtId="0" fontId="38" fillId="0" borderId="0" xfId="0" applyFont="1" applyAlignment="1">
      <alignment horizontal="center"/>
    </xf>
    <xf numFmtId="0" fontId="33" fillId="8" borderId="0" xfId="0" applyFont="1" applyFill="1" applyAlignment="1">
      <alignment horizontal="center"/>
    </xf>
    <xf numFmtId="0" fontId="33" fillId="8" borderId="0" xfId="0" applyFont="1" applyFill="1" applyAlignment="1">
      <alignment wrapText="1"/>
    </xf>
    <xf numFmtId="0" fontId="80" fillId="8" borderId="0" xfId="0" applyFont="1" applyFill="1"/>
    <xf numFmtId="0" fontId="81" fillId="4" borderId="0" xfId="0" applyFont="1" applyFill="1" applyAlignment="1">
      <alignment horizontal="center" vertical="center" wrapText="1"/>
    </xf>
    <xf numFmtId="0" fontId="31" fillId="0" borderId="0" xfId="0" applyFont="1" applyAlignment="1">
      <alignment horizontal="right"/>
    </xf>
    <xf numFmtId="9" fontId="31" fillId="0" borderId="0" xfId="0" applyNumberFormat="1" applyFont="1" applyAlignment="1">
      <alignment horizontal="right"/>
    </xf>
    <xf numFmtId="0" fontId="31" fillId="0" borderId="0" xfId="0" quotePrefix="1" applyFont="1" applyAlignment="1">
      <alignment horizontal="right"/>
    </xf>
    <xf numFmtId="9" fontId="30" fillId="0" borderId="0" xfId="0" applyNumberFormat="1" applyFont="1" applyAlignment="1">
      <alignment horizontal="right"/>
    </xf>
    <xf numFmtId="0" fontId="30" fillId="0" borderId="0" xfId="0" applyFont="1" applyAlignment="1">
      <alignment horizontal="right"/>
    </xf>
    <xf numFmtId="0" fontId="79" fillId="6" borderId="61" xfId="0" applyFont="1" applyFill="1" applyBorder="1" applyAlignment="1">
      <alignment wrapText="1"/>
    </xf>
    <xf numFmtId="0" fontId="82" fillId="4" borderId="5" xfId="0" applyFont="1" applyFill="1" applyBorder="1" applyAlignment="1">
      <alignment wrapText="1"/>
    </xf>
    <xf numFmtId="0" fontId="14" fillId="0" borderId="5" xfId="0" applyFont="1" applyBorder="1"/>
    <xf numFmtId="0" fontId="22" fillId="0" borderId="0" xfId="0" applyFont="1" applyBorder="1"/>
    <xf numFmtId="167" fontId="19" fillId="0" borderId="0" xfId="0" applyNumberFormat="1" applyFont="1" applyBorder="1"/>
    <xf numFmtId="2" fontId="19" fillId="0" borderId="0" xfId="0" applyNumberFormat="1" applyFont="1" applyBorder="1"/>
    <xf numFmtId="166" fontId="19" fillId="0" borderId="0" xfId="0" applyNumberFormat="1" applyFont="1" applyBorder="1"/>
    <xf numFmtId="0" fontId="21" fillId="0" borderId="0" xfId="0" applyFont="1" applyBorder="1"/>
    <xf numFmtId="167" fontId="21" fillId="0" borderId="0" xfId="0" applyNumberFormat="1" applyFont="1" applyBorder="1"/>
    <xf numFmtId="0" fontId="27" fillId="0" borderId="28" xfId="0" applyFont="1" applyBorder="1" applyAlignment="1">
      <alignment horizontal="center" vertical="center"/>
    </xf>
    <xf numFmtId="0" fontId="27" fillId="0" borderId="19" xfId="0" quotePrefix="1" applyFont="1" applyBorder="1" applyAlignment="1">
      <alignment horizontal="center" vertical="center"/>
    </xf>
    <xf numFmtId="0" fontId="40" fillId="0" borderId="0" xfId="0" applyFont="1" applyAlignment="1"/>
    <xf numFmtId="0" fontId="70" fillId="0" borderId="0" xfId="0" quotePrefix="1" applyFont="1" applyAlignment="1">
      <alignment horizontal="center"/>
    </xf>
    <xf numFmtId="0" fontId="11" fillId="0" borderId="22" xfId="0" applyFont="1" applyFill="1" applyBorder="1" applyAlignment="1">
      <alignment horizontal="center" wrapText="1"/>
    </xf>
    <xf numFmtId="0" fontId="11" fillId="0" borderId="23" xfId="0" applyFont="1" applyFill="1" applyBorder="1" applyAlignment="1">
      <alignment horizontal="center" wrapText="1"/>
    </xf>
    <xf numFmtId="0" fontId="11" fillId="0" borderId="24" xfId="0" applyFont="1" applyFill="1" applyBorder="1" applyAlignment="1">
      <alignment horizontal="center" wrapText="1"/>
    </xf>
    <xf numFmtId="0" fontId="11" fillId="0" borderId="25" xfId="0" applyFont="1" applyFill="1" applyBorder="1" applyAlignment="1">
      <alignment horizontal="center" wrapText="1"/>
    </xf>
    <xf numFmtId="0" fontId="11" fillId="0" borderId="23" xfId="0" applyFont="1" applyFill="1" applyBorder="1" applyAlignment="1">
      <alignment horizontal="center"/>
    </xf>
    <xf numFmtId="1" fontId="68" fillId="3" borderId="1" xfId="0" applyNumberFormat="1" applyFont="1" applyFill="1" applyBorder="1" applyAlignment="1">
      <alignment horizontal="left"/>
    </xf>
    <xf numFmtId="1" fontId="68" fillId="2" borderId="1" xfId="0" applyNumberFormat="1" applyFont="1" applyFill="1" applyBorder="1" applyAlignment="1">
      <alignment horizontal="left"/>
    </xf>
    <xf numFmtId="1" fontId="68" fillId="0" borderId="29" xfId="0" applyNumberFormat="1" applyFont="1" applyFill="1" applyBorder="1" applyAlignment="1">
      <alignment horizontal="left"/>
    </xf>
    <xf numFmtId="1" fontId="68" fillId="2" borderId="29" xfId="0" applyNumberFormat="1" applyFont="1" applyFill="1" applyBorder="1" applyAlignment="1">
      <alignment horizontal="left"/>
    </xf>
    <xf numFmtId="1" fontId="2" fillId="0" borderId="3" xfId="0" applyNumberFormat="1" applyFont="1" applyFill="1" applyBorder="1" applyAlignment="1">
      <alignment horizontal="left" wrapText="1"/>
    </xf>
    <xf numFmtId="0" fontId="1" fillId="0" borderId="0" xfId="0" applyFont="1" applyFill="1" applyBorder="1" applyAlignment="1">
      <alignment horizontal="left" wrapText="1"/>
    </xf>
    <xf numFmtId="0" fontId="69" fillId="0" borderId="0" xfId="0" applyFont="1" applyBorder="1"/>
    <xf numFmtId="0" fontId="2" fillId="2" borderId="0" xfId="0" applyFont="1" applyFill="1" applyBorder="1" applyAlignment="1">
      <alignment horizontal="left"/>
    </xf>
    <xf numFmtId="0" fontId="10" fillId="0" borderId="0" xfId="0" applyFont="1" applyAlignment="1">
      <alignment horizontal="left"/>
    </xf>
    <xf numFmtId="0" fontId="84" fillId="0" borderId="0" xfId="1" applyFont="1"/>
    <xf numFmtId="0" fontId="14" fillId="0" borderId="68" xfId="0" applyFont="1" applyBorder="1"/>
    <xf numFmtId="0" fontId="14" fillId="0" borderId="69" xfId="0" applyFont="1" applyBorder="1"/>
    <xf numFmtId="0" fontId="0" fillId="4" borderId="70" xfId="0" applyFill="1" applyBorder="1"/>
    <xf numFmtId="0" fontId="28" fillId="4" borderId="71" xfId="1" applyFill="1" applyBorder="1"/>
    <xf numFmtId="0" fontId="0" fillId="4" borderId="72" xfId="0" applyFill="1" applyBorder="1"/>
    <xf numFmtId="0" fontId="0" fillId="4" borderId="74" xfId="0" applyFill="1" applyBorder="1"/>
    <xf numFmtId="0" fontId="28" fillId="4" borderId="69" xfId="1" applyFill="1" applyBorder="1"/>
    <xf numFmtId="0" fontId="14" fillId="0" borderId="76" xfId="0" applyFont="1" applyBorder="1"/>
    <xf numFmtId="0" fontId="0" fillId="4" borderId="73" xfId="0" applyFill="1" applyBorder="1"/>
    <xf numFmtId="0" fontId="0" fillId="4" borderId="78" xfId="0" applyFill="1" applyBorder="1"/>
    <xf numFmtId="0" fontId="0" fillId="4" borderId="77" xfId="0" applyFill="1" applyBorder="1"/>
    <xf numFmtId="0" fontId="28" fillId="4" borderId="75" xfId="1" applyFill="1" applyBorder="1"/>
    <xf numFmtId="0" fontId="0" fillId="4" borderId="76" xfId="0" applyFill="1" applyBorder="1"/>
    <xf numFmtId="0" fontId="85" fillId="6" borderId="5" xfId="0" applyFont="1" applyFill="1" applyBorder="1" applyAlignment="1">
      <alignment horizontal="center" vertical="center"/>
    </xf>
    <xf numFmtId="0" fontId="86" fillId="0" borderId="0" xfId="0" applyFont="1" applyBorder="1" applyAlignment="1">
      <alignment horizontal="center" vertical="center"/>
    </xf>
    <xf numFmtId="0" fontId="70" fillId="0" borderId="47" xfId="0" applyFont="1" applyBorder="1" applyAlignment="1">
      <alignment horizontal="center" vertical="center"/>
    </xf>
    <xf numFmtId="0" fontId="70" fillId="0" borderId="41" xfId="0" applyFont="1" applyBorder="1" applyAlignment="1">
      <alignment horizontal="center" vertical="center"/>
    </xf>
    <xf numFmtId="0" fontId="70" fillId="0" borderId="46" xfId="0" applyFont="1" applyBorder="1" applyAlignment="1">
      <alignment horizontal="center" vertical="center"/>
    </xf>
    <xf numFmtId="0" fontId="70" fillId="0" borderId="44" xfId="0" applyFont="1" applyBorder="1" applyAlignment="1">
      <alignment horizontal="center" vertical="center"/>
    </xf>
    <xf numFmtId="172" fontId="70" fillId="0" borderId="46" xfId="0" applyNumberFormat="1" applyFont="1" applyBorder="1" applyAlignment="1">
      <alignment horizontal="center" vertical="center"/>
    </xf>
    <xf numFmtId="172" fontId="70" fillId="0" borderId="45" xfId="0" applyNumberFormat="1" applyFont="1" applyBorder="1" applyAlignment="1">
      <alignment horizontal="center" vertical="center"/>
    </xf>
    <xf numFmtId="0" fontId="70" fillId="0" borderId="48" xfId="0" applyFont="1" applyBorder="1" applyAlignment="1">
      <alignment horizontal="center" vertical="center"/>
    </xf>
    <xf numFmtId="0" fontId="70" fillId="0" borderId="43" xfId="0" applyFont="1" applyBorder="1" applyAlignment="1">
      <alignment horizontal="center" vertical="center"/>
    </xf>
    <xf numFmtId="172" fontId="70" fillId="0" borderId="41" xfId="0" applyNumberFormat="1" applyFont="1" applyBorder="1" applyAlignment="1">
      <alignment horizontal="center" vertical="center"/>
    </xf>
    <xf numFmtId="0" fontId="70" fillId="0" borderId="0" xfId="0" applyFont="1" applyBorder="1" applyAlignment="1">
      <alignment horizontal="center" vertical="center"/>
    </xf>
    <xf numFmtId="0" fontId="87" fillId="6" borderId="5" xfId="0" applyFont="1" applyFill="1" applyBorder="1" applyAlignment="1">
      <alignment horizontal="center" vertical="center"/>
    </xf>
    <xf numFmtId="0" fontId="85" fillId="6" borderId="62" xfId="0" applyFont="1" applyFill="1" applyBorder="1" applyAlignment="1">
      <alignment horizontal="center" vertical="center"/>
    </xf>
    <xf numFmtId="0" fontId="85" fillId="6" borderId="66" xfId="0" applyFont="1" applyFill="1" applyBorder="1" applyAlignment="1">
      <alignment horizontal="center" vertical="center"/>
    </xf>
    <xf numFmtId="0" fontId="85" fillId="6" borderId="63" xfId="0" applyFont="1" applyFill="1" applyBorder="1" applyAlignment="1">
      <alignment horizontal="center" vertical="center"/>
    </xf>
    <xf numFmtId="0" fontId="11" fillId="4" borderId="5" xfId="0" applyFont="1" applyFill="1" applyBorder="1" applyAlignment="1">
      <alignment horizontal="center" vertical="center"/>
    </xf>
    <xf numFmtId="3" fontId="70" fillId="0" borderId="5" xfId="0" applyNumberFormat="1" applyFont="1" applyBorder="1" applyAlignment="1">
      <alignment horizontal="center"/>
    </xf>
    <xf numFmtId="0" fontId="70" fillId="0" borderId="50" xfId="0" applyFont="1" applyBorder="1"/>
    <xf numFmtId="6" fontId="70" fillId="0" borderId="5" xfId="0" applyNumberFormat="1" applyFont="1" applyBorder="1"/>
    <xf numFmtId="2" fontId="70" fillId="0" borderId="5" xfId="0" applyNumberFormat="1" applyFont="1" applyBorder="1"/>
    <xf numFmtId="173" fontId="70" fillId="0" borderId="51" xfId="0" applyNumberFormat="1" applyFont="1" applyBorder="1"/>
    <xf numFmtId="0" fontId="88" fillId="0" borderId="5" xfId="0" applyFont="1" applyBorder="1" applyAlignment="1">
      <alignment horizontal="center"/>
    </xf>
    <xf numFmtId="3" fontId="88" fillId="0" borderId="5" xfId="0" applyNumberFormat="1" applyFont="1" applyBorder="1" applyAlignment="1">
      <alignment horizontal="center"/>
    </xf>
    <xf numFmtId="0" fontId="11" fillId="0" borderId="5" xfId="0" applyFont="1" applyFill="1" applyBorder="1" applyAlignment="1">
      <alignment horizontal="center" vertical="center"/>
    </xf>
    <xf numFmtId="3" fontId="11" fillId="0" borderId="5" xfId="0" applyNumberFormat="1" applyFont="1" applyFill="1" applyBorder="1" applyAlignment="1">
      <alignment horizontal="center" vertical="center"/>
    </xf>
    <xf numFmtId="0" fontId="87" fillId="0" borderId="0" xfId="0" applyFont="1" applyFill="1" applyBorder="1" applyAlignment="1">
      <alignment horizontal="center" vertical="center"/>
    </xf>
    <xf numFmtId="0" fontId="87" fillId="0" borderId="0" xfId="0" applyFont="1" applyFill="1" applyBorder="1" applyAlignment="1">
      <alignment vertical="center"/>
    </xf>
    <xf numFmtId="0" fontId="89" fillId="0" borderId="0" xfId="0" applyFont="1" applyFill="1" applyBorder="1" applyAlignment="1">
      <alignment horizontal="center" vertical="center"/>
    </xf>
    <xf numFmtId="0" fontId="85" fillId="0" borderId="0" xfId="0" applyFont="1" applyFill="1" applyBorder="1" applyAlignment="1">
      <alignment vertical="center"/>
    </xf>
    <xf numFmtId="0" fontId="85" fillId="0" borderId="0" xfId="0" applyFont="1" applyFill="1" applyBorder="1" applyAlignment="1">
      <alignment horizontal="center" vertical="center"/>
    </xf>
    <xf numFmtId="0" fontId="70" fillId="0" borderId="0" xfId="0" applyFont="1" applyFill="1" applyAlignment="1"/>
    <xf numFmtId="0" fontId="87" fillId="6" borderId="59" xfId="0" applyFont="1" applyFill="1" applyBorder="1" applyAlignment="1">
      <alignment horizontal="center" vertical="center"/>
    </xf>
    <xf numFmtId="0" fontId="89" fillId="0" borderId="50" xfId="0" applyFont="1" applyBorder="1" applyAlignment="1">
      <alignment horizontal="center" vertical="center"/>
    </xf>
    <xf numFmtId="0" fontId="87" fillId="6" borderId="53" xfId="0" applyFont="1" applyFill="1" applyBorder="1" applyAlignment="1">
      <alignment horizontal="center" vertical="center"/>
    </xf>
    <xf numFmtId="0" fontId="87" fillId="6" borderId="10" xfId="0" applyFont="1" applyFill="1" applyBorder="1" applyAlignment="1">
      <alignment horizontal="center" vertical="center" wrapText="1"/>
    </xf>
    <xf numFmtId="0" fontId="87" fillId="6" borderId="54" xfId="0" applyFont="1" applyFill="1" applyBorder="1" applyAlignment="1">
      <alignment horizontal="center" vertical="center" wrapText="1"/>
    </xf>
    <xf numFmtId="0" fontId="89" fillId="0" borderId="50" xfId="0" applyFont="1" applyBorder="1" applyAlignment="1">
      <alignment horizontal="center" vertical="center" wrapText="1"/>
    </xf>
    <xf numFmtId="0" fontId="70" fillId="0" borderId="0" xfId="0" applyFont="1" applyAlignment="1">
      <alignment horizontal="center" vertical="center"/>
    </xf>
    <xf numFmtId="0" fontId="70" fillId="0" borderId="50" xfId="0" applyFont="1" applyBorder="1" applyAlignment="1">
      <alignment horizontal="center" vertical="center"/>
    </xf>
    <xf numFmtId="0" fontId="70" fillId="0" borderId="0" xfId="0" applyFont="1" applyFill="1" applyAlignment="1">
      <alignment horizontal="center" vertical="center"/>
    </xf>
    <xf numFmtId="0" fontId="70" fillId="0" borderId="64" xfId="0" applyFont="1" applyBorder="1" applyAlignment="1">
      <alignment horizontal="right" vertical="center"/>
    </xf>
    <xf numFmtId="6" fontId="70" fillId="0" borderId="67" xfId="0" applyNumberFormat="1" applyFont="1" applyBorder="1"/>
    <xf numFmtId="2" fontId="70" fillId="0" borderId="67" xfId="0" applyNumberFormat="1" applyFont="1" applyBorder="1" applyAlignment="1">
      <alignment horizontal="right" vertical="center"/>
    </xf>
    <xf numFmtId="173" fontId="70" fillId="0" borderId="65" xfId="0" applyNumberFormat="1" applyFont="1" applyBorder="1" applyAlignment="1">
      <alignment horizontal="right" vertical="center"/>
    </xf>
    <xf numFmtId="0" fontId="70" fillId="0" borderId="55" xfId="0" applyFont="1" applyFill="1" applyBorder="1" applyAlignment="1">
      <alignment horizontal="center" vertical="center"/>
    </xf>
    <xf numFmtId="0" fontId="70" fillId="0" borderId="56" xfId="0" applyFont="1" applyFill="1" applyBorder="1" applyAlignment="1">
      <alignment horizontal="center" vertical="center" wrapText="1"/>
    </xf>
    <xf numFmtId="0" fontId="75" fillId="0" borderId="57" xfId="0" applyFont="1" applyFill="1" applyBorder="1" applyAlignment="1">
      <alignment horizontal="center"/>
    </xf>
    <xf numFmtId="0" fontId="75" fillId="0" borderId="10" xfId="0" applyFont="1" applyBorder="1" applyAlignment="1">
      <alignment horizontal="center" wrapText="1"/>
    </xf>
    <xf numFmtId="0" fontId="70" fillId="0" borderId="0" xfId="0" applyFont="1" applyFill="1"/>
    <xf numFmtId="0" fontId="70" fillId="0" borderId="0" xfId="0" applyFont="1" applyFill="1" applyBorder="1"/>
    <xf numFmtId="0" fontId="70" fillId="0" borderId="59" xfId="0" applyFont="1" applyBorder="1" applyAlignment="1">
      <alignment vertical="center"/>
    </xf>
    <xf numFmtId="0" fontId="70" fillId="0" borderId="60" xfId="0" applyFont="1" applyBorder="1" applyAlignment="1">
      <alignment vertical="center"/>
    </xf>
    <xf numFmtId="0" fontId="70" fillId="0" borderId="50" xfId="0" applyFont="1" applyBorder="1" applyAlignment="1">
      <alignment vertical="center"/>
    </xf>
    <xf numFmtId="6" fontId="70" fillId="0" borderId="51" xfId="0" applyNumberFormat="1" applyFont="1" applyBorder="1" applyAlignment="1">
      <alignment vertical="center"/>
    </xf>
    <xf numFmtId="0" fontId="70" fillId="0" borderId="64" xfId="0" applyFont="1" applyBorder="1" applyAlignment="1">
      <alignment vertical="center"/>
    </xf>
    <xf numFmtId="0" fontId="70" fillId="0" borderId="65" xfId="0" applyFont="1" applyBorder="1" applyAlignment="1">
      <alignment vertical="center"/>
    </xf>
    <xf numFmtId="0" fontId="87" fillId="6" borderId="18" xfId="0" applyFont="1" applyFill="1" applyBorder="1" applyAlignment="1">
      <alignment horizontal="center" vertical="center"/>
    </xf>
    <xf numFmtId="0" fontId="87" fillId="6" borderId="19" xfId="0" applyFont="1" applyFill="1" applyBorder="1" applyAlignment="1">
      <alignment horizontal="center" vertical="center"/>
    </xf>
    <xf numFmtId="0" fontId="35" fillId="6" borderId="50" xfId="0" applyFont="1" applyFill="1" applyBorder="1" applyAlignment="1">
      <alignment horizontal="center" vertical="center"/>
    </xf>
    <xf numFmtId="0" fontId="35" fillId="6" borderId="51" xfId="0" applyFont="1" applyFill="1" applyBorder="1" applyAlignment="1">
      <alignment horizontal="center" vertical="center"/>
    </xf>
    <xf numFmtId="0" fontId="70" fillId="0" borderId="50" xfId="0" applyFont="1" applyBorder="1" applyAlignment="1">
      <alignment horizontal="center" vertical="center" wrapText="1"/>
    </xf>
    <xf numFmtId="6" fontId="70" fillId="0" borderId="51" xfId="0" applyNumberFormat="1" applyFont="1" applyBorder="1" applyAlignment="1">
      <alignment horizontal="center" vertical="center"/>
    </xf>
    <xf numFmtId="0" fontId="89" fillId="0" borderId="8" xfId="0" applyFont="1" applyBorder="1" applyAlignment="1">
      <alignment horizontal="center" vertical="center"/>
    </xf>
    <xf numFmtId="3" fontId="70" fillId="0" borderId="8" xfId="0" applyNumberFormat="1" applyFont="1" applyFill="1" applyBorder="1" applyAlignment="1">
      <alignment horizontal="center" vertical="center"/>
    </xf>
    <xf numFmtId="0" fontId="70" fillId="0" borderId="50" xfId="0" applyFont="1" applyBorder="1" applyAlignment="1">
      <alignment horizontal="center"/>
    </xf>
    <xf numFmtId="0" fontId="70" fillId="0" borderId="51" xfId="0" applyFont="1" applyBorder="1" applyAlignment="1">
      <alignment horizontal="left" vertical="center" wrapText="1"/>
    </xf>
    <xf numFmtId="0" fontId="11" fillId="0" borderId="59" xfId="0" applyFont="1" applyFill="1" applyBorder="1" applyAlignment="1">
      <alignment horizontal="center" vertical="center"/>
    </xf>
    <xf numFmtId="0" fontId="70" fillId="0" borderId="60" xfId="0" applyFont="1" applyFill="1" applyBorder="1" applyAlignment="1">
      <alignment horizontal="center" vertical="center"/>
    </xf>
    <xf numFmtId="0" fontId="89" fillId="0" borderId="5" xfId="0" applyFont="1" applyBorder="1" applyAlignment="1">
      <alignment horizontal="center" vertical="center"/>
    </xf>
    <xf numFmtId="3" fontId="70" fillId="0" borderId="5" xfId="0" applyNumberFormat="1" applyFont="1" applyFill="1" applyBorder="1" applyAlignment="1">
      <alignment horizontal="center" vertical="center"/>
    </xf>
    <xf numFmtId="0" fontId="70" fillId="0" borderId="51" xfId="0" applyFont="1" applyBorder="1" applyAlignment="1">
      <alignment horizontal="left" wrapText="1"/>
    </xf>
    <xf numFmtId="3" fontId="70" fillId="0" borderId="51" xfId="0" applyNumberFormat="1" applyFont="1" applyFill="1" applyBorder="1" applyAlignment="1">
      <alignment horizontal="center" vertical="center"/>
    </xf>
    <xf numFmtId="0" fontId="10" fillId="0" borderId="9" xfId="0" applyFont="1" applyFill="1" applyBorder="1" applyAlignment="1"/>
    <xf numFmtId="0" fontId="92" fillId="0" borderId="0" xfId="0" applyFont="1" applyFill="1" applyBorder="1" applyAlignment="1"/>
    <xf numFmtId="0" fontId="89" fillId="0" borderId="7" xfId="0" applyFont="1" applyBorder="1" applyAlignment="1">
      <alignment horizontal="center" vertical="center"/>
    </xf>
    <xf numFmtId="3" fontId="70" fillId="0" borderId="7" xfId="0" applyNumberFormat="1" applyFont="1" applyFill="1" applyBorder="1" applyAlignment="1">
      <alignment horizontal="center" vertical="center"/>
    </xf>
    <xf numFmtId="0" fontId="70" fillId="0" borderId="0" xfId="0" applyFont="1" applyBorder="1"/>
    <xf numFmtId="0" fontId="89" fillId="0" borderId="57" xfId="0" applyFont="1" applyBorder="1" applyAlignment="1">
      <alignment horizontal="center" vertical="center"/>
    </xf>
    <xf numFmtId="0" fontId="93" fillId="0" borderId="0" xfId="0" applyFont="1" applyFill="1" applyBorder="1" applyAlignment="1"/>
    <xf numFmtId="0" fontId="75" fillId="0" borderId="7" xfId="0" applyFont="1" applyBorder="1" applyAlignment="1">
      <alignment horizontal="center"/>
    </xf>
    <xf numFmtId="6" fontId="75" fillId="0" borderId="14" xfId="0" applyNumberFormat="1" applyFont="1" applyFill="1" applyBorder="1" applyAlignment="1">
      <alignment horizontal="center"/>
    </xf>
    <xf numFmtId="0" fontId="70" fillId="0" borderId="64" xfId="0" applyFont="1" applyBorder="1" applyAlignment="1">
      <alignment horizontal="center"/>
    </xf>
    <xf numFmtId="0" fontId="70" fillId="0" borderId="65" xfId="0" applyFont="1" applyBorder="1" applyAlignment="1">
      <alignment horizontal="left" wrapText="1"/>
    </xf>
    <xf numFmtId="0" fontId="94" fillId="0" borderId="19" xfId="0" applyFont="1" applyBorder="1" applyAlignment="1">
      <alignment horizontal="center" vertical="center"/>
    </xf>
    <xf numFmtId="172" fontId="94" fillId="0" borderId="56" xfId="0" applyNumberFormat="1" applyFont="1" applyFill="1" applyBorder="1" applyAlignment="1">
      <alignment horizontal="center" vertical="center"/>
    </xf>
    <xf numFmtId="0" fontId="95" fillId="0" borderId="50" xfId="0" applyFont="1" applyBorder="1" applyAlignment="1">
      <alignment horizontal="center" vertical="center"/>
    </xf>
    <xf numFmtId="10" fontId="95" fillId="0" borderId="51" xfId="0" applyNumberFormat="1" applyFont="1" applyBorder="1" applyAlignment="1">
      <alignment horizontal="center" vertical="center"/>
    </xf>
    <xf numFmtId="0" fontId="75" fillId="0" borderId="64" xfId="0" applyFont="1" applyBorder="1" applyAlignment="1">
      <alignment horizontal="center" vertical="center"/>
    </xf>
    <xf numFmtId="0" fontId="75" fillId="0" borderId="65" xfId="0" applyFont="1" applyBorder="1" applyAlignment="1">
      <alignment horizontal="center" vertical="center"/>
    </xf>
    <xf numFmtId="0" fontId="70" fillId="0" borderId="0" xfId="0" applyFont="1" applyBorder="1" applyAlignment="1">
      <alignment horizontal="center"/>
    </xf>
    <xf numFmtId="0" fontId="35" fillId="0" borderId="41" xfId="0" applyFont="1" applyBorder="1" applyAlignment="1">
      <alignment horizontal="center" vertical="center"/>
    </xf>
    <xf numFmtId="0" fontId="35" fillId="0" borderId="47" xfId="0" applyFont="1" applyBorder="1" applyAlignment="1">
      <alignment horizontal="center" vertical="center"/>
    </xf>
    <xf numFmtId="0" fontId="35" fillId="0" borderId="46" xfId="0" applyFont="1" applyBorder="1" applyAlignment="1">
      <alignment horizontal="center" vertical="center"/>
    </xf>
    <xf numFmtId="0" fontId="11" fillId="0" borderId="41" xfId="0" applyFont="1" applyBorder="1" applyAlignment="1">
      <alignment horizontal="center" vertical="center" wrapText="1"/>
    </xf>
    <xf numFmtId="172" fontId="11" fillId="0" borderId="41" xfId="0" applyNumberFormat="1" applyFont="1" applyBorder="1" applyAlignment="1">
      <alignment horizontal="center" vertical="center"/>
    </xf>
    <xf numFmtId="0" fontId="11" fillId="0" borderId="40" xfId="0" applyFont="1" applyBorder="1" applyAlignment="1">
      <alignment horizontal="center" vertical="center"/>
    </xf>
    <xf numFmtId="172" fontId="70" fillId="0" borderId="49" xfId="0" applyNumberFormat="1" applyFont="1" applyBorder="1" applyAlignment="1">
      <alignment horizontal="center" vertical="center"/>
    </xf>
    <xf numFmtId="0" fontId="87" fillId="0" borderId="0" xfId="0" applyFont="1" applyFill="1" applyBorder="1" applyAlignment="1">
      <alignment horizontal="center" wrapText="1"/>
    </xf>
    <xf numFmtId="0" fontId="11" fillId="0" borderId="41" xfId="0" applyFont="1" applyBorder="1" applyAlignment="1">
      <alignment horizontal="center" vertical="center"/>
    </xf>
    <xf numFmtId="6" fontId="70" fillId="0" borderId="41" xfId="0" applyNumberFormat="1" applyFont="1" applyBorder="1" applyAlignment="1">
      <alignment horizontal="center" vertical="center"/>
    </xf>
    <xf numFmtId="0" fontId="10" fillId="0" borderId="0" xfId="0" applyFont="1" applyFill="1" applyBorder="1" applyAlignment="1">
      <alignment horizontal="center"/>
    </xf>
    <xf numFmtId="3" fontId="10" fillId="0" borderId="0" xfId="0" applyNumberFormat="1" applyFont="1" applyFill="1" applyBorder="1" applyAlignment="1">
      <alignment horizontal="center"/>
    </xf>
    <xf numFmtId="0" fontId="85" fillId="0" borderId="0" xfId="0" applyFont="1"/>
    <xf numFmtId="0" fontId="11" fillId="0" borderId="47" xfId="0" applyFont="1" applyBorder="1" applyAlignment="1">
      <alignment horizontal="center" vertical="center"/>
    </xf>
    <xf numFmtId="0" fontId="75" fillId="0" borderId="47" xfId="0" applyFont="1" applyBorder="1" applyAlignment="1">
      <alignment horizontal="center" vertical="center" wrapText="1"/>
    </xf>
    <xf numFmtId="0" fontId="75" fillId="0" borderId="46" xfId="0" applyFont="1" applyBorder="1" applyAlignment="1">
      <alignment horizontal="center" vertical="center"/>
    </xf>
    <xf numFmtId="0" fontId="85" fillId="6" borderId="8" xfId="0" applyFont="1" applyFill="1" applyBorder="1" applyAlignment="1">
      <alignment horizontal="center" vertical="center" wrapText="1"/>
    </xf>
    <xf numFmtId="0" fontId="85" fillId="0" borderId="0" xfId="0" applyFont="1" applyAlignment="1">
      <alignment horizontal="center"/>
    </xf>
    <xf numFmtId="3" fontId="70" fillId="0" borderId="5" xfId="0" applyNumberFormat="1" applyFont="1" applyFill="1" applyBorder="1" applyAlignment="1">
      <alignment vertical="center" wrapText="1"/>
    </xf>
    <xf numFmtId="0" fontId="97" fillId="0" borderId="5" xfId="0" applyFont="1" applyFill="1" applyBorder="1" applyAlignment="1">
      <alignment vertical="center" wrapText="1"/>
    </xf>
    <xf numFmtId="0" fontId="70" fillId="0" borderId="5" xfId="0" applyFont="1" applyFill="1" applyBorder="1" applyAlignment="1">
      <alignment vertical="center" wrapText="1"/>
    </xf>
    <xf numFmtId="0" fontId="75" fillId="0" borderId="5" xfId="0" applyFont="1" applyFill="1" applyBorder="1" applyAlignment="1">
      <alignment vertical="center" wrapText="1"/>
    </xf>
    <xf numFmtId="0" fontId="77" fillId="0" borderId="5" xfId="0" applyFont="1" applyFill="1" applyBorder="1" applyAlignment="1">
      <alignment vertical="center" wrapText="1"/>
    </xf>
    <xf numFmtId="0" fontId="98" fillId="0" borderId="5" xfId="0" applyFont="1" applyFill="1" applyBorder="1" applyAlignment="1">
      <alignment vertical="center" wrapText="1"/>
    </xf>
    <xf numFmtId="0" fontId="70" fillId="0" borderId="0" xfId="0" applyFont="1" applyAlignment="1">
      <alignment vertical="center" wrapText="1"/>
    </xf>
    <xf numFmtId="0" fontId="11" fillId="0" borderId="0" xfId="0" applyFont="1" applyAlignment="1">
      <alignment vertical="top" wrapText="1"/>
    </xf>
    <xf numFmtId="0" fontId="70" fillId="0" borderId="0" xfId="0" applyFont="1" applyAlignment="1">
      <alignment vertical="top"/>
    </xf>
    <xf numFmtId="0" fontId="70" fillId="0" borderId="0" xfId="0" applyFont="1" applyAlignment="1">
      <alignment vertical="top" wrapText="1"/>
    </xf>
    <xf numFmtId="0" fontId="70" fillId="0" borderId="32" xfId="0" applyFont="1" applyBorder="1"/>
    <xf numFmtId="0" fontId="70" fillId="0" borderId="33" xfId="0" applyFont="1" applyBorder="1" applyAlignment="1">
      <alignment horizontal="center"/>
    </xf>
    <xf numFmtId="0" fontId="85" fillId="6" borderId="50" xfId="0" applyFont="1" applyFill="1" applyBorder="1" applyAlignment="1">
      <alignment horizontal="center" vertical="center"/>
    </xf>
    <xf numFmtId="0" fontId="85" fillId="6" borderId="51" xfId="0" applyFont="1" applyFill="1" applyBorder="1" applyAlignment="1">
      <alignment horizontal="center" vertical="center"/>
    </xf>
    <xf numFmtId="0" fontId="70" fillId="0" borderId="51" xfId="0" applyFont="1" applyBorder="1" applyAlignment="1">
      <alignment horizontal="center" vertical="center"/>
    </xf>
    <xf numFmtId="0" fontId="70" fillId="0" borderId="64" xfId="0" applyFont="1" applyBorder="1" applyAlignment="1">
      <alignment horizontal="center" vertical="center"/>
    </xf>
    <xf numFmtId="0" fontId="70" fillId="0" borderId="67" xfId="0" applyFont="1" applyBorder="1" applyAlignment="1">
      <alignment horizontal="center" vertical="center"/>
    </xf>
    <xf numFmtId="0" fontId="70" fillId="0" borderId="65" xfId="0" applyFont="1" applyBorder="1" applyAlignment="1">
      <alignment horizontal="center" vertical="center"/>
    </xf>
    <xf numFmtId="0" fontId="85" fillId="6" borderId="5" xfId="0" applyFont="1" applyFill="1" applyBorder="1" applyAlignment="1">
      <alignment horizontal="center" vertical="center" wrapText="1"/>
    </xf>
    <xf numFmtId="0" fontId="70" fillId="0" borderId="0" xfId="0" applyFont="1" applyFill="1" applyBorder="1" applyAlignment="1">
      <alignment horizontal="center" vertical="center"/>
    </xf>
    <xf numFmtId="0" fontId="90" fillId="0" borderId="0" xfId="0" applyFont="1" applyFill="1" applyBorder="1" applyAlignment="1">
      <alignment horizontal="center" vertical="center" wrapText="1"/>
    </xf>
    <xf numFmtId="0" fontId="70" fillId="0" borderId="0" xfId="0" applyFont="1" applyFill="1" applyBorder="1" applyAlignment="1">
      <alignment horizontal="center" vertical="center" wrapText="1"/>
    </xf>
    <xf numFmtId="0" fontId="70" fillId="0" borderId="37" xfId="0" applyFont="1" applyFill="1" applyBorder="1" applyAlignment="1">
      <alignment horizontal="center" vertical="center" wrapText="1"/>
    </xf>
    <xf numFmtId="0" fontId="41" fillId="0" borderId="0" xfId="0" applyFont="1" applyAlignment="1">
      <alignment horizontal="center"/>
    </xf>
    <xf numFmtId="0" fontId="70" fillId="0" borderId="0" xfId="0" applyFont="1" applyBorder="1" applyAlignment="1">
      <alignment wrapText="1"/>
    </xf>
    <xf numFmtId="0" fontId="100" fillId="12" borderId="0" xfId="0" applyFont="1" applyFill="1" applyAlignment="1">
      <alignment wrapText="1"/>
    </xf>
    <xf numFmtId="0" fontId="101" fillId="12" borderId="0" xfId="0" applyFont="1" applyFill="1" applyAlignment="1">
      <alignment wrapText="1"/>
    </xf>
    <xf numFmtId="9" fontId="101" fillId="12" borderId="0" xfId="0" applyNumberFormat="1" applyFont="1" applyFill="1" applyAlignment="1">
      <alignment wrapText="1"/>
    </xf>
    <xf numFmtId="0" fontId="100" fillId="0" borderId="0" xfId="0" applyFont="1"/>
    <xf numFmtId="0" fontId="10" fillId="12" borderId="0" xfId="0" applyFont="1" applyFill="1" applyAlignment="1">
      <alignment wrapText="1"/>
    </xf>
    <xf numFmtId="0" fontId="100" fillId="12" borderId="0" xfId="0" applyFont="1" applyFill="1" applyBorder="1" applyAlignment="1">
      <alignment wrapText="1"/>
    </xf>
    <xf numFmtId="8" fontId="100" fillId="12" borderId="0" xfId="0" applyNumberFormat="1" applyFont="1" applyFill="1" applyAlignment="1">
      <alignment wrapText="1"/>
    </xf>
    <xf numFmtId="6" fontId="100" fillId="12" borderId="0" xfId="0" applyNumberFormat="1" applyFont="1" applyFill="1" applyAlignment="1">
      <alignment wrapText="1"/>
    </xf>
    <xf numFmtId="9" fontId="100" fillId="12" borderId="0" xfId="0" applyNumberFormat="1" applyFont="1" applyFill="1" applyAlignment="1">
      <alignment wrapText="1"/>
    </xf>
    <xf numFmtId="9" fontId="70" fillId="0" borderId="0" xfId="0" applyNumberFormat="1" applyFont="1"/>
    <xf numFmtId="9" fontId="100" fillId="0" borderId="0" xfId="0" applyNumberFormat="1" applyFont="1"/>
    <xf numFmtId="0" fontId="0" fillId="0" borderId="0" xfId="0" applyAlignment="1">
      <alignment horizontal="center"/>
    </xf>
    <xf numFmtId="0" fontId="35" fillId="0" borderId="0" xfId="0" applyFont="1" applyAlignment="1"/>
    <xf numFmtId="0" fontId="70" fillId="0" borderId="6" xfId="0" applyFont="1" applyBorder="1" applyAlignment="1">
      <alignment horizontal="center"/>
    </xf>
    <xf numFmtId="0" fontId="10" fillId="0" borderId="0" xfId="0" applyFont="1" applyAlignment="1">
      <alignment horizontal="left" wrapText="1"/>
    </xf>
    <xf numFmtId="0" fontId="35" fillId="0" borderId="0" xfId="0" applyFont="1" applyAlignment="1">
      <alignment horizontal="left" wrapText="1"/>
    </xf>
    <xf numFmtId="0" fontId="11" fillId="0" borderId="0" xfId="0" applyFont="1" applyAlignment="1">
      <alignment horizontal="center" wrapText="1"/>
    </xf>
    <xf numFmtId="0" fontId="40" fillId="0" borderId="0" xfId="0" applyFont="1" applyAlignment="1">
      <alignment horizontal="center"/>
    </xf>
    <xf numFmtId="0" fontId="69" fillId="0" borderId="0" xfId="0" applyFont="1" applyAlignment="1">
      <alignment horizontal="center"/>
    </xf>
    <xf numFmtId="0" fontId="10" fillId="0" borderId="0" xfId="0" applyFont="1" applyAlignment="1">
      <alignment horizontal="center" wrapText="1"/>
    </xf>
    <xf numFmtId="0" fontId="36" fillId="0" borderId="5" xfId="0" applyFont="1" applyBorder="1"/>
    <xf numFmtId="0" fontId="36" fillId="4" borderId="0" xfId="0" applyFont="1" applyFill="1" applyBorder="1"/>
    <xf numFmtId="0" fontId="36" fillId="0" borderId="10" xfId="0" applyFont="1" applyBorder="1"/>
    <xf numFmtId="0" fontId="89" fillId="0" borderId="0" xfId="0" applyFont="1"/>
    <xf numFmtId="0" fontId="70" fillId="0" borderId="5" xfId="0" applyFont="1" applyBorder="1"/>
    <xf numFmtId="0" fontId="70" fillId="4" borderId="0" xfId="0" applyFont="1" applyFill="1" applyBorder="1"/>
    <xf numFmtId="165" fontId="89" fillId="0" borderId="5" xfId="0" applyNumberFormat="1" applyFont="1" applyBorder="1"/>
    <xf numFmtId="165" fontId="89" fillId="4" borderId="0" xfId="0" applyNumberFormat="1" applyFont="1" applyFill="1" applyBorder="1"/>
    <xf numFmtId="165" fontId="89" fillId="0" borderId="0" xfId="0" applyNumberFormat="1" applyFont="1" applyBorder="1"/>
    <xf numFmtId="0" fontId="103" fillId="0" borderId="0" xfId="0" applyFont="1"/>
    <xf numFmtId="0" fontId="108" fillId="0" borderId="0" xfId="0" applyFont="1"/>
    <xf numFmtId="0" fontId="109" fillId="0" borderId="0" xfId="0" applyFont="1"/>
    <xf numFmtId="170" fontId="70" fillId="0" borderId="5" xfId="0" applyNumberFormat="1" applyFont="1" applyBorder="1" applyAlignment="1">
      <alignment horizontal="center"/>
    </xf>
    <xf numFmtId="171" fontId="70" fillId="0" borderId="5" xfId="0" applyNumberFormat="1" applyFont="1" applyBorder="1" applyAlignment="1">
      <alignment horizontal="center"/>
    </xf>
    <xf numFmtId="0" fontId="70" fillId="0" borderId="8" xfId="0" applyFont="1" applyBorder="1"/>
    <xf numFmtId="165" fontId="70" fillId="0" borderId="13" xfId="0" applyNumberFormat="1" applyFont="1" applyBorder="1" applyAlignment="1">
      <alignment vertical="center"/>
    </xf>
    <xf numFmtId="0" fontId="70" fillId="0" borderId="10" xfId="0" applyFont="1" applyBorder="1"/>
    <xf numFmtId="2" fontId="70" fillId="0" borderId="10" xfId="0" applyNumberFormat="1" applyFont="1" applyBorder="1" applyAlignment="1">
      <alignment horizontal="center"/>
    </xf>
    <xf numFmtId="0" fontId="70" fillId="0" borderId="10" xfId="0" applyFont="1" applyBorder="1" applyAlignment="1">
      <alignment horizontal="center"/>
    </xf>
    <xf numFmtId="0" fontId="11" fillId="0" borderId="5" xfId="0" applyFont="1" applyFill="1" applyBorder="1" applyAlignment="1"/>
    <xf numFmtId="0" fontId="11" fillId="0" borderId="7" xfId="0" applyFont="1" applyFill="1" applyBorder="1" applyAlignment="1"/>
    <xf numFmtId="0" fontId="11" fillId="0" borderId="10" xfId="0" applyFont="1" applyFill="1" applyBorder="1" applyAlignment="1"/>
    <xf numFmtId="0" fontId="11" fillId="0" borderId="5" xfId="0" applyFont="1" applyFill="1" applyBorder="1" applyAlignment="1">
      <alignment wrapText="1"/>
    </xf>
    <xf numFmtId="0" fontId="35" fillId="4" borderId="5" xfId="0" applyFont="1" applyFill="1" applyBorder="1" applyAlignment="1"/>
    <xf numFmtId="0" fontId="35" fillId="0" borderId="5" xfId="0" applyFont="1" applyBorder="1"/>
    <xf numFmtId="0" fontId="10" fillId="7" borderId="5" xfId="0" applyFont="1" applyFill="1" applyBorder="1" applyAlignment="1"/>
    <xf numFmtId="169" fontId="70" fillId="0" borderId="8" xfId="0" applyNumberFormat="1" applyFont="1" applyBorder="1" applyAlignment="1">
      <alignment horizontal="center" vertical="center"/>
    </xf>
    <xf numFmtId="0" fontId="86" fillId="0" borderId="5" xfId="0" applyFont="1" applyBorder="1"/>
    <xf numFmtId="0" fontId="103" fillId="10" borderId="5" xfId="0" applyFont="1" applyFill="1" applyBorder="1" applyAlignment="1">
      <alignment vertical="center"/>
    </xf>
    <xf numFmtId="0" fontId="107" fillId="10" borderId="5" xfId="0" applyFont="1" applyFill="1" applyBorder="1"/>
    <xf numFmtId="0" fontId="70" fillId="0" borderId="11" xfId="0" applyFont="1" applyBorder="1"/>
    <xf numFmtId="0" fontId="89" fillId="0" borderId="11" xfId="0" applyFont="1" applyBorder="1" applyAlignment="1">
      <alignment horizontal="right"/>
    </xf>
    <xf numFmtId="0" fontId="103" fillId="10" borderId="5" xfId="0" applyFont="1" applyFill="1" applyBorder="1"/>
    <xf numFmtId="9" fontId="35" fillId="0" borderId="5" xfId="0" applyNumberFormat="1" applyFont="1" applyBorder="1" applyAlignment="1">
      <alignment horizontal="left"/>
    </xf>
    <xf numFmtId="0" fontId="112" fillId="0" borderId="0" xfId="0" applyFont="1"/>
    <xf numFmtId="0" fontId="113" fillId="0" borderId="0" xfId="0" applyFont="1"/>
    <xf numFmtId="0" fontId="114" fillId="0" borderId="0" xfId="0" applyFont="1" applyAlignment="1">
      <alignment wrapText="1"/>
    </xf>
    <xf numFmtId="0" fontId="29" fillId="0" borderId="0" xfId="0" applyFont="1"/>
    <xf numFmtId="3" fontId="36" fillId="0" borderId="10" xfId="0" applyNumberFormat="1" applyFont="1" applyBorder="1"/>
    <xf numFmtId="0" fontId="36" fillId="0" borderId="5" xfId="0" applyFont="1" applyBorder="1" applyAlignment="1">
      <alignment horizontal="right"/>
    </xf>
    <xf numFmtId="0" fontId="36" fillId="4" borderId="10" xfId="1" applyFont="1" applyFill="1" applyBorder="1"/>
    <xf numFmtId="8" fontId="36" fillId="0" borderId="5" xfId="0" applyNumberFormat="1" applyFont="1" applyBorder="1"/>
    <xf numFmtId="0" fontId="29" fillId="0" borderId="0" xfId="0" applyFont="1" applyFill="1" applyBorder="1" applyAlignment="1">
      <alignment wrapText="1"/>
    </xf>
    <xf numFmtId="0" fontId="36" fillId="4" borderId="10" xfId="0" applyFont="1" applyFill="1" applyBorder="1" applyAlignment="1">
      <alignment horizontal="right"/>
    </xf>
    <xf numFmtId="0" fontId="36" fillId="0" borderId="7" xfId="0" applyFont="1" applyBorder="1"/>
    <xf numFmtId="8" fontId="36" fillId="0" borderId="7" xfId="0" applyNumberFormat="1" applyFont="1" applyBorder="1"/>
    <xf numFmtId="9" fontId="36" fillId="0" borderId="5" xfId="0" applyNumberFormat="1" applyFont="1" applyBorder="1"/>
    <xf numFmtId="3" fontId="104" fillId="11" borderId="10" xfId="1" applyNumberFormat="1" applyFont="1" applyFill="1" applyBorder="1"/>
    <xf numFmtId="0" fontId="104" fillId="11" borderId="5" xfId="0" applyFont="1" applyFill="1" applyBorder="1"/>
    <xf numFmtId="9" fontId="104" fillId="11" borderId="5" xfId="0" applyNumberFormat="1" applyFont="1" applyFill="1" applyBorder="1"/>
    <xf numFmtId="0" fontId="29" fillId="4" borderId="0" xfId="0" applyFont="1" applyFill="1" applyBorder="1"/>
    <xf numFmtId="0" fontId="116" fillId="4" borderId="0" xfId="1" applyFont="1" applyFill="1" applyBorder="1"/>
    <xf numFmtId="0" fontId="36" fillId="4" borderId="0" xfId="0" applyFont="1" applyFill="1" applyBorder="1" applyAlignment="1">
      <alignment horizontal="center"/>
    </xf>
    <xf numFmtId="0" fontId="29" fillId="4" borderId="0" xfId="0" applyFont="1" applyFill="1" applyBorder="1" applyAlignment="1"/>
    <xf numFmtId="0" fontId="36" fillId="4" borderId="0" xfId="0" applyFont="1" applyFill="1" applyBorder="1" applyAlignment="1">
      <alignment horizontal="right"/>
    </xf>
    <xf numFmtId="0" fontId="116" fillId="4" borderId="0" xfId="1" applyFont="1" applyFill="1" applyBorder="1" applyAlignment="1"/>
    <xf numFmtId="0" fontId="115" fillId="4" borderId="0" xfId="0" applyFont="1" applyFill="1" applyAlignment="1"/>
    <xf numFmtId="0" fontId="29" fillId="0" borderId="0" xfId="0" applyFont="1" applyFill="1" applyBorder="1" applyAlignment="1"/>
    <xf numFmtId="0" fontId="29" fillId="0" borderId="0" xfId="0" applyFont="1" applyBorder="1"/>
    <xf numFmtId="0" fontId="29" fillId="4" borderId="0" xfId="0" applyFont="1" applyFill="1" applyBorder="1" applyAlignment="1">
      <alignment horizontal="center"/>
    </xf>
    <xf numFmtId="0" fontId="18" fillId="4" borderId="0" xfId="0" applyFont="1" applyFill="1" applyBorder="1" applyAlignment="1">
      <alignment horizontal="center"/>
    </xf>
    <xf numFmtId="3" fontId="36" fillId="4" borderId="0" xfId="0" applyNumberFormat="1" applyFont="1" applyFill="1" applyBorder="1"/>
    <xf numFmtId="0" fontId="105" fillId="4" borderId="0" xfId="0" applyFont="1" applyFill="1" applyBorder="1" applyAlignment="1"/>
    <xf numFmtId="0" fontId="106" fillId="0" borderId="0" xfId="0" applyFont="1" applyBorder="1" applyAlignment="1">
      <alignment horizontal="center"/>
    </xf>
    <xf numFmtId="0" fontId="65" fillId="4" borderId="0" xfId="0" applyFont="1" applyFill="1" applyAlignment="1"/>
    <xf numFmtId="0" fontId="65" fillId="4" borderId="0" xfId="0" applyFont="1" applyFill="1" applyBorder="1" applyAlignment="1"/>
    <xf numFmtId="0" fontId="117" fillId="0" borderId="0" xfId="0" applyFont="1"/>
    <xf numFmtId="0" fontId="117" fillId="0" borderId="0" xfId="0" applyFont="1" applyAlignment="1">
      <alignment horizontal="center"/>
    </xf>
    <xf numFmtId="0" fontId="118" fillId="0" borderId="5" xfId="0" applyFont="1" applyBorder="1" applyAlignment="1">
      <alignment wrapText="1"/>
    </xf>
    <xf numFmtId="0" fontId="118" fillId="0" borderId="5" xfId="0" applyFont="1" applyBorder="1"/>
    <xf numFmtId="0" fontId="118" fillId="0" borderId="0" xfId="0" applyFont="1"/>
    <xf numFmtId="0" fontId="117" fillId="0" borderId="5" xfId="0" applyFont="1" applyBorder="1"/>
    <xf numFmtId="0" fontId="117" fillId="0" borderId="0" xfId="0" applyFont="1" applyAlignment="1">
      <alignment readingOrder="1"/>
    </xf>
    <xf numFmtId="0" fontId="117" fillId="0" borderId="0" xfId="0" applyFont="1" applyAlignment="1">
      <alignment wrapText="1" readingOrder="1"/>
    </xf>
    <xf numFmtId="0" fontId="117" fillId="0" borderId="5" xfId="0" applyFont="1" applyBorder="1" applyAlignment="1">
      <alignment wrapText="1"/>
    </xf>
    <xf numFmtId="3" fontId="117" fillId="0" borderId="5" xfId="0" applyNumberFormat="1" applyFont="1" applyBorder="1"/>
    <xf numFmtId="3" fontId="118" fillId="0" borderId="5" xfId="0" applyNumberFormat="1" applyFont="1" applyBorder="1"/>
    <xf numFmtId="0" fontId="117" fillId="0" borderId="0" xfId="0" applyFont="1" applyAlignment="1">
      <alignment wrapText="1"/>
    </xf>
    <xf numFmtId="9" fontId="117" fillId="0" borderId="0" xfId="0" applyNumberFormat="1" applyFont="1"/>
    <xf numFmtId="9" fontId="117" fillId="0" borderId="0" xfId="0" applyNumberFormat="1" applyFont="1" applyAlignment="1">
      <alignment readingOrder="1"/>
    </xf>
    <xf numFmtId="0" fontId="53" fillId="0" borderId="0" xfId="0" quotePrefix="1" applyFont="1" applyAlignment="1">
      <alignment horizontal="center" wrapText="1"/>
    </xf>
    <xf numFmtId="0" fontId="53" fillId="0" borderId="0" xfId="0" quotePrefix="1" applyFont="1" applyAlignment="1">
      <alignment wrapText="1"/>
    </xf>
    <xf numFmtId="0" fontId="53" fillId="0" borderId="0" xfId="0" applyFont="1" applyAlignment="1">
      <alignment horizontal="center" wrapText="1"/>
    </xf>
    <xf numFmtId="0" fontId="117" fillId="0" borderId="0" xfId="0" quotePrefix="1" applyFont="1" applyAlignment="1">
      <alignment wrapText="1" readingOrder="1"/>
    </xf>
    <xf numFmtId="0" fontId="118" fillId="0" borderId="0" xfId="0" applyFont="1" applyAlignment="1">
      <alignment wrapText="1"/>
    </xf>
    <xf numFmtId="4" fontId="117" fillId="0" borderId="0" xfId="0" applyNumberFormat="1" applyFont="1"/>
    <xf numFmtId="3" fontId="117" fillId="0" borderId="0" xfId="0" applyNumberFormat="1" applyFont="1"/>
    <xf numFmtId="0" fontId="119" fillId="0" borderId="0" xfId="0" applyFont="1" applyAlignment="1">
      <alignment readingOrder="1"/>
    </xf>
    <xf numFmtId="0" fontId="120" fillId="0" borderId="0" xfId="0" applyFont="1" applyAlignment="1">
      <alignment readingOrder="1"/>
    </xf>
    <xf numFmtId="164" fontId="117" fillId="0" borderId="0" xfId="0" applyNumberFormat="1" applyFont="1"/>
    <xf numFmtId="0" fontId="120" fillId="0" borderId="0" xfId="0" applyFont="1" applyAlignment="1">
      <alignment wrapText="1" readingOrder="1"/>
    </xf>
    <xf numFmtId="0" fontId="121" fillId="0" borderId="0" xfId="0" applyFont="1" applyAlignment="1">
      <alignment readingOrder="1"/>
    </xf>
    <xf numFmtId="0" fontId="121" fillId="0" borderId="0" xfId="0" applyFont="1" applyAlignment="1">
      <alignment wrapText="1" readingOrder="1"/>
    </xf>
    <xf numFmtId="0" fontId="122" fillId="0" borderId="0" xfId="0" applyFont="1" applyAlignment="1">
      <alignment readingOrder="1"/>
    </xf>
    <xf numFmtId="0" fontId="122" fillId="0" borderId="0" xfId="0" applyFont="1" applyAlignment="1">
      <alignment wrapText="1" readingOrder="1"/>
    </xf>
    <xf numFmtId="9" fontId="122" fillId="0" borderId="0" xfId="0" applyNumberFormat="1" applyFont="1" applyAlignment="1">
      <alignment readingOrder="1"/>
    </xf>
    <xf numFmtId="0" fontId="123" fillId="0" borderId="0" xfId="0" applyFont="1" applyAlignment="1">
      <alignment readingOrder="1"/>
    </xf>
    <xf numFmtId="0" fontId="123" fillId="0" borderId="0" xfId="0" applyFont="1" applyAlignment="1">
      <alignment wrapText="1" readingOrder="1"/>
    </xf>
    <xf numFmtId="0" fontId="124" fillId="0" borderId="0" xfId="0" applyFont="1" applyAlignment="1">
      <alignment readingOrder="1"/>
    </xf>
    <xf numFmtId="0" fontId="124" fillId="0" borderId="0" xfId="0" applyFont="1" applyAlignment="1">
      <alignment wrapText="1" readingOrder="1"/>
    </xf>
    <xf numFmtId="0" fontId="125" fillId="0" borderId="0" xfId="0" applyFont="1" applyAlignment="1">
      <alignment readingOrder="1"/>
    </xf>
    <xf numFmtId="3" fontId="123" fillId="0" borderId="0" xfId="0" applyNumberFormat="1" applyFont="1" applyAlignment="1">
      <alignment readingOrder="1"/>
    </xf>
    <xf numFmtId="0" fontId="126" fillId="0" borderId="0" xfId="0" applyFont="1" applyAlignment="1">
      <alignment readingOrder="1"/>
    </xf>
    <xf numFmtId="0" fontId="126" fillId="0" borderId="0" xfId="0" applyFont="1" applyAlignment="1">
      <alignment wrapText="1" readingOrder="1"/>
    </xf>
    <xf numFmtId="0" fontId="127" fillId="0" borderId="0" xfId="0" applyFont="1" applyAlignment="1">
      <alignment readingOrder="1"/>
    </xf>
    <xf numFmtId="0" fontId="127" fillId="0" borderId="0" xfId="0" applyFont="1" applyAlignment="1">
      <alignment wrapText="1" readingOrder="1"/>
    </xf>
    <xf numFmtId="0" fontId="128" fillId="0" borderId="0" xfId="0" applyFont="1" applyAlignment="1">
      <alignment readingOrder="1"/>
    </xf>
    <xf numFmtId="4" fontId="127" fillId="0" borderId="0" xfId="0" applyNumberFormat="1" applyFont="1" applyAlignment="1">
      <alignment readingOrder="1"/>
    </xf>
    <xf numFmtId="3" fontId="126" fillId="0" borderId="0" xfId="0" applyNumberFormat="1" applyFont="1" applyAlignment="1">
      <alignment readingOrder="1"/>
    </xf>
    <xf numFmtId="0" fontId="120" fillId="0" borderId="0" xfId="0" quotePrefix="1" applyFont="1" applyAlignment="1">
      <alignment readingOrder="1"/>
    </xf>
    <xf numFmtId="0" fontId="118" fillId="0" borderId="0" xfId="0" applyFont="1" applyAlignment="1">
      <alignment readingOrder="1"/>
    </xf>
    <xf numFmtId="0" fontId="118" fillId="0" borderId="0" xfId="0" applyFont="1" applyAlignment="1">
      <alignment wrapText="1" readingOrder="1"/>
    </xf>
    <xf numFmtId="0" fontId="117" fillId="0" borderId="0" xfId="0" quotePrefix="1" applyFont="1" applyAlignment="1">
      <alignment readingOrder="1"/>
    </xf>
    <xf numFmtId="0" fontId="129" fillId="0" borderId="0" xfId="0" applyFont="1" applyAlignment="1">
      <alignment readingOrder="1"/>
    </xf>
    <xf numFmtId="0" fontId="117" fillId="0" borderId="5" xfId="0" applyFont="1" applyBorder="1" applyAlignment="1">
      <alignment horizontal="center"/>
    </xf>
    <xf numFmtId="0" fontId="117" fillId="0" borderId="5" xfId="0" applyFont="1" applyBorder="1" applyAlignment="1">
      <alignment horizontal="center" wrapText="1"/>
    </xf>
    <xf numFmtId="4" fontId="117" fillId="0" borderId="5" xfId="0" applyNumberFormat="1" applyFont="1" applyBorder="1"/>
    <xf numFmtId="0" fontId="117" fillId="0" borderId="10" xfId="0" applyFont="1" applyBorder="1"/>
    <xf numFmtId="3" fontId="117" fillId="0" borderId="10" xfId="0" applyNumberFormat="1" applyFont="1" applyBorder="1"/>
    <xf numFmtId="4" fontId="118" fillId="0" borderId="5" xfId="0" applyNumberFormat="1" applyFont="1" applyBorder="1"/>
    <xf numFmtId="9" fontId="117" fillId="0" borderId="5" xfId="0" applyNumberFormat="1" applyFont="1" applyBorder="1" applyAlignment="1">
      <alignment horizontal="center"/>
    </xf>
    <xf numFmtId="0" fontId="118" fillId="0" borderId="5" xfId="0" applyFont="1" applyBorder="1" applyAlignment="1">
      <alignment horizontal="center" vertical="center"/>
    </xf>
    <xf numFmtId="0" fontId="118" fillId="0" borderId="5" xfId="0" applyFont="1" applyBorder="1" applyAlignment="1">
      <alignment horizontal="center" vertical="center" wrapText="1"/>
    </xf>
    <xf numFmtId="0" fontId="118" fillId="0" borderId="8" xfId="0" applyFont="1" applyBorder="1" applyAlignment="1">
      <alignment horizontal="center" vertical="center"/>
    </xf>
    <xf numFmtId="0" fontId="118" fillId="0" borderId="8" xfId="0" applyFont="1" applyBorder="1" applyAlignment="1">
      <alignment horizontal="center" vertical="center" wrapText="1"/>
    </xf>
    <xf numFmtId="0" fontId="117" fillId="0" borderId="0" xfId="0" applyFont="1" applyAlignment="1">
      <alignment horizontal="center" vertical="center"/>
    </xf>
    <xf numFmtId="164" fontId="118" fillId="0" borderId="0" xfId="0" applyNumberFormat="1" applyFont="1" applyAlignment="1">
      <alignment horizontal="center" vertical="center"/>
    </xf>
    <xf numFmtId="0" fontId="122" fillId="0" borderId="0" xfId="0" applyFont="1" applyAlignment="1">
      <alignment horizontal="center" vertical="center" readingOrder="1"/>
    </xf>
    <xf numFmtId="0" fontId="118" fillId="0" borderId="13" xfId="0" applyFont="1" applyBorder="1" applyAlignment="1">
      <alignment horizontal="center" vertical="center"/>
    </xf>
    <xf numFmtId="0" fontId="35" fillId="4" borderId="5" xfId="0" applyFont="1" applyFill="1" applyBorder="1" applyAlignment="1">
      <alignment wrapText="1"/>
    </xf>
    <xf numFmtId="0" fontId="0" fillId="14" borderId="0" xfId="0" applyFill="1"/>
    <xf numFmtId="0" fontId="14" fillId="0" borderId="19" xfId="0" applyFont="1" applyBorder="1" applyAlignment="1">
      <alignment wrapText="1"/>
    </xf>
    <xf numFmtId="0" fontId="14" fillId="0" borderId="19" xfId="0" applyFont="1" applyBorder="1"/>
    <xf numFmtId="0" fontId="0" fillId="5" borderId="0" xfId="0" applyFill="1"/>
    <xf numFmtId="0" fontId="0" fillId="15" borderId="0" xfId="0" applyFill="1"/>
    <xf numFmtId="0" fontId="47" fillId="15" borderId="5" xfId="0" applyFont="1" applyFill="1" applyBorder="1" applyAlignment="1">
      <alignment horizontal="center" vertical="center" wrapText="1"/>
    </xf>
    <xf numFmtId="0" fontId="0" fillId="0" borderId="19" xfId="0" applyBorder="1" applyAlignment="1">
      <alignment wrapText="1"/>
    </xf>
    <xf numFmtId="0" fontId="28" fillId="0" borderId="19" xfId="1" applyBorder="1" applyAlignment="1">
      <alignment wrapText="1"/>
    </xf>
    <xf numFmtId="0" fontId="23" fillId="16" borderId="19" xfId="0" applyFont="1" applyFill="1" applyBorder="1" applyAlignment="1">
      <alignment horizontal="center" vertical="center"/>
    </xf>
    <xf numFmtId="0" fontId="0" fillId="16" borderId="0" xfId="0" applyFill="1"/>
    <xf numFmtId="0" fontId="0" fillId="4" borderId="0" xfId="0" applyFill="1"/>
    <xf numFmtId="0" fontId="70" fillId="15" borderId="5" xfId="0" applyFont="1" applyFill="1" applyBorder="1" applyAlignment="1">
      <alignment horizontal="center" vertical="center"/>
    </xf>
    <xf numFmtId="0" fontId="70" fillId="15" borderId="5" xfId="0" applyFont="1" applyFill="1" applyBorder="1" applyAlignment="1">
      <alignment horizontal="center" vertical="center" wrapText="1"/>
    </xf>
    <xf numFmtId="167" fontId="70" fillId="15" borderId="5" xfId="0" applyNumberFormat="1" applyFont="1" applyFill="1" applyBorder="1" applyAlignment="1">
      <alignment horizontal="center" vertical="center"/>
    </xf>
    <xf numFmtId="0" fontId="35" fillId="15" borderId="19" xfId="0" applyFont="1" applyFill="1" applyBorder="1" applyAlignment="1">
      <alignment horizontal="center" vertical="center" wrapText="1"/>
    </xf>
    <xf numFmtId="0" fontId="35" fillId="15" borderId="19" xfId="0" applyFont="1" applyFill="1" applyBorder="1" applyAlignment="1">
      <alignment horizontal="center" vertical="center"/>
    </xf>
    <xf numFmtId="0" fontId="70" fillId="15" borderId="19" xfId="0" applyFont="1" applyFill="1" applyBorder="1" applyAlignment="1">
      <alignment horizontal="center" vertical="center"/>
    </xf>
    <xf numFmtId="0" fontId="70" fillId="15" borderId="19" xfId="0" applyFont="1" applyFill="1" applyBorder="1" applyAlignment="1">
      <alignment horizontal="center" vertical="center" wrapText="1"/>
    </xf>
    <xf numFmtId="0" fontId="70" fillId="15" borderId="26" xfId="0" applyFont="1" applyFill="1" applyBorder="1" applyAlignment="1">
      <alignment horizontal="center" vertical="center"/>
    </xf>
    <xf numFmtId="0" fontId="70" fillId="15" borderId="18" xfId="0" applyFont="1" applyFill="1" applyBorder="1" applyAlignment="1">
      <alignment horizontal="center" vertical="center"/>
    </xf>
    <xf numFmtId="0" fontId="70" fillId="15" borderId="28" xfId="0" applyFont="1" applyFill="1" applyBorder="1" applyAlignment="1">
      <alignment horizontal="center" vertical="center"/>
    </xf>
    <xf numFmtId="0" fontId="70" fillId="15" borderId="21" xfId="0" applyFont="1" applyFill="1" applyBorder="1" applyAlignment="1">
      <alignment horizontal="center" vertical="center" wrapText="1"/>
    </xf>
    <xf numFmtId="0" fontId="53" fillId="13" borderId="21" xfId="0" applyFont="1" applyFill="1" applyBorder="1" applyAlignment="1">
      <alignment horizontal="center" vertical="center"/>
    </xf>
    <xf numFmtId="0" fontId="117" fillId="13" borderId="21" xfId="0" applyFont="1" applyFill="1" applyBorder="1" applyAlignment="1">
      <alignment horizontal="center" vertical="center"/>
    </xf>
    <xf numFmtId="0" fontId="117" fillId="13" borderId="21" xfId="0" applyFont="1" applyFill="1" applyBorder="1" applyAlignment="1">
      <alignment horizontal="center" vertical="center" wrapText="1"/>
    </xf>
    <xf numFmtId="0" fontId="117" fillId="13" borderId="17" xfId="0" applyFont="1" applyFill="1" applyBorder="1" applyAlignment="1">
      <alignment horizontal="center" vertical="center"/>
    </xf>
    <xf numFmtId="0" fontId="117" fillId="13" borderId="17" xfId="0" applyFont="1" applyFill="1" applyBorder="1" applyAlignment="1">
      <alignment horizontal="center" vertical="center" wrapText="1"/>
    </xf>
    <xf numFmtId="0" fontId="70" fillId="13" borderId="21" xfId="0" applyFont="1" applyFill="1" applyBorder="1" applyAlignment="1">
      <alignment horizontal="center"/>
    </xf>
    <xf numFmtId="0" fontId="53" fillId="13" borderId="19" xfId="0" applyFont="1" applyFill="1" applyBorder="1"/>
    <xf numFmtId="0" fontId="117" fillId="13" borderId="19" xfId="0" applyFont="1" applyFill="1" applyBorder="1"/>
    <xf numFmtId="167" fontId="117" fillId="13" borderId="19" xfId="0" applyNumberFormat="1" applyFont="1" applyFill="1" applyBorder="1"/>
    <xf numFmtId="2" fontId="117" fillId="13" borderId="19" xfId="0" applyNumberFormat="1" applyFont="1" applyFill="1" applyBorder="1"/>
    <xf numFmtId="166" fontId="117" fillId="13" borderId="19" xfId="0" applyNumberFormat="1" applyFont="1" applyFill="1" applyBorder="1"/>
    <xf numFmtId="0" fontId="117" fillId="13" borderId="17" xfId="0" applyFont="1" applyFill="1" applyBorder="1"/>
    <xf numFmtId="0" fontId="91" fillId="13" borderId="19" xfId="0" applyFont="1" applyFill="1" applyBorder="1"/>
    <xf numFmtId="167" fontId="91" fillId="13" borderId="19" xfId="0" applyNumberFormat="1" applyFont="1" applyFill="1" applyBorder="1"/>
    <xf numFmtId="0" fontId="36" fillId="14" borderId="0" xfId="0" applyFont="1" applyFill="1"/>
    <xf numFmtId="0" fontId="35" fillId="14" borderId="18" xfId="0" applyFont="1" applyFill="1" applyBorder="1" applyAlignment="1">
      <alignment horizontal="center" vertical="center"/>
    </xf>
    <xf numFmtId="0" fontId="35" fillId="14" borderId="19" xfId="0" applyFont="1" applyFill="1" applyBorder="1" applyAlignment="1">
      <alignment horizontal="center" vertical="center"/>
    </xf>
    <xf numFmtId="0" fontId="70" fillId="14" borderId="18" xfId="0" applyFont="1" applyFill="1" applyBorder="1" applyAlignment="1">
      <alignment horizontal="center" vertical="center"/>
    </xf>
    <xf numFmtId="0" fontId="70" fillId="14" borderId="19" xfId="0" applyFont="1" applyFill="1" applyBorder="1" applyAlignment="1">
      <alignment horizontal="center" vertical="center"/>
    </xf>
    <xf numFmtId="0" fontId="70" fillId="14" borderId="19" xfId="0" applyFont="1" applyFill="1" applyBorder="1" applyAlignment="1">
      <alignment horizontal="center" vertical="center" wrapText="1"/>
    </xf>
    <xf numFmtId="0" fontId="70" fillId="14" borderId="16" xfId="0" applyFont="1" applyFill="1" applyBorder="1" applyAlignment="1">
      <alignment horizontal="center" vertical="center"/>
    </xf>
    <xf numFmtId="0" fontId="70" fillId="14" borderId="28" xfId="0" applyFont="1" applyFill="1" applyBorder="1" applyAlignment="1">
      <alignment horizontal="center" vertical="center"/>
    </xf>
    <xf numFmtId="0" fontId="70" fillId="14" borderId="17" xfId="0" applyFont="1" applyFill="1" applyBorder="1" applyAlignment="1">
      <alignment horizontal="center" vertical="center"/>
    </xf>
    <xf numFmtId="0" fontId="91" fillId="14" borderId="26" xfId="0" applyFont="1" applyFill="1" applyBorder="1" applyAlignment="1">
      <alignment horizontal="center" vertical="center"/>
    </xf>
    <xf numFmtId="167" fontId="91" fillId="14" borderId="26" xfId="0" applyNumberFormat="1" applyFont="1" applyFill="1" applyBorder="1" applyAlignment="1">
      <alignment horizontal="center" vertical="center"/>
    </xf>
    <xf numFmtId="0" fontId="70" fillId="14" borderId="26" xfId="0" applyFont="1" applyFill="1" applyBorder="1" applyAlignment="1">
      <alignment horizontal="center" vertical="center" wrapText="1"/>
    </xf>
    <xf numFmtId="0" fontId="11" fillId="14" borderId="19" xfId="0" applyFont="1" applyFill="1" applyBorder="1" applyAlignment="1">
      <alignment horizontal="center" vertical="center"/>
    </xf>
    <xf numFmtId="0" fontId="36" fillId="14" borderId="19" xfId="0" applyFont="1" applyFill="1" applyBorder="1"/>
    <xf numFmtId="0" fontId="91" fillId="14" borderId="18" xfId="0" applyFont="1" applyFill="1" applyBorder="1" applyAlignment="1">
      <alignment horizontal="center" vertical="center"/>
    </xf>
    <xf numFmtId="0" fontId="117" fillId="14" borderId="19" xfId="0" applyFont="1" applyFill="1" applyBorder="1" applyAlignment="1">
      <alignment horizontal="center" vertical="center"/>
    </xf>
    <xf numFmtId="0" fontId="91" fillId="14" borderId="19" xfId="0" applyFont="1" applyFill="1" applyBorder="1" applyAlignment="1">
      <alignment horizontal="center" vertical="center"/>
    </xf>
    <xf numFmtId="0" fontId="35" fillId="14" borderId="19" xfId="0" applyFont="1" applyFill="1" applyBorder="1" applyAlignment="1">
      <alignment horizontal="center" vertical="center" wrapText="1"/>
    </xf>
    <xf numFmtId="0" fontId="70" fillId="14" borderId="19" xfId="0" quotePrefix="1" applyFont="1" applyFill="1" applyBorder="1" applyAlignment="1">
      <alignment horizontal="center" vertical="center"/>
    </xf>
    <xf numFmtId="0" fontId="140" fillId="14" borderId="19" xfId="0" applyFont="1" applyFill="1" applyBorder="1" applyAlignment="1">
      <alignment horizontal="center" vertical="center"/>
    </xf>
    <xf numFmtId="0" fontId="70" fillId="14" borderId="28" xfId="0" applyFont="1" applyFill="1" applyBorder="1" applyAlignment="1">
      <alignment horizontal="center" vertical="center" wrapText="1"/>
    </xf>
    <xf numFmtId="3" fontId="70" fillId="14" borderId="19" xfId="0" applyNumberFormat="1" applyFont="1" applyFill="1" applyBorder="1" applyAlignment="1">
      <alignment horizontal="center" vertical="center"/>
    </xf>
    <xf numFmtId="0" fontId="36" fillId="5" borderId="0" xfId="0" applyFont="1" applyFill="1"/>
    <xf numFmtId="0" fontId="35" fillId="5" borderId="21" xfId="0" applyFont="1" applyFill="1" applyBorder="1" applyAlignment="1">
      <alignment horizontal="center" vertical="center" wrapText="1"/>
    </xf>
    <xf numFmtId="0" fontId="35" fillId="5" borderId="21" xfId="0" applyFont="1" applyFill="1" applyBorder="1" applyAlignment="1">
      <alignment horizontal="center" vertical="center"/>
    </xf>
    <xf numFmtId="0" fontId="35" fillId="5" borderId="19" xfId="0" applyFont="1" applyFill="1" applyBorder="1" applyAlignment="1">
      <alignment horizontal="center" vertical="center"/>
    </xf>
    <xf numFmtId="0" fontId="35" fillId="5" borderId="19" xfId="0" applyFont="1" applyFill="1" applyBorder="1" applyAlignment="1">
      <alignment horizontal="center" vertical="center" wrapText="1"/>
    </xf>
    <xf numFmtId="0" fontId="70" fillId="5" borderId="19" xfId="0" applyFont="1" applyFill="1" applyBorder="1" applyAlignment="1">
      <alignment horizontal="center" vertical="center"/>
    </xf>
    <xf numFmtId="0" fontId="70" fillId="5" borderId="19" xfId="0" applyFont="1" applyFill="1" applyBorder="1" applyAlignment="1">
      <alignment horizontal="center" vertical="center" wrapText="1"/>
    </xf>
    <xf numFmtId="0" fontId="70" fillId="5" borderId="19" xfId="0" quotePrefix="1" applyFont="1" applyFill="1" applyBorder="1" applyAlignment="1">
      <alignment horizontal="center" vertical="center"/>
    </xf>
    <xf numFmtId="0" fontId="117" fillId="5" borderId="0" xfId="0" applyFont="1" applyFill="1" applyBorder="1"/>
    <xf numFmtId="0" fontId="11" fillId="5" borderId="19" xfId="0" applyFont="1" applyFill="1" applyBorder="1" applyAlignment="1">
      <alignment horizontal="center" vertical="center"/>
    </xf>
    <xf numFmtId="0" fontId="11" fillId="5" borderId="19" xfId="0" applyFont="1" applyFill="1" applyBorder="1"/>
    <xf numFmtId="0" fontId="11" fillId="5" borderId="19" xfId="0" applyFont="1" applyFill="1" applyBorder="1" applyAlignment="1">
      <alignment horizontal="center"/>
    </xf>
    <xf numFmtId="0" fontId="106" fillId="5" borderId="19" xfId="0" applyFont="1" applyFill="1" applyBorder="1" applyAlignment="1">
      <alignment horizontal="center" vertical="center"/>
    </xf>
    <xf numFmtId="0" fontId="106" fillId="5" borderId="19" xfId="0" applyFont="1" applyFill="1" applyBorder="1" applyAlignment="1">
      <alignment horizontal="center" vertical="center" wrapText="1"/>
    </xf>
    <xf numFmtId="0" fontId="70" fillId="15" borderId="26" xfId="0" applyFont="1" applyFill="1" applyBorder="1" applyAlignment="1">
      <alignment horizontal="center" vertical="center" wrapText="1"/>
    </xf>
    <xf numFmtId="0" fontId="41" fillId="0" borderId="19" xfId="0" applyFont="1" applyBorder="1" applyAlignment="1">
      <alignment horizontal="center" vertical="center"/>
    </xf>
    <xf numFmtId="0" fontId="41" fillId="0" borderId="19" xfId="0" applyFont="1" applyBorder="1" applyAlignment="1">
      <alignment horizontal="center" vertical="center" wrapText="1"/>
    </xf>
    <xf numFmtId="0" fontId="41" fillId="0" borderId="28" xfId="0" applyFont="1" applyBorder="1" applyAlignment="1">
      <alignment horizontal="center" vertical="center"/>
    </xf>
    <xf numFmtId="0" fontId="35" fillId="14" borderId="26" xfId="0" applyFont="1" applyFill="1" applyBorder="1" applyAlignment="1">
      <alignment horizontal="center" vertical="center"/>
    </xf>
    <xf numFmtId="0" fontId="70" fillId="14" borderId="18" xfId="0" quotePrefix="1" applyFont="1" applyFill="1" applyBorder="1" applyAlignment="1">
      <alignment horizontal="center" vertical="center"/>
    </xf>
    <xf numFmtId="3" fontId="70" fillId="14" borderId="18" xfId="0" applyNumberFormat="1" applyFont="1" applyFill="1" applyBorder="1" applyAlignment="1">
      <alignment horizontal="center" vertical="center"/>
    </xf>
    <xf numFmtId="0" fontId="27" fillId="16" borderId="19" xfId="0" applyFont="1" applyFill="1" applyBorder="1" applyAlignment="1">
      <alignment horizontal="center" vertical="center"/>
    </xf>
    <xf numFmtId="0" fontId="41" fillId="16" borderId="19" xfId="0" applyFont="1" applyFill="1" applyBorder="1" applyAlignment="1">
      <alignment horizontal="center" vertical="center"/>
    </xf>
    <xf numFmtId="0" fontId="141" fillId="0" borderId="5" xfId="0" applyFont="1" applyBorder="1" applyAlignment="1">
      <alignment wrapText="1"/>
    </xf>
    <xf numFmtId="3" fontId="11" fillId="4" borderId="10" xfId="0" applyNumberFormat="1" applyFont="1" applyFill="1" applyBorder="1"/>
    <xf numFmtId="0" fontId="11" fillId="4" borderId="10" xfId="0" applyFont="1" applyFill="1" applyBorder="1"/>
    <xf numFmtId="0" fontId="85" fillId="11" borderId="5" xfId="0" applyFont="1" applyFill="1" applyBorder="1"/>
    <xf numFmtId="3" fontId="103" fillId="11" borderId="10" xfId="0" applyNumberFormat="1" applyFont="1" applyFill="1" applyBorder="1"/>
    <xf numFmtId="0" fontId="10" fillId="7" borderId="12" xfId="0" applyFont="1" applyFill="1" applyBorder="1" applyAlignment="1"/>
    <xf numFmtId="0" fontId="10" fillId="7" borderId="8" xfId="0" applyFont="1" applyFill="1" applyBorder="1" applyAlignment="1"/>
    <xf numFmtId="0" fontId="11" fillId="4" borderId="11" xfId="0" applyFont="1" applyFill="1" applyBorder="1" applyAlignment="1"/>
    <xf numFmtId="0" fontId="11" fillId="4" borderId="5" xfId="0" applyFont="1" applyFill="1" applyBorder="1" applyAlignment="1"/>
    <xf numFmtId="3" fontId="11" fillId="4" borderId="5" xfId="0" applyNumberFormat="1" applyFont="1" applyFill="1" applyBorder="1" applyAlignment="1"/>
    <xf numFmtId="0" fontId="11" fillId="4" borderId="14" xfId="0" applyFont="1" applyFill="1" applyBorder="1" applyAlignment="1"/>
    <xf numFmtId="0" fontId="11" fillId="4" borderId="7" xfId="0" applyFont="1" applyFill="1" applyBorder="1" applyAlignment="1"/>
    <xf numFmtId="0" fontId="142" fillId="7" borderId="12" xfId="0" applyFont="1" applyFill="1" applyBorder="1" applyAlignment="1"/>
    <xf numFmtId="0" fontId="142" fillId="7" borderId="8" xfId="0" applyFont="1" applyFill="1" applyBorder="1" applyAlignment="1"/>
    <xf numFmtId="0" fontId="11" fillId="4" borderId="14" xfId="0" applyFont="1" applyFill="1" applyBorder="1"/>
    <xf numFmtId="0" fontId="11" fillId="4" borderId="7" xfId="0" applyFont="1" applyFill="1" applyBorder="1"/>
    <xf numFmtId="0" fontId="103" fillId="11" borderId="5" xfId="0" applyFont="1" applyFill="1" applyBorder="1" applyAlignment="1"/>
    <xf numFmtId="3" fontId="103" fillId="11" borderId="5" xfId="0" applyNumberFormat="1" applyFont="1" applyFill="1" applyBorder="1" applyAlignment="1"/>
    <xf numFmtId="0" fontId="10" fillId="0" borderId="5" xfId="0" applyFont="1" applyBorder="1" applyAlignment="1">
      <alignment horizontal="center"/>
    </xf>
    <xf numFmtId="0" fontId="35" fillId="0" borderId="5" xfId="0" applyFont="1" applyBorder="1" applyAlignment="1">
      <alignment horizontal="center"/>
    </xf>
    <xf numFmtId="0" fontId="11" fillId="0" borderId="5" xfId="0" applyFont="1" applyBorder="1" applyAlignment="1">
      <alignment horizontal="center"/>
    </xf>
    <xf numFmtId="0" fontId="11" fillId="0" borderId="11" xfId="0" applyFont="1" applyBorder="1" applyAlignment="1">
      <alignment horizontal="center"/>
    </xf>
    <xf numFmtId="0" fontId="70" fillId="0" borderId="11" xfId="0" applyFont="1" applyBorder="1" applyAlignment="1">
      <alignment horizontal="center"/>
    </xf>
    <xf numFmtId="0" fontId="11" fillId="0" borderId="5" xfId="0" applyFont="1" applyFill="1" applyBorder="1" applyAlignment="1">
      <alignment horizontal="center"/>
    </xf>
    <xf numFmtId="0" fontId="11" fillId="0" borderId="5" xfId="0" quotePrefix="1" applyFont="1" applyBorder="1" applyAlignment="1">
      <alignment horizontal="center"/>
    </xf>
    <xf numFmtId="0" fontId="70" fillId="10" borderId="5" xfId="0" applyFont="1" applyFill="1" applyBorder="1"/>
    <xf numFmtId="0" fontId="70" fillId="10" borderId="10" xfId="0" applyFont="1" applyFill="1" applyBorder="1"/>
    <xf numFmtId="0" fontId="70" fillId="4" borderId="5" xfId="0" applyFont="1" applyFill="1" applyBorder="1"/>
    <xf numFmtId="3" fontId="70" fillId="4" borderId="5" xfId="0" applyNumberFormat="1" applyFont="1" applyFill="1" applyBorder="1"/>
    <xf numFmtId="3" fontId="70" fillId="4" borderId="10" xfId="0" applyNumberFormat="1" applyFont="1" applyFill="1" applyBorder="1"/>
    <xf numFmtId="0" fontId="70" fillId="10" borderId="12" xfId="0" applyFont="1" applyFill="1" applyBorder="1"/>
    <xf numFmtId="0" fontId="70" fillId="10" borderId="8" xfId="0" applyFont="1" applyFill="1" applyBorder="1"/>
    <xf numFmtId="0" fontId="70" fillId="10" borderId="8" xfId="0" applyFont="1" applyFill="1" applyBorder="1" applyAlignment="1">
      <alignment wrapText="1"/>
    </xf>
    <xf numFmtId="0" fontId="70" fillId="10" borderId="13" xfId="0" applyFont="1" applyFill="1" applyBorder="1"/>
    <xf numFmtId="3" fontId="70" fillId="4" borderId="7" xfId="0" applyNumberFormat="1" applyFont="1" applyFill="1" applyBorder="1"/>
    <xf numFmtId="0" fontId="10" fillId="7" borderId="13" xfId="0" applyFont="1" applyFill="1" applyBorder="1" applyAlignment="1"/>
    <xf numFmtId="0" fontId="10" fillId="7" borderId="10" xfId="0" applyFont="1" applyFill="1" applyBorder="1" applyAlignment="1"/>
    <xf numFmtId="0" fontId="11" fillId="4" borderId="10" xfId="0" applyFont="1" applyFill="1" applyBorder="1" applyAlignment="1"/>
    <xf numFmtId="0" fontId="11" fillId="4" borderId="5" xfId="0" applyFont="1" applyFill="1" applyBorder="1"/>
    <xf numFmtId="0" fontId="84" fillId="0" borderId="5" xfId="1" applyFont="1" applyBorder="1" applyAlignment="1">
      <alignment wrapText="1"/>
    </xf>
    <xf numFmtId="0" fontId="10" fillId="4" borderId="5" xfId="0" applyFont="1" applyFill="1" applyBorder="1" applyAlignment="1"/>
    <xf numFmtId="0" fontId="27" fillId="0" borderId="5" xfId="0" applyFont="1" applyBorder="1" applyAlignment="1">
      <alignment wrapText="1"/>
    </xf>
    <xf numFmtId="0" fontId="84" fillId="0" borderId="5" xfId="1" applyFont="1" applyBorder="1"/>
    <xf numFmtId="0" fontId="10" fillId="4" borderId="5" xfId="0" applyFont="1" applyFill="1" applyBorder="1" applyAlignment="1">
      <alignment wrapText="1"/>
    </xf>
    <xf numFmtId="3" fontId="70" fillId="0" borderId="10" xfId="0" applyNumberFormat="1" applyFont="1" applyBorder="1" applyAlignment="1">
      <alignment horizontal="center"/>
    </xf>
    <xf numFmtId="3" fontId="70" fillId="0" borderId="10" xfId="0" applyNumberFormat="1" applyFont="1" applyBorder="1" applyAlignment="1">
      <alignment horizontal="center" wrapText="1"/>
    </xf>
    <xf numFmtId="0" fontId="70" fillId="0" borderId="5" xfId="0" applyFont="1" applyBorder="1" applyAlignment="1">
      <alignment wrapText="1"/>
    </xf>
    <xf numFmtId="6" fontId="70" fillId="0" borderId="10" xfId="0" applyNumberFormat="1" applyFont="1" applyBorder="1" applyAlignment="1">
      <alignment horizontal="center"/>
    </xf>
    <xf numFmtId="0" fontId="144" fillId="8" borderId="0" xfId="0" applyFont="1" applyFill="1" applyAlignment="1">
      <alignment horizontal="center"/>
    </xf>
    <xf numFmtId="0" fontId="70" fillId="0" borderId="5" xfId="0" applyFont="1" applyBorder="1" applyAlignment="1">
      <alignment horizontal="center" vertical="center"/>
    </xf>
    <xf numFmtId="0" fontId="70" fillId="4" borderId="5" xfId="0" applyFont="1" applyFill="1" applyBorder="1" applyAlignment="1">
      <alignment horizontal="center"/>
    </xf>
    <xf numFmtId="0" fontId="70" fillId="0" borderId="5" xfId="0" applyFont="1" applyBorder="1" applyAlignment="1">
      <alignment horizontal="center"/>
    </xf>
    <xf numFmtId="0" fontId="34" fillId="0" borderId="0" xfId="0" applyFont="1" applyFill="1" applyBorder="1" applyAlignment="1">
      <alignment horizontal="left"/>
    </xf>
    <xf numFmtId="0" fontId="1" fillId="0" borderId="0" xfId="0" applyFont="1" applyFill="1" applyBorder="1" applyAlignment="1">
      <alignment horizontal="left"/>
    </xf>
    <xf numFmtId="0" fontId="1" fillId="0" borderId="4" xfId="0" applyFont="1" applyFill="1" applyBorder="1" applyAlignment="1">
      <alignment horizontal="left"/>
    </xf>
    <xf numFmtId="0" fontId="0" fillId="0" borderId="0" xfId="0" applyAlignment="1">
      <alignment horizontal="left"/>
    </xf>
    <xf numFmtId="0" fontId="13" fillId="0" borderId="0" xfId="0" applyFont="1" applyFill="1" applyBorder="1" applyAlignment="1">
      <alignment horizontal="left"/>
    </xf>
    <xf numFmtId="0" fontId="70" fillId="0" borderId="0" xfId="0" applyFont="1" applyAlignment="1">
      <alignment horizontal="right"/>
    </xf>
    <xf numFmtId="0" fontId="47" fillId="15" borderId="5" xfId="0" applyFont="1" applyFill="1" applyBorder="1" applyAlignment="1">
      <alignment horizontal="center" vertical="center"/>
    </xf>
    <xf numFmtId="0" fontId="11" fillId="0" borderId="0" xfId="0" applyFont="1" applyAlignment="1">
      <alignment horizontal="center"/>
    </xf>
    <xf numFmtId="0" fontId="0" fillId="0" borderId="0" xfId="0" applyAlignment="1">
      <alignment horizontal="center"/>
    </xf>
    <xf numFmtId="0" fontId="10" fillId="0" borderId="0" xfId="0" applyFont="1" applyAlignment="1">
      <alignment horizontal="center"/>
    </xf>
    <xf numFmtId="0" fontId="35" fillId="0" borderId="0" xfId="0" applyFont="1" applyAlignment="1">
      <alignment horizontal="center"/>
    </xf>
    <xf numFmtId="0" fontId="8" fillId="0" borderId="0" xfId="0" applyFont="1" applyAlignment="1">
      <alignment horizontal="center"/>
    </xf>
    <xf numFmtId="0" fontId="35" fillId="0" borderId="0" xfId="0" applyFont="1" applyAlignment="1">
      <alignment horizontal="center" wrapText="1"/>
    </xf>
    <xf numFmtId="0" fontId="0" fillId="0" borderId="0" xfId="0" applyBorder="1" applyAlignment="1">
      <alignment horizontal="center"/>
    </xf>
    <xf numFmtId="0" fontId="36" fillId="0" borderId="0" xfId="0" applyFont="1" applyAlignment="1">
      <alignment horizontal="left"/>
    </xf>
    <xf numFmtId="0" fontId="70" fillId="0" borderId="0" xfId="0" applyFont="1" applyAlignment="1">
      <alignment horizontal="center"/>
    </xf>
    <xf numFmtId="0" fontId="75" fillId="5" borderId="39" xfId="0" applyFont="1" applyFill="1" applyBorder="1" applyAlignment="1">
      <alignment horizontal="center" vertical="center" wrapText="1"/>
    </xf>
    <xf numFmtId="0" fontId="75" fillId="5" borderId="18" xfId="0" applyFont="1" applyFill="1" applyBorder="1" applyAlignment="1">
      <alignment horizontal="center" vertical="center" wrapText="1"/>
    </xf>
    <xf numFmtId="0" fontId="75" fillId="5" borderId="28" xfId="0" applyFont="1" applyFill="1" applyBorder="1" applyAlignment="1">
      <alignment horizontal="center" vertical="center" wrapText="1"/>
    </xf>
    <xf numFmtId="0" fontId="86" fillId="5" borderId="20" xfId="0" applyFont="1" applyFill="1" applyBorder="1" applyAlignment="1">
      <alignment horizontal="center" vertical="center" wrapText="1"/>
    </xf>
    <xf numFmtId="0" fontId="86" fillId="5" borderId="28" xfId="0" applyFont="1" applyFill="1" applyBorder="1" applyAlignment="1">
      <alignment horizontal="center" vertical="center" wrapText="1"/>
    </xf>
    <xf numFmtId="0" fontId="89" fillId="0" borderId="10" xfId="0" applyFont="1" applyBorder="1" applyAlignment="1">
      <alignment horizontal="center" vertical="center" wrapText="1"/>
    </xf>
    <xf numFmtId="0" fontId="89" fillId="0" borderId="54" xfId="0" applyFont="1" applyBorder="1" applyAlignment="1">
      <alignment horizontal="center" vertical="center" wrapText="1"/>
    </xf>
    <xf numFmtId="0" fontId="87" fillId="6" borderId="36" xfId="0" applyFont="1" applyFill="1" applyBorder="1" applyAlignment="1">
      <alignment horizontal="center" vertical="center"/>
    </xf>
    <xf numFmtId="0" fontId="87" fillId="6" borderId="52" xfId="0" applyFont="1" applyFill="1" applyBorder="1" applyAlignment="1">
      <alignment horizontal="center" vertical="center"/>
    </xf>
    <xf numFmtId="0" fontId="70" fillId="0" borderId="10" xfId="0" applyFont="1" applyBorder="1" applyAlignment="1">
      <alignment horizontal="center" vertical="center" wrapText="1"/>
    </xf>
    <xf numFmtId="0" fontId="70" fillId="0" borderId="54" xfId="0" applyFont="1" applyBorder="1" applyAlignment="1">
      <alignment horizontal="center" vertical="center" wrapText="1"/>
    </xf>
    <xf numFmtId="0" fontId="75" fillId="0" borderId="10" xfId="0" applyFont="1" applyBorder="1" applyAlignment="1">
      <alignment horizontal="center"/>
    </xf>
    <xf numFmtId="0" fontId="75" fillId="0" borderId="54" xfId="0" applyFont="1" applyBorder="1" applyAlignment="1">
      <alignment horizontal="center"/>
    </xf>
    <xf numFmtId="0" fontId="75" fillId="5" borderId="79" xfId="0" applyFont="1" applyFill="1" applyBorder="1" applyAlignment="1">
      <alignment horizontal="center" vertical="center" wrapText="1"/>
    </xf>
    <xf numFmtId="0" fontId="75" fillId="5" borderId="38" xfId="0" applyFont="1" applyFill="1" applyBorder="1" applyAlignment="1">
      <alignment horizontal="center" vertical="center" wrapText="1"/>
    </xf>
    <xf numFmtId="0" fontId="75" fillId="5" borderId="52" xfId="0" applyFont="1" applyFill="1" applyBorder="1" applyAlignment="1">
      <alignment horizontal="center" vertical="center" wrapText="1"/>
    </xf>
    <xf numFmtId="0" fontId="75" fillId="5" borderId="10" xfId="0" applyFont="1" applyFill="1" applyBorder="1" applyAlignment="1">
      <alignment horizontal="center"/>
    </xf>
    <xf numFmtId="0" fontId="75" fillId="5" borderId="27" xfId="0" applyFont="1" applyFill="1" applyBorder="1" applyAlignment="1">
      <alignment horizontal="center"/>
    </xf>
    <xf numFmtId="0" fontId="75" fillId="5" borderId="11" xfId="0" applyFont="1" applyFill="1" applyBorder="1" applyAlignment="1">
      <alignment horizontal="center"/>
    </xf>
    <xf numFmtId="0" fontId="74" fillId="4" borderId="32" xfId="1" applyFont="1" applyFill="1" applyBorder="1" applyAlignment="1">
      <alignment horizontal="left" vertical="top"/>
    </xf>
    <xf numFmtId="0" fontId="74" fillId="4" borderId="0" xfId="1" applyFont="1" applyFill="1" applyBorder="1" applyAlignment="1">
      <alignment horizontal="left" vertical="top"/>
    </xf>
    <xf numFmtId="0" fontId="74" fillId="4" borderId="33" xfId="1" applyFont="1" applyFill="1" applyBorder="1" applyAlignment="1">
      <alignment horizontal="left" vertical="top"/>
    </xf>
    <xf numFmtId="0" fontId="11" fillId="0" borderId="0" xfId="0" applyFont="1" applyAlignment="1">
      <alignment horizontal="center" vertical="center"/>
    </xf>
    <xf numFmtId="0" fontId="74" fillId="4" borderId="32" xfId="1" applyFont="1" applyFill="1" applyBorder="1" applyAlignment="1">
      <alignment horizontal="left" vertical="top" wrapText="1"/>
    </xf>
    <xf numFmtId="0" fontId="74" fillId="4" borderId="0" xfId="1" applyFont="1" applyFill="1" applyBorder="1" applyAlignment="1">
      <alignment horizontal="left" vertical="top" wrapText="1"/>
    </xf>
    <xf numFmtId="0" fontId="74" fillId="4" borderId="33" xfId="1" applyFont="1" applyFill="1" applyBorder="1" applyAlignment="1">
      <alignment horizontal="left" vertical="top" wrapText="1"/>
    </xf>
    <xf numFmtId="0" fontId="70" fillId="0" borderId="7" xfId="0" applyFont="1" applyFill="1" applyBorder="1" applyAlignment="1">
      <alignment vertical="center" wrapText="1"/>
    </xf>
    <xf numFmtId="0" fontId="70" fillId="0" borderId="8" xfId="0" applyFont="1" applyFill="1" applyBorder="1" applyAlignment="1">
      <alignment vertical="center" wrapText="1"/>
    </xf>
    <xf numFmtId="0" fontId="75" fillId="5" borderId="18" xfId="0" applyFont="1" applyFill="1" applyBorder="1" applyAlignment="1">
      <alignment horizontal="center"/>
    </xf>
    <xf numFmtId="0" fontId="10" fillId="5" borderId="20" xfId="0" applyFont="1" applyFill="1" applyBorder="1" applyAlignment="1">
      <alignment horizontal="center"/>
    </xf>
    <xf numFmtId="0" fontId="10" fillId="5" borderId="28" xfId="0" applyFont="1" applyFill="1" applyBorder="1" applyAlignment="1">
      <alignment horizontal="center"/>
    </xf>
    <xf numFmtId="0" fontId="11" fillId="0" borderId="32" xfId="0" applyFont="1" applyBorder="1" applyAlignment="1">
      <alignment horizontal="left" vertical="top" wrapText="1"/>
    </xf>
    <xf numFmtId="0" fontId="11" fillId="0" borderId="0" xfId="0" applyFont="1" applyBorder="1" applyAlignment="1">
      <alignment horizontal="left" vertical="top" wrapText="1"/>
    </xf>
    <xf numFmtId="0" fontId="11" fillId="0" borderId="33" xfId="0" applyFont="1" applyBorder="1" applyAlignment="1">
      <alignment horizontal="left" vertical="top" wrapText="1"/>
    </xf>
    <xf numFmtId="0" fontId="70" fillId="0" borderId="15" xfId="0" applyFont="1" applyFill="1" applyBorder="1" applyAlignment="1">
      <alignment vertical="center" wrapText="1"/>
    </xf>
    <xf numFmtId="0" fontId="75" fillId="5" borderId="16" xfId="0" applyFont="1" applyFill="1" applyBorder="1" applyAlignment="1">
      <alignment horizontal="center" vertical="center" wrapText="1"/>
    </xf>
    <xf numFmtId="0" fontId="75" fillId="5" borderId="30" xfId="0" applyFont="1" applyFill="1" applyBorder="1" applyAlignment="1">
      <alignment horizontal="center" vertical="center" wrapText="1"/>
    </xf>
    <xf numFmtId="0" fontId="75" fillId="5" borderId="31" xfId="0" applyFont="1" applyFill="1" applyBorder="1" applyAlignment="1">
      <alignment horizontal="center" vertical="center" wrapText="1"/>
    </xf>
    <xf numFmtId="0" fontId="75" fillId="5" borderId="17" xfId="0" applyFont="1" applyFill="1" applyBorder="1" applyAlignment="1">
      <alignment horizontal="center" vertical="center" wrapText="1"/>
    </xf>
    <xf numFmtId="0" fontId="75" fillId="5" borderId="58" xfId="0" applyFont="1" applyFill="1" applyBorder="1" applyAlignment="1">
      <alignment horizontal="center" vertical="center" wrapText="1"/>
    </xf>
    <xf numFmtId="0" fontId="91" fillId="5" borderId="62" xfId="0" applyFont="1" applyFill="1" applyBorder="1" applyAlignment="1">
      <alignment horizontal="center" vertical="center"/>
    </xf>
    <xf numFmtId="0" fontId="91" fillId="5" borderId="63" xfId="0" applyFont="1" applyFill="1" applyBorder="1" applyAlignment="1">
      <alignment horizontal="center" vertical="center"/>
    </xf>
    <xf numFmtId="0" fontId="75" fillId="5" borderId="16" xfId="0" applyFont="1" applyFill="1" applyBorder="1" applyAlignment="1">
      <alignment horizontal="center" vertical="center"/>
    </xf>
    <xf numFmtId="0" fontId="75" fillId="5" borderId="31" xfId="0" applyFont="1" applyFill="1" applyBorder="1" applyAlignment="1">
      <alignment horizontal="center" vertical="center"/>
    </xf>
    <xf numFmtId="0" fontId="74" fillId="4" borderId="17" xfId="1" applyFont="1" applyFill="1" applyBorder="1" applyAlignment="1">
      <alignment horizontal="left" vertical="top"/>
    </xf>
    <xf numFmtId="0" fontId="74" fillId="4" borderId="39" xfId="1" applyFont="1" applyFill="1" applyBorder="1" applyAlignment="1">
      <alignment horizontal="left" vertical="top"/>
    </xf>
    <xf numFmtId="0" fontId="74" fillId="4" borderId="58" xfId="1" applyFont="1" applyFill="1" applyBorder="1" applyAlignment="1">
      <alignment horizontal="left" vertical="top"/>
    </xf>
    <xf numFmtId="0" fontId="70" fillId="0" borderId="0" xfId="0" applyFont="1" applyBorder="1" applyAlignment="1">
      <alignment horizontal="left" vertical="top"/>
    </xf>
    <xf numFmtId="0" fontId="70" fillId="0" borderId="33" xfId="0" applyFont="1" applyBorder="1" applyAlignment="1">
      <alignment horizontal="left" vertical="top"/>
    </xf>
    <xf numFmtId="0" fontId="11" fillId="4" borderId="32" xfId="0" applyFont="1" applyFill="1" applyBorder="1" applyAlignment="1">
      <alignment horizontal="left" vertical="top"/>
    </xf>
    <xf numFmtId="0" fontId="70" fillId="4" borderId="0" xfId="0" applyFont="1" applyFill="1" applyBorder="1" applyAlignment="1">
      <alignment horizontal="left" vertical="top"/>
    </xf>
    <xf numFmtId="0" fontId="70" fillId="4" borderId="33" xfId="0" applyFont="1" applyFill="1" applyBorder="1" applyAlignment="1">
      <alignment horizontal="left" vertical="top"/>
    </xf>
    <xf numFmtId="0" fontId="11" fillId="0" borderId="32" xfId="0" applyFont="1" applyBorder="1" applyAlignment="1">
      <alignment horizontal="left" vertical="top"/>
    </xf>
    <xf numFmtId="0" fontId="75" fillId="5" borderId="41" xfId="0" applyFont="1" applyFill="1" applyBorder="1" applyAlignment="1">
      <alignment horizontal="center" wrapText="1"/>
    </xf>
    <xf numFmtId="0" fontId="75" fillId="5" borderId="42" xfId="0" applyFont="1" applyFill="1" applyBorder="1" applyAlignment="1">
      <alignment horizontal="center" wrapText="1"/>
    </xf>
    <xf numFmtId="0" fontId="75" fillId="5" borderId="43" xfId="0" applyFont="1" applyFill="1" applyBorder="1" applyAlignment="1">
      <alignment horizontal="center" wrapText="1"/>
    </xf>
    <xf numFmtId="0" fontId="70" fillId="0" borderId="0" xfId="0" applyFont="1" applyBorder="1" applyAlignment="1">
      <alignment horizontal="left" vertical="top" wrapText="1"/>
    </xf>
    <xf numFmtId="0" fontId="70" fillId="0" borderId="33" xfId="0" applyFont="1" applyBorder="1" applyAlignment="1">
      <alignment horizontal="left" vertical="top" wrapText="1"/>
    </xf>
    <xf numFmtId="0" fontId="35" fillId="0" borderId="0" xfId="0" applyFont="1" applyBorder="1" applyAlignment="1">
      <alignment horizontal="left" vertical="top" wrapText="1"/>
    </xf>
    <xf numFmtId="0" fontId="35" fillId="0" borderId="33" xfId="0" applyFont="1" applyBorder="1" applyAlignment="1">
      <alignment horizontal="left" vertical="top" wrapText="1"/>
    </xf>
    <xf numFmtId="0" fontId="99" fillId="4" borderId="32" xfId="0" applyFont="1" applyFill="1" applyBorder="1" applyAlignment="1">
      <alignment horizontal="center" vertical="top"/>
    </xf>
    <xf numFmtId="0" fontId="70" fillId="4" borderId="0" xfId="0" applyFont="1" applyFill="1" applyBorder="1" applyAlignment="1">
      <alignment horizontal="center" vertical="top"/>
    </xf>
    <xf numFmtId="0" fontId="70" fillId="4" borderId="33" xfId="0" applyFont="1" applyFill="1" applyBorder="1" applyAlignment="1">
      <alignment horizontal="center" vertical="top"/>
    </xf>
    <xf numFmtId="0" fontId="75" fillId="5" borderId="62" xfId="0" applyFont="1" applyFill="1" applyBorder="1" applyAlignment="1">
      <alignment horizontal="center" vertical="center"/>
    </xf>
    <xf numFmtId="0" fontId="75" fillId="5" borderId="66" xfId="0" applyFont="1" applyFill="1" applyBorder="1" applyAlignment="1">
      <alignment horizontal="center" vertical="center"/>
    </xf>
    <xf numFmtId="0" fontId="75" fillId="5" borderId="63" xfId="0" applyFont="1" applyFill="1" applyBorder="1" applyAlignment="1">
      <alignment horizontal="center" vertical="center"/>
    </xf>
    <xf numFmtId="0" fontId="75" fillId="5" borderId="62" xfId="0" applyFont="1" applyFill="1" applyBorder="1" applyAlignment="1">
      <alignment horizontal="center" vertical="center" wrapText="1"/>
    </xf>
    <xf numFmtId="0" fontId="75" fillId="5" borderId="66" xfId="0" applyFont="1" applyFill="1" applyBorder="1" applyAlignment="1">
      <alignment horizontal="center" vertical="center" wrapText="1"/>
    </xf>
    <xf numFmtId="0" fontId="75" fillId="5" borderId="63" xfId="0" applyFont="1" applyFill="1" applyBorder="1" applyAlignment="1">
      <alignment horizontal="center" vertical="center" wrapText="1"/>
    </xf>
    <xf numFmtId="0" fontId="70" fillId="5" borderId="63" xfId="0" applyFont="1" applyFill="1" applyBorder="1" applyAlignment="1">
      <alignment horizontal="center" vertical="center"/>
    </xf>
    <xf numFmtId="0" fontId="75" fillId="0" borderId="11" xfId="0" applyFont="1" applyBorder="1" applyAlignment="1">
      <alignment horizontal="center"/>
    </xf>
    <xf numFmtId="0" fontId="75" fillId="5" borderId="47" xfId="0" applyFont="1" applyFill="1" applyBorder="1" applyAlignment="1">
      <alignment horizontal="center"/>
    </xf>
    <xf numFmtId="0" fontId="75" fillId="5" borderId="42" xfId="0" applyFont="1" applyFill="1" applyBorder="1" applyAlignment="1">
      <alignment horizontal="center"/>
    </xf>
    <xf numFmtId="0" fontId="75" fillId="5" borderId="43" xfId="0" applyFont="1" applyFill="1" applyBorder="1" applyAlignment="1">
      <alignment horizontal="center"/>
    </xf>
    <xf numFmtId="0" fontId="75" fillId="5" borderId="41" xfId="0" applyFont="1" applyFill="1" applyBorder="1" applyAlignment="1">
      <alignment horizontal="center" vertical="center"/>
    </xf>
    <xf numFmtId="0" fontId="96" fillId="5" borderId="42" xfId="0" applyFont="1" applyFill="1" applyBorder="1" applyAlignment="1">
      <alignment horizontal="center" vertical="center"/>
    </xf>
    <xf numFmtId="0" fontId="96" fillId="5" borderId="43" xfId="0" applyFont="1" applyFill="1" applyBorder="1" applyAlignment="1">
      <alignment horizontal="center" vertical="center"/>
    </xf>
    <xf numFmtId="0" fontId="110" fillId="10" borderId="5" xfId="0" applyFont="1" applyFill="1" applyBorder="1" applyAlignment="1">
      <alignment horizontal="center" vertical="center"/>
    </xf>
    <xf numFmtId="0" fontId="111" fillId="10" borderId="5" xfId="0" applyFont="1" applyFill="1" applyBorder="1" applyAlignment="1">
      <alignment horizontal="center" vertical="center"/>
    </xf>
    <xf numFmtId="0" fontId="110" fillId="10" borderId="7" xfId="0" applyFont="1" applyFill="1" applyBorder="1" applyAlignment="1">
      <alignment horizontal="center" vertical="center"/>
    </xf>
    <xf numFmtId="0" fontId="111" fillId="10" borderId="7" xfId="0" applyFont="1" applyFill="1" applyBorder="1" applyAlignment="1">
      <alignment horizontal="center" vertical="center"/>
    </xf>
    <xf numFmtId="0" fontId="56" fillId="0" borderId="0" xfId="0" applyFont="1" applyBorder="1" applyAlignment="1">
      <alignment horizontal="center"/>
    </xf>
    <xf numFmtId="0" fontId="56" fillId="0" borderId="0" xfId="0" applyFont="1" applyBorder="1" applyAlignment="1">
      <alignment horizontal="right"/>
    </xf>
    <xf numFmtId="0" fontId="70" fillId="0" borderId="5" xfId="0" applyFont="1" applyBorder="1" applyAlignment="1">
      <alignment horizontal="center"/>
    </xf>
    <xf numFmtId="0" fontId="103" fillId="10" borderId="5" xfId="0" applyFont="1" applyFill="1" applyBorder="1" applyAlignment="1">
      <alignment horizontal="center" vertical="center"/>
    </xf>
    <xf numFmtId="0" fontId="103" fillId="4" borderId="0" xfId="0" applyFont="1" applyFill="1" applyBorder="1" applyAlignment="1">
      <alignment horizontal="center" vertical="center"/>
    </xf>
    <xf numFmtId="0" fontId="58" fillId="4" borderId="0" xfId="0" applyFont="1" applyFill="1" applyBorder="1" applyAlignment="1">
      <alignment horizontal="center" vertical="center"/>
    </xf>
    <xf numFmtId="0" fontId="87" fillId="9" borderId="5" xfId="0" applyFont="1" applyFill="1" applyBorder="1" applyAlignment="1"/>
    <xf numFmtId="0" fontId="86" fillId="0" borderId="5" xfId="0" applyFont="1" applyBorder="1" applyAlignment="1"/>
    <xf numFmtId="0" fontId="85" fillId="10" borderId="5" xfId="0" applyFont="1" applyFill="1" applyBorder="1" applyAlignment="1">
      <alignment horizontal="center"/>
    </xf>
    <xf numFmtId="168" fontId="57" fillId="0" borderId="0" xfId="0" applyNumberFormat="1" applyFont="1" applyAlignment="1">
      <alignment vertical="center"/>
    </xf>
    <xf numFmtId="0" fontId="102" fillId="10" borderId="0" xfId="0" applyFont="1" applyFill="1" applyAlignment="1">
      <alignment horizontal="center" vertical="center"/>
    </xf>
    <xf numFmtId="0" fontId="70" fillId="4" borderId="5" xfId="0" applyFont="1" applyFill="1" applyBorder="1" applyAlignment="1">
      <alignment horizontal="center"/>
    </xf>
    <xf numFmtId="0" fontId="143" fillId="4" borderId="5" xfId="0" applyFont="1" applyFill="1" applyBorder="1" applyAlignment="1">
      <alignment horizontal="center"/>
    </xf>
    <xf numFmtId="0" fontId="60" fillId="0" borderId="11" xfId="0" applyFont="1" applyBorder="1" applyAlignment="1">
      <alignment horizontal="center"/>
    </xf>
    <xf numFmtId="0" fontId="60" fillId="0" borderId="5" xfId="0" applyFont="1" applyBorder="1" applyAlignment="1">
      <alignment horizontal="center"/>
    </xf>
    <xf numFmtId="0" fontId="61" fillId="0" borderId="11" xfId="0" applyFont="1" applyBorder="1" applyAlignment="1">
      <alignment horizontal="center"/>
    </xf>
    <xf numFmtId="0" fontId="61" fillId="0" borderId="5" xfId="0" applyFont="1" applyBorder="1" applyAlignment="1">
      <alignment horizontal="center"/>
    </xf>
    <xf numFmtId="0" fontId="62" fillId="0" borderId="11" xfId="0" applyFont="1" applyBorder="1" applyAlignment="1">
      <alignment horizontal="center"/>
    </xf>
    <xf numFmtId="0" fontId="62" fillId="0" borderId="5" xfId="0" applyFont="1" applyBorder="1" applyAlignment="1">
      <alignment horizontal="center"/>
    </xf>
    <xf numFmtId="0" fontId="60" fillId="0" borderId="11" xfId="0" applyFont="1" applyBorder="1" applyAlignment="1">
      <alignment horizontal="center" wrapText="1"/>
    </xf>
    <xf numFmtId="0" fontId="60" fillId="0" borderId="5" xfId="0" applyFont="1" applyBorder="1" applyAlignment="1">
      <alignment horizontal="center" wrapText="1"/>
    </xf>
    <xf numFmtId="0" fontId="64" fillId="0" borderId="0" xfId="0" applyFont="1" applyAlignment="1">
      <alignment horizontal="center" vertical="center"/>
    </xf>
    <xf numFmtId="0" fontId="70" fillId="4" borderId="7" xfId="0" applyFont="1" applyFill="1" applyBorder="1" applyAlignment="1">
      <alignment horizontal="center"/>
    </xf>
    <xf numFmtId="0" fontId="143" fillId="4" borderId="7" xfId="0" applyFont="1" applyFill="1" applyBorder="1" applyAlignment="1">
      <alignment horizontal="center"/>
    </xf>
    <xf numFmtId="0" fontId="103" fillId="0" borderId="0" xfId="0" applyFont="1" applyAlignment="1">
      <alignment horizontal="center"/>
    </xf>
    <xf numFmtId="0" fontId="55" fillId="0" borderId="0" xfId="0" applyFont="1" applyBorder="1" applyAlignment="1">
      <alignment horizontal="center"/>
    </xf>
    <xf numFmtId="0" fontId="63" fillId="0" borderId="0" xfId="0" applyFont="1" applyAlignment="1">
      <alignment horizontal="center"/>
    </xf>
    <xf numFmtId="0" fontId="59" fillId="4" borderId="0" xfId="0" applyFont="1" applyFill="1" applyBorder="1" applyAlignment="1">
      <alignment horizontal="center" vertical="center"/>
    </xf>
    <xf numFmtId="0" fontId="18" fillId="10" borderId="34" xfId="0" applyFont="1" applyFill="1" applyBorder="1" applyAlignment="1">
      <alignment horizontal="center" vertical="center" textRotation="90"/>
    </xf>
    <xf numFmtId="0" fontId="18" fillId="10" borderId="35" xfId="0" applyFont="1" applyFill="1" applyBorder="1" applyAlignment="1">
      <alignment horizontal="center" vertical="center" textRotation="90"/>
    </xf>
    <xf numFmtId="0" fontId="70" fillId="0" borderId="8" xfId="0" applyFont="1" applyBorder="1" applyAlignment="1">
      <alignment horizontal="center" vertical="center" wrapText="1"/>
    </xf>
    <xf numFmtId="0" fontId="70" fillId="0" borderId="5" xfId="0" applyFont="1" applyBorder="1" applyAlignment="1">
      <alignment horizontal="center" vertical="center" wrapText="1"/>
    </xf>
    <xf numFmtId="0" fontId="70" fillId="0" borderId="5" xfId="0" applyFont="1" applyBorder="1" applyAlignment="1">
      <alignment horizontal="center" vertical="center"/>
    </xf>
    <xf numFmtId="0" fontId="70" fillId="0" borderId="12" xfId="0" applyFont="1" applyBorder="1" applyAlignment="1">
      <alignment horizontal="center" vertical="center" textRotation="90"/>
    </xf>
    <xf numFmtId="0" fontId="70" fillId="0" borderId="11" xfId="0" applyFont="1" applyBorder="1" applyAlignment="1">
      <alignment horizontal="center" vertical="center" textRotation="90"/>
    </xf>
    <xf numFmtId="0" fontId="70" fillId="0" borderId="14" xfId="0" applyFont="1" applyBorder="1" applyAlignment="1">
      <alignment horizontal="center" vertical="center" textRotation="90"/>
    </xf>
    <xf numFmtId="0" fontId="56" fillId="0" borderId="0" xfId="0" applyFont="1" applyBorder="1" applyAlignment="1">
      <alignment horizontal="center" vertical="center"/>
    </xf>
    <xf numFmtId="0" fontId="70" fillId="0" borderId="5" xfId="0" applyFont="1" applyBorder="1" applyAlignment="1">
      <alignment vertical="center"/>
    </xf>
    <xf numFmtId="0" fontId="55" fillId="0" borderId="0" xfId="0" applyFont="1" applyBorder="1" applyAlignment="1">
      <alignment horizontal="center" vertical="center"/>
    </xf>
    <xf numFmtId="0" fontId="65" fillId="10" borderId="0" xfId="0" applyFont="1" applyFill="1" applyBorder="1" applyAlignment="1">
      <alignment horizontal="center" wrapText="1"/>
    </xf>
    <xf numFmtId="0" fontId="70" fillId="0" borderId="7" xfId="0" applyFont="1" applyBorder="1" applyAlignment="1">
      <alignment horizontal="center" vertical="center" textRotation="45"/>
    </xf>
    <xf numFmtId="0" fontId="70" fillId="0" borderId="15" xfId="0" applyFont="1" applyBorder="1" applyAlignment="1">
      <alignment horizontal="center" vertical="center" textRotation="45"/>
    </xf>
    <xf numFmtId="0" fontId="70" fillId="0" borderId="8" xfId="0" applyFont="1" applyBorder="1" applyAlignment="1">
      <alignment horizontal="center" vertical="center" textRotation="45"/>
    </xf>
    <xf numFmtId="0" fontId="18" fillId="10" borderId="7" xfId="0" applyFont="1" applyFill="1" applyBorder="1" applyAlignment="1">
      <alignment horizontal="center" vertical="center" textRotation="90"/>
    </xf>
    <xf numFmtId="0" fontId="18" fillId="10" borderId="15" xfId="0" applyFont="1" applyFill="1" applyBorder="1" applyAlignment="1">
      <alignment horizontal="center" vertical="center" textRotation="90"/>
    </xf>
    <xf numFmtId="0" fontId="138" fillId="14" borderId="18" xfId="0" applyFont="1" applyFill="1" applyBorder="1" applyAlignment="1">
      <alignment horizontal="center" vertical="center"/>
    </xf>
    <xf numFmtId="0" fontId="138" fillId="14" borderId="20" xfId="0" applyFont="1" applyFill="1" applyBorder="1" applyAlignment="1">
      <alignment horizontal="center" vertical="center"/>
    </xf>
    <xf numFmtId="0" fontId="138" fillId="14" borderId="28" xfId="0" applyFont="1" applyFill="1" applyBorder="1" applyAlignment="1">
      <alignment horizontal="center" vertical="center"/>
    </xf>
    <xf numFmtId="0" fontId="48" fillId="0" borderId="16" xfId="0" applyFont="1" applyBorder="1" applyAlignment="1">
      <alignment horizontal="center" vertical="center"/>
    </xf>
    <xf numFmtId="0" fontId="48" fillId="0" borderId="32" xfId="0" applyFont="1" applyBorder="1" applyAlignment="1">
      <alignment horizontal="center" vertical="center"/>
    </xf>
    <xf numFmtId="0" fontId="36" fillId="5" borderId="19" xfId="0" applyFont="1" applyFill="1" applyBorder="1" applyAlignment="1">
      <alignment horizontal="center" vertical="center"/>
    </xf>
    <xf numFmtId="0" fontId="139" fillId="14" borderId="18" xfId="0" applyFont="1" applyFill="1" applyBorder="1" applyAlignment="1">
      <alignment horizontal="center"/>
    </xf>
    <xf numFmtId="0" fontId="139" fillId="14" borderId="20" xfId="0" applyFont="1" applyFill="1" applyBorder="1" applyAlignment="1">
      <alignment horizontal="center"/>
    </xf>
    <xf numFmtId="0" fontId="139" fillId="14" borderId="28" xfId="0" applyFont="1" applyFill="1" applyBorder="1" applyAlignment="1">
      <alignment horizontal="center"/>
    </xf>
    <xf numFmtId="0" fontId="83" fillId="0" borderId="26" xfId="0" applyFont="1" applyBorder="1" applyAlignment="1">
      <alignment horizontal="center" vertical="center"/>
    </xf>
    <xf numFmtId="0" fontId="47" fillId="0" borderId="16" xfId="0" applyFont="1" applyBorder="1" applyAlignment="1">
      <alignment horizontal="center"/>
    </xf>
    <xf numFmtId="0" fontId="47" fillId="0" borderId="30" xfId="0" applyFont="1" applyBorder="1" applyAlignment="1">
      <alignment horizontal="center"/>
    </xf>
    <xf numFmtId="0" fontId="47" fillId="0" borderId="31" xfId="0" applyFont="1" applyBorder="1" applyAlignment="1">
      <alignment horizontal="center"/>
    </xf>
    <xf numFmtId="0" fontId="51" fillId="0" borderId="16" xfId="0" applyFont="1" applyBorder="1" applyAlignment="1">
      <alignment horizontal="center" vertical="center"/>
    </xf>
    <xf numFmtId="0" fontId="21" fillId="0" borderId="32" xfId="0" applyFont="1" applyBorder="1" applyAlignment="1">
      <alignment horizontal="center" vertical="center"/>
    </xf>
    <xf numFmtId="0" fontId="49" fillId="0" borderId="16" xfId="0" applyFont="1" applyBorder="1" applyAlignment="1">
      <alignment horizontal="center" vertical="center"/>
    </xf>
    <xf numFmtId="0" fontId="50" fillId="0" borderId="32" xfId="0" applyFont="1" applyBorder="1" applyAlignment="1">
      <alignment horizontal="center" vertical="center"/>
    </xf>
    <xf numFmtId="0" fontId="50" fillId="0" borderId="17" xfId="0" applyFont="1" applyBorder="1" applyAlignment="1">
      <alignment horizontal="center" vertical="center"/>
    </xf>
    <xf numFmtId="0" fontId="47" fillId="15" borderId="5" xfId="0" applyFont="1" applyFill="1" applyBorder="1" applyAlignment="1">
      <alignment horizontal="center" vertical="center"/>
    </xf>
    <xf numFmtId="0" fontId="137" fillId="13" borderId="18" xfId="0" applyFont="1" applyFill="1" applyBorder="1" applyAlignment="1">
      <alignment horizontal="center" vertical="center"/>
    </xf>
    <xf numFmtId="0" fontId="137" fillId="13" borderId="20" xfId="0" applyFont="1" applyFill="1" applyBorder="1" applyAlignment="1">
      <alignment horizontal="center" vertical="center"/>
    </xf>
    <xf numFmtId="0" fontId="137" fillId="13" borderId="28" xfId="0" applyFont="1" applyFill="1" applyBorder="1" applyAlignment="1">
      <alignment horizontal="center" vertical="center"/>
    </xf>
    <xf numFmtId="0" fontId="29" fillId="5" borderId="19" xfId="0" applyFont="1" applyFill="1" applyBorder="1" applyAlignment="1">
      <alignment horizontal="center" vertical="center"/>
    </xf>
    <xf numFmtId="0" fontId="24" fillId="0" borderId="16"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0" fontId="24" fillId="0" borderId="32" xfId="0" applyFont="1" applyBorder="1" applyAlignment="1">
      <alignment horizontal="center" vertical="center"/>
    </xf>
    <xf numFmtId="0" fontId="24" fillId="0" borderId="0" xfId="0" applyFont="1" applyBorder="1" applyAlignment="1">
      <alignment horizontal="center" vertical="center"/>
    </xf>
    <xf numFmtId="0" fontId="24" fillId="0" borderId="33" xfId="0" applyFont="1" applyBorder="1" applyAlignment="1">
      <alignment horizontal="center" vertical="center"/>
    </xf>
    <xf numFmtId="0" fontId="52" fillId="0" borderId="16" xfId="0" applyFont="1" applyBorder="1" applyAlignment="1">
      <alignment horizontal="center" vertical="center"/>
    </xf>
    <xf numFmtId="0" fontId="52" fillId="0" borderId="32" xfId="0" applyFont="1" applyBorder="1" applyAlignment="1">
      <alignment horizontal="center" vertical="center"/>
    </xf>
    <xf numFmtId="0" fontId="52" fillId="0" borderId="17" xfId="0" applyFont="1" applyBorder="1" applyAlignment="1">
      <alignment horizontal="center" vertical="center"/>
    </xf>
    <xf numFmtId="0" fontId="137" fillId="14" borderId="18" xfId="0" applyFont="1" applyFill="1" applyBorder="1" applyAlignment="1">
      <alignment horizontal="center" vertical="center"/>
    </xf>
    <xf numFmtId="0" fontId="137" fillId="14" borderId="20" xfId="0" applyFont="1" applyFill="1" applyBorder="1" applyAlignment="1">
      <alignment horizontal="center" vertical="center"/>
    </xf>
    <xf numFmtId="0" fontId="137" fillId="14" borderId="28" xfId="0" applyFont="1" applyFill="1" applyBorder="1" applyAlignment="1">
      <alignment horizontal="center" vertical="center"/>
    </xf>
    <xf numFmtId="0" fontId="36" fillId="16" borderId="19" xfId="0" applyFont="1" applyFill="1" applyBorder="1" applyAlignment="1">
      <alignment horizontal="center"/>
    </xf>
    <xf numFmtId="0" fontId="8" fillId="16" borderId="19" xfId="0" applyFont="1" applyFill="1" applyBorder="1" applyAlignment="1">
      <alignment horizontal="center" vertical="center"/>
    </xf>
    <xf numFmtId="0" fontId="24" fillId="15" borderId="18" xfId="0" applyFont="1" applyFill="1" applyBorder="1" applyAlignment="1">
      <alignment horizontal="center" vertical="center"/>
    </xf>
    <xf numFmtId="0" fontId="24" fillId="15" borderId="28" xfId="0" applyFont="1" applyFill="1" applyBorder="1" applyAlignment="1">
      <alignment horizontal="center" vertical="center"/>
    </xf>
    <xf numFmtId="0" fontId="20" fillId="15" borderId="18" xfId="0" applyFont="1" applyFill="1" applyBorder="1" applyAlignment="1">
      <alignment horizontal="center" vertical="center"/>
    </xf>
    <xf numFmtId="0" fontId="20" fillId="15" borderId="20" xfId="0" applyFont="1" applyFill="1" applyBorder="1" applyAlignment="1">
      <alignment horizontal="center" vertical="center"/>
    </xf>
    <xf numFmtId="0" fontId="20" fillId="15" borderId="28" xfId="0" applyFont="1" applyFill="1" applyBorder="1" applyAlignment="1">
      <alignment horizontal="center" vertical="center"/>
    </xf>
    <xf numFmtId="0" fontId="139" fillId="5" borderId="18" xfId="0" applyFont="1" applyFill="1" applyBorder="1" applyAlignment="1">
      <alignment horizontal="center" vertical="center"/>
    </xf>
    <xf numFmtId="0" fontId="139" fillId="5" borderId="20" xfId="0" applyFont="1" applyFill="1" applyBorder="1" applyAlignment="1">
      <alignment horizontal="center" vertical="center"/>
    </xf>
    <xf numFmtId="0" fontId="139" fillId="5" borderId="28" xfId="0" applyFont="1" applyFill="1" applyBorder="1" applyAlignment="1">
      <alignment horizontal="center" vertical="center"/>
    </xf>
    <xf numFmtId="0" fontId="138" fillId="5" borderId="18" xfId="0" applyFont="1" applyFill="1" applyBorder="1" applyAlignment="1">
      <alignment horizontal="center" vertical="center"/>
    </xf>
    <xf numFmtId="0" fontId="138" fillId="5" borderId="20" xfId="0" applyFont="1" applyFill="1" applyBorder="1" applyAlignment="1">
      <alignment horizontal="center" vertical="center"/>
    </xf>
    <xf numFmtId="0" fontId="138" fillId="5" borderId="28" xfId="0" applyFont="1" applyFill="1" applyBorder="1" applyAlignment="1">
      <alignment horizontal="center" vertical="center"/>
    </xf>
    <xf numFmtId="0" fontId="139" fillId="5" borderId="16" xfId="0" applyFont="1" applyFill="1" applyBorder="1" applyAlignment="1">
      <alignment horizontal="center" vertical="center"/>
    </xf>
    <xf numFmtId="0" fontId="139" fillId="5" borderId="30" xfId="0" applyFont="1" applyFill="1" applyBorder="1" applyAlignment="1">
      <alignment horizontal="center" vertical="center"/>
    </xf>
    <xf numFmtId="0" fontId="139" fillId="5" borderId="31" xfId="0" applyFont="1" applyFill="1" applyBorder="1" applyAlignment="1">
      <alignment horizontal="center" vertical="center"/>
    </xf>
    <xf numFmtId="0" fontId="139" fillId="5" borderId="19" xfId="0" applyFont="1" applyFill="1" applyBorder="1" applyAlignment="1">
      <alignment horizontal="center" vertical="center"/>
    </xf>
    <xf numFmtId="0" fontId="34" fillId="0" borderId="0" xfId="0" applyFont="1" applyFill="1" applyBorder="1" applyAlignment="1">
      <alignment horizontal="left"/>
    </xf>
    <xf numFmtId="0" fontId="1" fillId="0" borderId="0" xfId="0" applyFont="1" applyFill="1" applyBorder="1" applyAlignment="1">
      <alignment horizontal="left"/>
    </xf>
    <xf numFmtId="0" fontId="34" fillId="0" borderId="4" xfId="0" applyFont="1" applyFill="1" applyBorder="1" applyAlignment="1">
      <alignment horizontal="left"/>
    </xf>
    <xf numFmtId="0" fontId="1" fillId="0" borderId="4" xfId="0" applyFont="1" applyFill="1" applyBorder="1" applyAlignment="1">
      <alignment horizontal="left"/>
    </xf>
    <xf numFmtId="0" fontId="3" fillId="0" borderId="0" xfId="0" applyFont="1" applyAlignment="1">
      <alignment horizontal="left"/>
    </xf>
    <xf numFmtId="0" fontId="0" fillId="0" borderId="0" xfId="0" applyAlignment="1">
      <alignment horizontal="left"/>
    </xf>
    <xf numFmtId="0" fontId="13" fillId="0" borderId="0" xfId="0" applyFont="1" applyFill="1" applyBorder="1" applyAlignment="1">
      <alignment horizontal="left"/>
    </xf>
    <xf numFmtId="0" fontId="5" fillId="0" borderId="0" xfId="0" applyFont="1" applyFill="1" applyBorder="1" applyAlignment="1">
      <alignment horizontal="left"/>
    </xf>
    <xf numFmtId="0" fontId="70" fillId="0" borderId="0" xfId="0" applyFont="1" applyAlignment="1">
      <alignment horizontal="right"/>
    </xf>
    <xf numFmtId="0" fontId="84" fillId="0" borderId="0" xfId="1" applyFont="1" applyAlignment="1">
      <alignment horizontal="center"/>
    </xf>
    <xf numFmtId="0" fontId="65" fillId="10" borderId="0" xfId="0" applyFont="1" applyFill="1" applyAlignment="1">
      <alignment horizontal="left" wrapText="1"/>
    </xf>
    <xf numFmtId="0" fontId="10" fillId="7" borderId="9" xfId="0" applyFont="1" applyFill="1" applyBorder="1" applyAlignment="1">
      <alignment horizontal="center"/>
    </xf>
    <xf numFmtId="0" fontId="10" fillId="7" borderId="0" xfId="0" applyFont="1" applyFill="1" applyBorder="1" applyAlignment="1">
      <alignment horizontal="center"/>
    </xf>
    <xf numFmtId="0" fontId="10" fillId="7" borderId="5" xfId="0" applyFont="1" applyFill="1" applyBorder="1" applyAlignment="1">
      <alignment horizontal="center"/>
    </xf>
    <xf numFmtId="0" fontId="105" fillId="7" borderId="7" xfId="0" applyFont="1" applyFill="1" applyBorder="1" applyAlignment="1">
      <alignment horizontal="center"/>
    </xf>
    <xf numFmtId="0" fontId="36" fillId="7" borderId="7" xfId="0" applyFont="1" applyFill="1" applyBorder="1" applyAlignment="1">
      <alignment horizontal="center"/>
    </xf>
    <xf numFmtId="0" fontId="18" fillId="10" borderId="0" xfId="0" applyFont="1" applyFill="1" applyBorder="1" applyAlignment="1">
      <alignment horizontal="left"/>
    </xf>
    <xf numFmtId="0" fontId="65" fillId="10" borderId="0" xfId="0" applyFont="1" applyFill="1" applyBorder="1" applyAlignment="1">
      <alignment horizontal="left"/>
    </xf>
    <xf numFmtId="0" fontId="65" fillId="10" borderId="0" xfId="0" applyFont="1" applyFill="1" applyBorder="1" applyAlignment="1">
      <alignment horizontal="center"/>
    </xf>
    <xf numFmtId="0" fontId="18" fillId="4" borderId="0" xfId="0" applyFont="1" applyFill="1" applyBorder="1" applyAlignment="1">
      <alignment horizontal="center" wrapText="1"/>
    </xf>
    <xf numFmtId="0" fontId="65" fillId="4" borderId="0" xfId="0" applyFont="1" applyFill="1" applyBorder="1" applyAlignment="1">
      <alignment horizontal="center" wrapText="1"/>
    </xf>
    <xf numFmtId="0" fontId="85" fillId="10" borderId="0" xfId="0" applyFont="1" applyFill="1" applyAlignment="1">
      <alignment horizontal="center"/>
    </xf>
    <xf numFmtId="0" fontId="18" fillId="10" borderId="0" xfId="0" applyFont="1" applyFill="1" applyAlignment="1">
      <alignment horizontal="left" wrapText="1"/>
    </xf>
    <xf numFmtId="0" fontId="18" fillId="10" borderId="0" xfId="0" applyFont="1" applyFill="1" applyAlignment="1">
      <alignment horizontal="left"/>
    </xf>
    <xf numFmtId="0" fontId="116" fillId="0" borderId="0" xfId="1" applyFont="1" applyBorder="1" applyAlignment="1">
      <alignment horizontal="center" textRotation="180"/>
    </xf>
    <xf numFmtId="0" fontId="65" fillId="10" borderId="5" xfId="0" applyFont="1" applyFill="1" applyBorder="1" applyAlignment="1">
      <alignment horizontal="center"/>
    </xf>
    <xf numFmtId="0" fontId="10" fillId="0" borderId="5" xfId="0" applyFont="1" applyFill="1" applyBorder="1" applyAlignment="1">
      <alignment horizontal="center"/>
    </xf>
    <xf numFmtId="0" fontId="10" fillId="0" borderId="7" xfId="0" applyFont="1" applyFill="1" applyBorder="1" applyAlignment="1">
      <alignment horizontal="center"/>
    </xf>
    <xf numFmtId="0" fontId="10" fillId="0" borderId="8" xfId="0" applyFont="1" applyFill="1" applyBorder="1" applyAlignment="1">
      <alignment horizontal="center"/>
    </xf>
    <xf numFmtId="0" fontId="10" fillId="0" borderId="15" xfId="0" applyFont="1" applyFill="1" applyBorder="1" applyAlignment="1">
      <alignment horizontal="center"/>
    </xf>
    <xf numFmtId="0" fontId="133" fillId="0" borderId="5" xfId="0" applyFont="1" applyBorder="1" applyAlignment="1">
      <alignment horizontal="center" vertical="center"/>
    </xf>
    <xf numFmtId="0" fontId="134" fillId="0" borderId="5" xfId="0" applyFont="1" applyBorder="1" applyAlignment="1">
      <alignment horizontal="center" vertical="center"/>
    </xf>
    <xf numFmtId="0" fontId="135" fillId="0" borderId="5" xfId="0" applyFont="1" applyBorder="1" applyAlignment="1">
      <alignment horizontal="center" vertical="center"/>
    </xf>
    <xf numFmtId="9" fontId="133" fillId="0" borderId="5" xfId="0" applyNumberFormat="1" applyFont="1" applyBorder="1" applyAlignment="1">
      <alignment horizontal="center" readingOrder="1"/>
    </xf>
    <xf numFmtId="0" fontId="119" fillId="0" borderId="10" xfId="0" applyFont="1" applyBorder="1" applyAlignment="1">
      <alignment horizontal="center" vertical="center" wrapText="1"/>
    </xf>
    <xf numFmtId="0" fontId="119" fillId="0" borderId="11" xfId="0" applyFont="1" applyBorder="1" applyAlignment="1">
      <alignment horizontal="center" vertical="center" wrapText="1"/>
    </xf>
    <xf numFmtId="0" fontId="130" fillId="0" borderId="10" xfId="0" applyFont="1" applyBorder="1" applyAlignment="1">
      <alignment horizontal="center" vertical="center"/>
    </xf>
    <xf numFmtId="0" fontId="130" fillId="0" borderId="27" xfId="0" applyFont="1" applyBorder="1" applyAlignment="1">
      <alignment horizontal="center" vertical="center"/>
    </xf>
    <xf numFmtId="0" fontId="130" fillId="0" borderId="11" xfId="0" applyFont="1" applyBorder="1" applyAlignment="1">
      <alignment horizontal="center" vertical="center"/>
    </xf>
    <xf numFmtId="0" fontId="131" fillId="0" borderId="10" xfId="0" applyFont="1" applyBorder="1" applyAlignment="1">
      <alignment horizontal="center" vertical="center" wrapText="1"/>
    </xf>
    <xf numFmtId="0" fontId="131" fillId="0" borderId="11" xfId="0" applyFont="1" applyBorder="1" applyAlignment="1">
      <alignment horizontal="center" vertical="center" wrapText="1"/>
    </xf>
    <xf numFmtId="0" fontId="136" fillId="0" borderId="10" xfId="0" applyFont="1" applyBorder="1" applyAlignment="1">
      <alignment horizontal="center" vertical="center"/>
    </xf>
    <xf numFmtId="0" fontId="136" fillId="0" borderId="27" xfId="0" applyFont="1" applyBorder="1" applyAlignment="1">
      <alignment horizontal="center" vertical="center"/>
    </xf>
    <xf numFmtId="0" fontId="136" fillId="0" borderId="11" xfId="0" applyFont="1" applyBorder="1" applyAlignment="1">
      <alignment horizontal="center" vertical="center"/>
    </xf>
    <xf numFmtId="0" fontId="132" fillId="0" borderId="5" xfId="0" applyFont="1" applyBorder="1" applyAlignment="1">
      <alignment horizontal="center" vertical="center"/>
    </xf>
    <xf numFmtId="0" fontId="119" fillId="0" borderId="5" xfId="0" applyFont="1" applyBorder="1" applyAlignment="1">
      <alignment horizontal="center" vertical="center" wrapText="1"/>
    </xf>
    <xf numFmtId="0" fontId="11" fillId="0" borderId="0" xfId="0" applyFont="1" applyAlignment="1">
      <alignment horizontal="center"/>
    </xf>
    <xf numFmtId="0" fontId="0" fillId="0" borderId="0" xfId="0" applyAlignment="1">
      <alignment horizontal="center"/>
    </xf>
    <xf numFmtId="0" fontId="10" fillId="0" borderId="0" xfId="0" applyFont="1" applyAlignment="1">
      <alignment horizontal="center"/>
    </xf>
    <xf numFmtId="0" fontId="35" fillId="0" borderId="0" xfId="0" applyFont="1" applyAlignment="1">
      <alignment horizontal="center"/>
    </xf>
    <xf numFmtId="0" fontId="8" fillId="0" borderId="0" xfId="0" applyFont="1" applyAlignment="1">
      <alignment horizontal="center"/>
    </xf>
    <xf numFmtId="0" fontId="10" fillId="0" borderId="6" xfId="0" quotePrefix="1" applyFont="1" applyBorder="1" applyAlignment="1">
      <alignment horizontal="center"/>
    </xf>
    <xf numFmtId="0" fontId="70" fillId="0" borderId="6" xfId="0" quotePrefix="1" applyFont="1" applyBorder="1" applyAlignment="1">
      <alignment horizontal="center"/>
    </xf>
    <xf numFmtId="0" fontId="35" fillId="0" borderId="0" xfId="0" applyFont="1" applyAlignment="1">
      <alignment horizontal="center" wrapText="1"/>
    </xf>
    <xf numFmtId="0" fontId="46" fillId="0" borderId="0" xfId="0" applyFont="1" applyAlignment="1">
      <alignment horizontal="center"/>
    </xf>
    <xf numFmtId="0" fontId="26" fillId="0" borderId="0" xfId="0" applyFont="1" applyAlignment="1">
      <alignment horizontal="left" wrapText="1"/>
    </xf>
    <xf numFmtId="0" fontId="0" fillId="0" borderId="0" xfId="0" applyBorder="1" applyAlignment="1">
      <alignment horizontal="center"/>
    </xf>
    <xf numFmtId="0" fontId="35" fillId="0" borderId="0" xfId="0" applyFont="1" applyBorder="1" applyAlignment="1">
      <alignment horizontal="center"/>
    </xf>
    <xf numFmtId="0" fontId="36" fillId="0" borderId="0" xfId="0" applyFont="1" applyAlignment="1">
      <alignment horizontal="left"/>
    </xf>
    <xf numFmtId="0" fontId="36" fillId="0" borderId="0" xfId="0" applyFont="1" applyBorder="1" applyAlignment="1">
      <alignment horizontal="left"/>
    </xf>
    <xf numFmtId="0" fontId="36" fillId="0" borderId="0" xfId="0" applyFont="1" applyBorder="1" applyAlignment="1">
      <alignment horizontal="left" wrapText="1"/>
    </xf>
    <xf numFmtId="0" fontId="36" fillId="0" borderId="0" xfId="0" applyFont="1" applyBorder="1" applyAlignment="1">
      <alignment horizontal="center" wrapText="1"/>
    </xf>
    <xf numFmtId="0" fontId="0" fillId="0" borderId="0" xfId="0" applyBorder="1" applyAlignment="1">
      <alignment horizontal="center" wrapText="1"/>
    </xf>
    <xf numFmtId="0" fontId="35" fillId="0" borderId="0" xfId="0" applyFont="1" applyBorder="1" applyAlignment="1">
      <alignment horizontal="center" vertical="center" wrapText="1"/>
    </xf>
    <xf numFmtId="0" fontId="36" fillId="0" borderId="0" xfId="0" applyFont="1" applyBorder="1" applyAlignment="1">
      <alignment horizontal="center"/>
    </xf>
    <xf numFmtId="0" fontId="37" fillId="0" borderId="0" xfId="0" applyFont="1" applyAlignment="1">
      <alignment horizontal="left" wrapText="1"/>
    </xf>
    <xf numFmtId="0" fontId="37" fillId="0" borderId="0" xfId="0" applyFont="1" applyBorder="1" applyAlignment="1">
      <alignment horizontal="center"/>
    </xf>
    <xf numFmtId="0" fontId="45" fillId="4" borderId="0" xfId="0" applyFont="1" applyFill="1" applyAlignment="1">
      <alignment horizontal="left" vertical="center" wrapText="1"/>
    </xf>
    <xf numFmtId="0" fontId="81" fillId="4" borderId="0" xfId="0" applyFont="1" applyFill="1" applyAlignment="1">
      <alignment horizontal="left" vertical="center" wrapText="1"/>
    </xf>
    <xf numFmtId="0" fontId="36" fillId="0" borderId="0" xfId="0" applyFont="1" applyAlignment="1">
      <alignment horizontal="center" wrapText="1"/>
    </xf>
    <xf numFmtId="0" fontId="35" fillId="0" borderId="0" xfId="0" applyFont="1" applyAlignment="1">
      <alignment horizontal="center" vertical="center"/>
    </xf>
    <xf numFmtId="0" fontId="70" fillId="0" borderId="0" xfId="0" applyFont="1" applyAlignment="1">
      <alignment horizontal="center"/>
    </xf>
  </cellXfs>
  <cellStyles count="2">
    <cellStyle name="Hyperlink" xfId="1" xr:uid="{00000000-000B-0000-0000-000008000000}"/>
    <cellStyle name="Standard" xfId="0" builtinId="0"/>
  </cellStyles>
  <dxfs count="121">
    <dxf>
      <font>
        <b val="0"/>
        <i val="0"/>
        <strike val="0"/>
        <condense val="0"/>
        <extend val="0"/>
        <outline val="0"/>
        <shadow val="0"/>
        <u val="none"/>
        <vertAlign val="baseline"/>
        <sz val="14"/>
        <color theme="1"/>
        <name val="Times New Roman"/>
        <scheme val="none"/>
      </font>
    </dxf>
    <dxf>
      <font>
        <b val="0"/>
        <i val="0"/>
        <strike val="0"/>
        <condense val="0"/>
        <extend val="0"/>
        <outline val="0"/>
        <shadow val="0"/>
        <u val="none"/>
        <vertAlign val="baseline"/>
        <sz val="14"/>
        <color theme="1"/>
        <name val="Times New Roman"/>
        <scheme val="none"/>
      </font>
    </dxf>
    <dxf>
      <font>
        <b val="0"/>
        <i val="0"/>
        <strike val="0"/>
        <condense val="0"/>
        <extend val="0"/>
        <outline val="0"/>
        <shadow val="0"/>
        <u val="none"/>
        <vertAlign val="baseline"/>
        <sz val="14"/>
        <color theme="1"/>
        <name val="Times New Roman"/>
        <scheme val="none"/>
      </font>
    </dxf>
    <dxf>
      <font>
        <b val="0"/>
        <i val="0"/>
        <strike val="0"/>
        <condense val="0"/>
        <extend val="0"/>
        <outline val="0"/>
        <shadow val="0"/>
        <u val="none"/>
        <vertAlign val="baseline"/>
        <sz val="14"/>
        <color theme="1"/>
        <name val="Times New Roman"/>
        <scheme val="none"/>
      </font>
    </dxf>
    <dxf>
      <font>
        <b val="0"/>
        <i val="0"/>
        <strike val="0"/>
        <condense val="0"/>
        <extend val="0"/>
        <outline val="0"/>
        <shadow val="0"/>
        <u val="none"/>
        <vertAlign val="baseline"/>
        <sz val="14"/>
        <color theme="1"/>
        <name val="Times New Roman"/>
        <scheme val="none"/>
      </font>
    </dxf>
    <dxf>
      <font>
        <b val="0"/>
        <i val="0"/>
        <strike val="0"/>
        <condense val="0"/>
        <extend val="0"/>
        <outline val="0"/>
        <shadow val="0"/>
        <u val="none"/>
        <vertAlign val="baseline"/>
        <sz val="14"/>
        <color theme="1"/>
        <name val="Times New Roman"/>
        <scheme val="none"/>
      </font>
    </dxf>
    <dxf>
      <font>
        <b val="0"/>
        <i val="0"/>
        <strike val="0"/>
        <condense val="0"/>
        <extend val="0"/>
        <outline val="0"/>
        <shadow val="0"/>
        <u val="none"/>
        <vertAlign val="baseline"/>
        <sz val="14"/>
        <color theme="1"/>
        <name val="Times New Roman"/>
        <scheme val="none"/>
      </font>
    </dxf>
    <dxf>
      <font>
        <b val="0"/>
        <i val="0"/>
        <strike val="0"/>
        <condense val="0"/>
        <extend val="0"/>
        <outline val="0"/>
        <shadow val="0"/>
        <u val="none"/>
        <vertAlign val="baseline"/>
        <sz val="14"/>
        <color theme="1"/>
        <name val="Times New Roman"/>
        <scheme val="none"/>
      </font>
    </dxf>
    <dxf>
      <font>
        <b val="0"/>
        <i val="0"/>
        <strike val="0"/>
        <condense val="0"/>
        <extend val="0"/>
        <outline val="0"/>
        <shadow val="0"/>
        <u val="none"/>
        <vertAlign val="baseline"/>
        <sz val="14"/>
        <color theme="1"/>
        <name val="Times New Roman"/>
        <scheme val="none"/>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ont>
        <sz val="14"/>
        <name val="Times New Roman"/>
      </font>
    </dxf>
    <dxf>
      <fill>
        <patternFill patternType="solid">
          <fgColor indexed="64"/>
          <bgColor theme="0"/>
        </patternFill>
      </fill>
    </dxf>
    <dxf>
      <fill>
        <patternFill patternType="solid">
          <fgColor indexed="64"/>
          <bgColor theme="0"/>
        </patternFill>
      </fill>
      <border>
        <left style="thin">
          <color theme="3"/>
        </left>
        <right style="thin">
          <color theme="3"/>
        </right>
      </border>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9"/>
        <color theme="1"/>
        <name val="Aptos Narrow"/>
        <family val="2"/>
        <scheme val="minor"/>
      </font>
      <alignment horizontal="right"/>
    </dxf>
    <dxf>
      <font>
        <b val="0"/>
        <i val="0"/>
        <strike val="0"/>
        <condense val="0"/>
        <extend val="0"/>
        <outline val="0"/>
        <shadow val="0"/>
        <u val="none"/>
        <vertAlign val="baseline"/>
        <sz val="9"/>
        <color theme="1"/>
        <name val="Aptos Narrow"/>
        <family val="2"/>
        <scheme val="minor"/>
      </font>
      <alignment horizontal="right"/>
    </dxf>
    <dxf>
      <font>
        <b val="0"/>
        <i val="0"/>
        <strike val="0"/>
        <condense val="0"/>
        <extend val="0"/>
        <outline val="0"/>
        <shadow val="0"/>
        <u val="none"/>
        <vertAlign val="baseline"/>
        <sz val="9"/>
        <color theme="1"/>
        <name val="Aptos Narrow"/>
        <family val="2"/>
        <scheme val="minor"/>
      </font>
      <alignment horizontal="right"/>
    </dxf>
    <dxf>
      <font>
        <b val="0"/>
        <i val="0"/>
        <strike val="0"/>
        <condense val="0"/>
        <extend val="0"/>
        <outline val="0"/>
        <shadow val="0"/>
        <u val="none"/>
        <vertAlign val="baseline"/>
        <sz val="9"/>
        <color theme="1"/>
        <name val="Aptos Narrow"/>
        <family val="2"/>
        <scheme val="minor"/>
      </font>
      <alignment horizontal="right"/>
    </dxf>
    <dxf>
      <font>
        <b/>
        <i val="0"/>
        <strike val="0"/>
        <condense val="0"/>
        <extend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b val="0"/>
        <i val="0"/>
        <strike val="0"/>
        <condense val="0"/>
        <extend val="0"/>
        <outline val="0"/>
        <shadow val="0"/>
        <u val="none"/>
        <vertAlign val="baseline"/>
        <sz val="9"/>
        <color theme="0"/>
        <name val="Aptos Narrow"/>
        <family val="2"/>
        <scheme val="minor"/>
      </font>
      <fill>
        <patternFill patternType="solid">
          <fgColor indexed="64"/>
          <bgColor theme="3"/>
        </patternFill>
      </fill>
    </dxf>
    <dxf>
      <font>
        <sz val="14"/>
        <name val="Times New Roman"/>
      </font>
      <fill>
        <patternFill patternType="solid">
          <fgColor indexed="64"/>
          <bgColor theme="0"/>
        </patternFill>
      </fill>
      <border diagonalUp="0" diagonalDown="0">
        <left style="thin">
          <color rgb="FF000000"/>
        </left>
        <right style="thin">
          <color rgb="FF000000"/>
        </right>
        <top style="thin">
          <color rgb="FF000000"/>
        </top>
        <bottom/>
        <vertical/>
        <horizontal/>
      </border>
    </dxf>
    <dxf>
      <font>
        <sz val="14"/>
        <name val="Times New Roman"/>
      </font>
      <fill>
        <patternFill patternType="solid">
          <fgColor indexed="64"/>
          <bgColor theme="0"/>
        </patternFill>
      </fill>
      <border diagonalUp="0" diagonalDown="0">
        <left style="thin">
          <color rgb="FF000000"/>
        </left>
        <right style="thin">
          <color rgb="FF000000"/>
        </right>
        <top style="thin">
          <color rgb="FF000000"/>
        </top>
        <bottom/>
        <vertical/>
        <horizontal/>
      </border>
    </dxf>
    <dxf>
      <font>
        <sz val="14"/>
        <name val="Times New Roman"/>
      </font>
      <fill>
        <patternFill patternType="solid">
          <fgColor indexed="64"/>
          <bgColor theme="0"/>
        </patternFill>
      </fill>
      <border diagonalUp="0" diagonalDown="0">
        <left style="thin">
          <color rgb="FF000000"/>
        </left>
        <right style="thin">
          <color rgb="FF000000"/>
        </right>
        <top style="thin">
          <color rgb="FF000000"/>
        </top>
        <bottom/>
        <vertical/>
        <horizontal/>
      </border>
    </dxf>
    <dxf>
      <font>
        <sz val="14"/>
        <name val="Times New Roman"/>
      </font>
      <fill>
        <patternFill patternType="solid">
          <fgColor indexed="64"/>
          <bgColor theme="0"/>
        </patternFill>
      </fill>
      <border diagonalUp="0" diagonalDown="0">
        <left style="thin">
          <color rgb="FF000000"/>
        </left>
        <right style="thin">
          <color rgb="FF000000"/>
        </right>
        <top style="thin">
          <color rgb="FF000000"/>
        </top>
        <bottom/>
        <vertical/>
        <horizontal/>
      </border>
    </dxf>
    <dxf>
      <font>
        <sz val="14"/>
        <name val="Times New Roman"/>
      </font>
      <fill>
        <patternFill patternType="solid">
          <fgColor indexed="64"/>
          <bgColor theme="0"/>
        </patternFill>
      </fill>
      <border diagonalUp="0" diagonalDown="0">
        <left style="thin">
          <color rgb="FF000000"/>
        </left>
        <right style="thin">
          <color rgb="FF000000"/>
        </right>
        <top style="thin">
          <color rgb="FF000000"/>
        </top>
        <bottom/>
        <vertical/>
        <horizontal/>
      </border>
    </dxf>
    <dxf>
      <font>
        <sz val="14"/>
        <name val="Times New Roman"/>
      </font>
      <fill>
        <patternFill patternType="solid">
          <fgColor indexed="64"/>
          <bgColor theme="0"/>
        </patternFill>
      </fill>
      <border diagonalUp="0" diagonalDown="0">
        <left/>
        <right style="thin">
          <color rgb="FF000000"/>
        </right>
        <top style="thin">
          <color rgb="FF000000"/>
        </top>
        <bottom/>
        <vertical/>
        <horizontal/>
      </border>
    </dxf>
    <dxf>
      <font>
        <sz val="14"/>
        <name val="Times New Roman"/>
      </font>
      <fill>
        <patternFill patternType="solid">
          <fgColor indexed="64"/>
          <bgColor theme="0"/>
        </patternFill>
      </fill>
      <border diagonalUp="0" diagonalDown="0">
        <left/>
        <right style="thin">
          <color rgb="FF000000"/>
        </right>
        <top/>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sz val="14"/>
        <name val="Times New Roman"/>
      </font>
      <fill>
        <patternFill patternType="solid">
          <fgColor indexed="64"/>
          <bgColor theme="0"/>
        </patternFill>
      </fill>
    </dxf>
    <dxf>
      <font>
        <sz val="14"/>
        <color theme="1"/>
        <name val="Times New Roman"/>
      </font>
      <fill>
        <patternFill patternType="solid">
          <fgColor indexed="64"/>
          <bgColor rgb="FF078276"/>
        </patternFill>
      </fill>
      <border diagonalUp="0" diagonalDown="0">
        <left style="thin">
          <color rgb="FF000000"/>
        </left>
        <right style="thin">
          <color rgb="FF000000"/>
        </right>
        <top/>
        <bottom/>
      </border>
    </dxf>
    <dxf>
      <font>
        <sz val="14"/>
        <name val="Times New Roman"/>
      </font>
      <fill>
        <patternFill patternType="solid">
          <fgColor indexed="64"/>
          <bgColor theme="0"/>
        </patternFill>
      </fill>
      <border diagonalUp="0" diagonalDown="0">
        <left style="thin">
          <color rgb="FF000000"/>
        </left>
        <right style="thin">
          <color rgb="FF000000"/>
        </right>
        <top style="thin">
          <color rgb="FF000000"/>
        </top>
        <bottom/>
        <vertical/>
        <horizontal/>
      </border>
    </dxf>
    <dxf>
      <font>
        <sz val="14"/>
        <name val="Times New Roman"/>
      </font>
      <fill>
        <patternFill patternType="solid">
          <fgColor indexed="64"/>
          <bgColor theme="0"/>
        </patternFill>
      </fill>
      <border diagonalUp="0" diagonalDown="0">
        <left style="thin">
          <color rgb="FF000000"/>
        </left>
        <right style="thin">
          <color rgb="FF000000"/>
        </right>
        <top style="thin">
          <color rgb="FF000000"/>
        </top>
        <bottom/>
        <vertical/>
        <horizontal/>
      </border>
    </dxf>
    <dxf>
      <font>
        <sz val="14"/>
        <name val="Times New Roman"/>
      </font>
      <fill>
        <patternFill patternType="solid">
          <fgColor indexed="64"/>
          <bgColor theme="0"/>
        </patternFill>
      </fill>
      <border diagonalUp="0" diagonalDown="0">
        <left style="thin">
          <color rgb="FF000000"/>
        </left>
        <right style="thin">
          <color rgb="FF000000"/>
        </right>
        <top style="thin">
          <color rgb="FF000000"/>
        </top>
        <bottom/>
        <vertical/>
        <horizontal/>
      </border>
    </dxf>
    <dxf>
      <font>
        <sz val="14"/>
        <name val="Times New Roman"/>
      </font>
      <fill>
        <patternFill patternType="solid">
          <fgColor indexed="64"/>
          <bgColor theme="0"/>
        </patternFill>
      </fill>
      <border diagonalUp="0" diagonalDown="0">
        <left style="thin">
          <color rgb="FF000000"/>
        </left>
        <right style="thin">
          <color rgb="FF000000"/>
        </right>
        <top style="thin">
          <color rgb="FF000000"/>
        </top>
        <bottom/>
        <vertical/>
        <horizontal/>
      </border>
    </dxf>
    <dxf>
      <font>
        <sz val="14"/>
        <name val="Times New Roman"/>
      </font>
      <fill>
        <patternFill patternType="solid">
          <fgColor indexed="64"/>
          <bgColor theme="0"/>
        </patternFill>
      </fill>
      <border diagonalUp="0" diagonalDown="0">
        <left style="thin">
          <color rgb="FF000000"/>
        </left>
        <right style="thin">
          <color rgb="FF000000"/>
        </right>
        <top style="thin">
          <color rgb="FF000000"/>
        </top>
        <bottom/>
        <vertical/>
        <horizontal/>
      </border>
    </dxf>
    <dxf>
      <font>
        <sz val="14"/>
        <name val="Times New Roman"/>
      </font>
      <fill>
        <patternFill patternType="solid">
          <fgColor indexed="64"/>
          <bgColor theme="0"/>
        </patternFill>
      </fill>
      <border diagonalUp="0" diagonalDown="0">
        <left/>
        <right style="thin">
          <color rgb="FF000000"/>
        </right>
        <top style="thin">
          <color rgb="FF000000"/>
        </top>
        <bottom/>
        <vertical/>
        <horizontal/>
      </border>
    </dxf>
    <dxf>
      <font>
        <sz val="14"/>
        <name val="Times New Roman"/>
      </font>
      <fill>
        <patternFill patternType="solid">
          <fgColor indexed="64"/>
          <bgColor theme="0"/>
        </patternFill>
      </fill>
      <border diagonalUp="0" diagonalDown="0">
        <left/>
        <right style="thin">
          <color rgb="FF000000"/>
        </right>
        <top/>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sz val="14"/>
        <name val="Times New Roman"/>
      </font>
      <fill>
        <patternFill patternType="solid">
          <fgColor indexed="64"/>
          <bgColor theme="0"/>
        </patternFill>
      </fill>
    </dxf>
    <dxf>
      <font>
        <sz val="14"/>
        <color theme="1"/>
        <name val="Times New Roman"/>
      </font>
      <fill>
        <patternFill patternType="solid">
          <fgColor indexed="64"/>
          <bgColor rgb="FF078276"/>
        </patternFill>
      </fill>
      <border diagonalUp="0" diagonalDown="0">
        <left style="thin">
          <color rgb="FF000000"/>
        </left>
        <right style="thin">
          <color rgb="FF000000"/>
        </right>
        <top/>
        <bottom/>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rgb="FF000000"/>
        <name val="Times New Roman"/>
        <scheme val="none"/>
      </font>
      <numFmt numFmtId="0" formatCode="General"/>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4"/>
        <color rgb="FF000000"/>
        <name val="Times New Roman"/>
        <scheme val="none"/>
      </font>
      <fill>
        <patternFill patternType="solid">
          <fgColor indexed="64"/>
          <bgColor theme="0" tint="-0.14999847407452621"/>
        </patternFill>
      </fill>
      <alignment horizontal="general"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right style="thin">
          <color rgb="FF000000"/>
        </right>
        <top style="thin">
          <color rgb="FF000000"/>
        </top>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4"/>
        <color theme="1" tint="4.9989318521683403E-2"/>
        <name val="Times New Roman"/>
        <scheme val="none"/>
      </font>
      <fill>
        <patternFill patternType="solid">
          <fgColor indexed="64"/>
          <bgColor theme="0" tint="-0.14999847407452621"/>
        </patternFill>
      </fill>
      <alignment horizontal="general"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4"/>
        <color rgb="FF000000"/>
        <name val="Times New Roman"/>
        <scheme val="none"/>
      </font>
      <fill>
        <patternFill patternType="solid">
          <fgColor indexed="64"/>
          <bgColor theme="0"/>
        </patternFill>
      </fill>
      <alignment horizontal="general" vertical="bottom"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sz val="14"/>
        <name val="Times New Roman"/>
      </font>
      <fill>
        <patternFill patternType="solid">
          <fgColor indexed="64"/>
          <bgColor theme="0"/>
        </patternFill>
      </fill>
    </dxf>
    <dxf>
      <font>
        <b/>
        <i val="0"/>
        <strike val="0"/>
        <condense val="0"/>
        <extend val="0"/>
        <outline val="0"/>
        <shadow val="0"/>
        <u val="none"/>
        <vertAlign val="baseline"/>
        <sz val="14"/>
        <color rgb="FF000000"/>
        <name val="Times New Roman"/>
        <scheme val="none"/>
      </font>
      <fill>
        <patternFill patternType="solid">
          <fgColor indexed="64"/>
          <bgColor theme="0" tint="-0.14999847407452621"/>
        </patternFill>
      </fill>
      <alignment horizontal="general" vertical="bottom"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4"/>
        <color theme="1"/>
        <name val="Times New Roman"/>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4"/>
        <color rgb="FF1D1D1D"/>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outline="0">
        <bottom style="thin">
          <color rgb="FF000000"/>
        </bottom>
      </border>
    </dxf>
    <dxf>
      <font>
        <sz val="14"/>
        <name val="Times New Roman"/>
      </font>
    </dxf>
    <dxf>
      <font>
        <sz val="14"/>
        <name val="Times New Roman"/>
      </font>
    </dxf>
    <dxf>
      <font>
        <sz val="14"/>
        <name val="Times New Roman"/>
      </font>
      <numFmt numFmtId="0" formatCode="General"/>
      <alignment horizontal="center" vertical="center"/>
    </dxf>
    <dxf>
      <font>
        <sz val="14"/>
        <name val="Times New Roman"/>
      </font>
      <numFmt numFmtId="0" formatCode="General"/>
      <alignment horizontal="center" vertical="center"/>
    </dxf>
    <dxf>
      <font>
        <sz val="14"/>
        <name val="Times New Roman"/>
      </font>
      <alignment horizontal="center" vertical="center"/>
    </dxf>
    <dxf>
      <border outline="0">
        <left style="thick">
          <color rgb="FF000000"/>
        </left>
        <right style="thick">
          <color rgb="FF000000"/>
        </right>
        <bottom style="thick">
          <color rgb="FF000000"/>
        </bottom>
      </border>
    </dxf>
    <dxf>
      <font>
        <sz val="14"/>
        <name val="Times New Roman"/>
      </font>
      <alignment horizontal="center" vertical="center"/>
    </dxf>
    <dxf>
      <font>
        <sz val="14"/>
        <name val="Times New Roman"/>
      </font>
      <alignment horizontal="center" vertical="center"/>
    </dxf>
  </dxfs>
  <tableStyles count="0" defaultTableStyle="TableStyleMedium2" defaultPivotStyle="PivotStyleMedium9"/>
  <colors>
    <mruColors>
      <color rgb="FF078276"/>
      <color rgb="FF07524C"/>
      <color rgb="FF1B6B4B"/>
      <color rgb="FF369971"/>
      <color rgb="FF277A59"/>
      <color rgb="FF526E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2</xdr:col>
      <xdr:colOff>733425</xdr:colOff>
      <xdr:row>5</xdr:row>
      <xdr:rowOff>19050</xdr:rowOff>
    </xdr:from>
    <xdr:to>
      <xdr:col>2</xdr:col>
      <xdr:colOff>1247775</xdr:colOff>
      <xdr:row>8</xdr:row>
      <xdr:rowOff>323850</xdr:rowOff>
    </xdr:to>
    <xdr:sp macro="" textlink="">
      <xdr:nvSpPr>
        <xdr:cNvPr id="2" name="Flèche vers le bas 1">
          <a:extLst>
            <a:ext uri="{FF2B5EF4-FFF2-40B4-BE49-F238E27FC236}">
              <a16:creationId xmlns:a16="http://schemas.microsoft.com/office/drawing/2014/main" id="{A1024580-F2B1-28B0-01E7-89132E56BAC2}"/>
            </a:ext>
          </a:extLst>
        </xdr:cNvPr>
        <xdr:cNvSpPr/>
      </xdr:nvSpPr>
      <xdr:spPr>
        <a:xfrm>
          <a:off x="5381625" y="1590675"/>
          <a:ext cx="514350" cy="1095375"/>
        </a:xfrm>
        <a:prstGeom prst="downArrow">
          <a:avLst/>
        </a:prstGeom>
        <a:ln>
          <a:solidFill>
            <a:schemeClr val="accent6"/>
          </a:solidFill>
        </a:ln>
      </xdr:spPr>
      <xdr:style>
        <a:lnRef idx="3">
          <a:schemeClr val="lt1"/>
        </a:lnRef>
        <a:fillRef idx="1">
          <a:schemeClr val="accent6"/>
        </a:fillRef>
        <a:effectRef idx="1">
          <a:schemeClr val="accent6"/>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4</xdr:col>
      <xdr:colOff>23812</xdr:colOff>
      <xdr:row>10</xdr:row>
      <xdr:rowOff>80963</xdr:rowOff>
    </xdr:from>
    <xdr:to>
      <xdr:col>4</xdr:col>
      <xdr:colOff>4376737</xdr:colOff>
      <xdr:row>11</xdr:row>
      <xdr:rowOff>261938</xdr:rowOff>
    </xdr:to>
    <xdr:sp macro="" textlink="">
      <xdr:nvSpPr>
        <xdr:cNvPr id="3" name="Flèche vers le bas 2">
          <a:extLst>
            <a:ext uri="{FF2B5EF4-FFF2-40B4-BE49-F238E27FC236}">
              <a16:creationId xmlns:a16="http://schemas.microsoft.com/office/drawing/2014/main" id="{BDA17E18-4B5E-4E11-86FA-CAF90C46A75D}"/>
            </a:ext>
            <a:ext uri="{147F2762-F138-4A5C-976F-8EAC2B608ADB}">
              <a16:predDERef xmlns:a16="http://schemas.microsoft.com/office/drawing/2014/main" pred="{A1024580-F2B1-28B0-01E7-89132E56BAC2}"/>
            </a:ext>
          </a:extLst>
        </xdr:cNvPr>
        <xdr:cNvSpPr/>
      </xdr:nvSpPr>
      <xdr:spPr>
        <a:xfrm rot="16180507">
          <a:off x="11925300" y="1285875"/>
          <a:ext cx="571500" cy="4352925"/>
        </a:xfrm>
        <a:prstGeom prst="downArrow">
          <a:avLst/>
        </a:prstGeom>
        <a:ln>
          <a:solidFill>
            <a:schemeClr val="accent6"/>
          </a:solidFill>
        </a:ln>
      </xdr:spPr>
      <xdr:style>
        <a:lnRef idx="3">
          <a:schemeClr val="lt1"/>
        </a:lnRef>
        <a:fillRef idx="1">
          <a:schemeClr val="accent6"/>
        </a:fillRef>
        <a:effectRef idx="1">
          <a:schemeClr val="accent6"/>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8</xdr:col>
      <xdr:colOff>4763</xdr:colOff>
      <xdr:row>24</xdr:row>
      <xdr:rowOff>71437</xdr:rowOff>
    </xdr:from>
    <xdr:to>
      <xdr:col>9</xdr:col>
      <xdr:colOff>947738</xdr:colOff>
      <xdr:row>25</xdr:row>
      <xdr:rowOff>128587</xdr:rowOff>
    </xdr:to>
    <xdr:sp macro="" textlink="">
      <xdr:nvSpPr>
        <xdr:cNvPr id="5" name="Flèche vers le bas 4">
          <a:extLst>
            <a:ext uri="{FF2B5EF4-FFF2-40B4-BE49-F238E27FC236}">
              <a16:creationId xmlns:a16="http://schemas.microsoft.com/office/drawing/2014/main" id="{9D428CBC-BB2E-4624-80D5-45C5AA91A5E3}"/>
            </a:ext>
            <a:ext uri="{147F2762-F138-4A5C-976F-8EAC2B608ADB}">
              <a16:predDERef xmlns:a16="http://schemas.microsoft.com/office/drawing/2014/main" pred="{BDA17E18-4B5E-4E11-86FA-CAF90C46A75D}"/>
            </a:ext>
          </a:extLst>
        </xdr:cNvPr>
        <xdr:cNvSpPr/>
      </xdr:nvSpPr>
      <xdr:spPr>
        <a:xfrm rot="16208365">
          <a:off x="22040850" y="6629400"/>
          <a:ext cx="447675" cy="2495550"/>
        </a:xfrm>
        <a:prstGeom prst="downArrow">
          <a:avLst/>
        </a:prstGeom>
        <a:ln>
          <a:solidFill>
            <a:schemeClr val="accent6"/>
          </a:solidFill>
        </a:ln>
      </xdr:spPr>
      <xdr:style>
        <a:lnRef idx="3">
          <a:schemeClr val="lt1"/>
        </a:lnRef>
        <a:fillRef idx="1">
          <a:schemeClr val="accent6"/>
        </a:fillRef>
        <a:effectRef idx="1">
          <a:schemeClr val="accent6"/>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2</xdr:col>
      <xdr:colOff>0</xdr:colOff>
      <xdr:row>23</xdr:row>
      <xdr:rowOff>228600</xdr:rowOff>
    </xdr:from>
    <xdr:to>
      <xdr:col>2</xdr:col>
      <xdr:colOff>2714625</xdr:colOff>
      <xdr:row>24</xdr:row>
      <xdr:rowOff>381000</xdr:rowOff>
    </xdr:to>
    <xdr:sp macro="" textlink="">
      <xdr:nvSpPr>
        <xdr:cNvPr id="6" name="Left-Right Arrow 5">
          <a:extLst>
            <a:ext uri="{FF2B5EF4-FFF2-40B4-BE49-F238E27FC236}">
              <a16:creationId xmlns:a16="http://schemas.microsoft.com/office/drawing/2014/main" id="{7A2C767E-B727-02C2-ADD2-CB436302E0E7}"/>
            </a:ext>
            <a:ext uri="{147F2762-F138-4A5C-976F-8EAC2B608ADB}">
              <a16:predDERef xmlns:a16="http://schemas.microsoft.com/office/drawing/2014/main" pred="{9D428CBC-BB2E-4624-80D5-45C5AA91A5E3}"/>
            </a:ext>
          </a:extLst>
        </xdr:cNvPr>
        <xdr:cNvSpPr/>
      </xdr:nvSpPr>
      <xdr:spPr>
        <a:xfrm>
          <a:off x="5048250" y="7296150"/>
          <a:ext cx="2714625" cy="504825"/>
        </a:xfrm>
        <a:prstGeom prst="leftRightArrow">
          <a:avLst/>
        </a:prstGeom>
        <a:ln>
          <a:solidFill>
            <a:schemeClr val="accent6"/>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a:p>
      </xdr:txBody>
    </xdr:sp>
    <xdr:clientData/>
  </xdr:twoCellAnchor>
  <xdr:twoCellAnchor>
    <xdr:from>
      <xdr:col>16</xdr:col>
      <xdr:colOff>2190750</xdr:colOff>
      <xdr:row>12</xdr:row>
      <xdr:rowOff>19050</xdr:rowOff>
    </xdr:from>
    <xdr:to>
      <xdr:col>17</xdr:col>
      <xdr:colOff>247650</xdr:colOff>
      <xdr:row>16</xdr:row>
      <xdr:rowOff>161925</xdr:rowOff>
    </xdr:to>
    <xdr:sp macro="" textlink="">
      <xdr:nvSpPr>
        <xdr:cNvPr id="4" name="Up Arrow 3">
          <a:extLst>
            <a:ext uri="{FF2B5EF4-FFF2-40B4-BE49-F238E27FC236}">
              <a16:creationId xmlns:a16="http://schemas.microsoft.com/office/drawing/2014/main" id="{4390C100-A92B-AFE2-3DD5-F0D4B29613AA}"/>
            </a:ext>
            <a:ext uri="{147F2762-F138-4A5C-976F-8EAC2B608ADB}">
              <a16:predDERef xmlns:a16="http://schemas.microsoft.com/office/drawing/2014/main" pred="{7A2C767E-B727-02C2-ADD2-CB436302E0E7}"/>
            </a:ext>
          </a:extLst>
        </xdr:cNvPr>
        <xdr:cNvSpPr/>
      </xdr:nvSpPr>
      <xdr:spPr>
        <a:xfrm>
          <a:off x="34004250" y="3819525"/>
          <a:ext cx="514350" cy="1162050"/>
        </a:xfrm>
        <a:prstGeom prst="upArrow">
          <a:avLst/>
        </a:prstGeom>
        <a:solidFill>
          <a:schemeClr val="accent6"/>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10</xdr:col>
      <xdr:colOff>9525</xdr:colOff>
      <xdr:row>60</xdr:row>
      <xdr:rowOff>133350</xdr:rowOff>
    </xdr:from>
    <xdr:to>
      <xdr:col>10</xdr:col>
      <xdr:colOff>2552700</xdr:colOff>
      <xdr:row>63</xdr:row>
      <xdr:rowOff>9525</xdr:rowOff>
    </xdr:to>
    <xdr:sp macro="" textlink="">
      <xdr:nvSpPr>
        <xdr:cNvPr id="7" name="Flèche droite 6">
          <a:extLst>
            <a:ext uri="{FF2B5EF4-FFF2-40B4-BE49-F238E27FC236}">
              <a16:creationId xmlns:a16="http://schemas.microsoft.com/office/drawing/2014/main" id="{769127D7-0845-21C4-5D04-817AB6554419}"/>
            </a:ext>
            <a:ext uri="{147F2762-F138-4A5C-976F-8EAC2B608ADB}">
              <a16:predDERef xmlns:a16="http://schemas.microsoft.com/office/drawing/2014/main" pred="{4390C100-A92B-AFE2-3DD5-F0D4B29613AA}"/>
            </a:ext>
          </a:extLst>
        </xdr:cNvPr>
        <xdr:cNvSpPr/>
      </xdr:nvSpPr>
      <xdr:spPr>
        <a:xfrm>
          <a:off x="23602950" y="18135600"/>
          <a:ext cx="2543175" cy="657225"/>
        </a:xfrm>
        <a:prstGeom prst="rightArrow">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Guest User" id="{02E52B62-B1FB-48C7-92A0-239BF5515333}" userId="" providerId="Windows Live"/>
  <person displayName="Utilisateur invité" id="{4D9BE69F-A665-4781-85A1-D80CE12975BE}" userId="" providerId="Windows Live"/>
  <person displayName="Bénéwendé Arcus Marie ZOUNGRANA" id="{8B06D484-4323-44DE-8D2D-5F7F6535D9C7}" userId="647fc5cb643b48aa"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4CCCF9-88C6-4910-A0A0-DC5DDAD29876}" name="Table3" displayName="Table3" ref="F39:H41" totalsRowShown="0" headerRowDxfId="120" dataDxfId="119" tableBorderDxfId="118">
  <autoFilter ref="F39:H41" xr:uid="{C34CCCF9-88C6-4910-A0A0-DC5DDAD29876}"/>
  <tableColumns count="3">
    <tableColumn id="1" xr3:uid="{A11526A1-20BF-4057-B5EF-B05BA449FF99}" name="Average Weight (kg)" dataDxfId="117"/>
    <tableColumn id="2" xr3:uid="{6F6EE069-8FCE-4BE4-A8B8-7E5D69122C4E}" name="Number of Mangoes/year" dataDxfId="116">
      <calculatedColumnFormula>G35/F40</calculatedColumnFormula>
    </tableColumn>
    <tableColumn id="3" xr3:uid="{EA79AD40-0937-474A-B1D0-3EC19DBFC230}" name="Cost per Mango" dataDxfId="115">
      <calculatedColumnFormula>D36/G40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E61E6A1-9CA5-4F00-B8CA-E6B077B87058}" name="Table8" displayName="Table8" ref="A22:B28" totalsRowShown="0" headerRowDxfId="114" dataDxfId="113" tableBorderDxfId="112">
  <autoFilter ref="A22:B28" xr:uid="{4E61E6A1-9CA5-4F00-B8CA-E6B077B87058}"/>
  <tableColumns count="2">
    <tableColumn id="1" xr3:uid="{77B7F135-E907-4F61-AD69-D6A8A9412587}" name="Equipment" dataDxfId="111"/>
    <tableColumn id="2" xr3:uid="{1176FAEA-7AE8-402E-B0A7-FF0FD4F0708A}" name="2 ha " dataDxfId="11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73D65F-1692-4B6F-ACBD-B970F0C9618C}" name="Tableau1" displayName="Tableau1" ref="A20:C30" totalsRowShown="0" headerRowDxfId="109" dataDxfId="108" headerRowBorderDxfId="106" tableBorderDxfId="107" totalsRowBorderDxfId="105">
  <autoFilter ref="A20:C30" xr:uid="{F673D65F-1692-4B6F-ACBD-B970F0C9618C}"/>
  <tableColumns count="3">
    <tableColumn id="1" xr3:uid="{8BE80457-E83F-48BD-9CCA-34F89394B9F3}" name="Parameter" dataDxfId="104"/>
    <tableColumn id="2" xr3:uid="{1C3528C0-5FF9-45DC-BE8A-C51F967902CD}" name="Value" dataDxfId="103"/>
    <tableColumn id="3" xr3:uid="{F8A23DD8-6CC6-48B4-91D8-32BCDCBCB300}" name="Unit / Note" dataDxfId="10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DF9247-C442-4008-8C9C-B601C1DA7993}" name="Tableau6" displayName="Tableau6" ref="A37:G38" totalsRowShown="0" headerRowDxfId="101" dataDxfId="100" headerRowBorderDxfId="98" tableBorderDxfId="99" totalsRowBorderDxfId="97">
  <autoFilter ref="A37:G38" xr:uid="{20DF9247-C442-4008-8C9C-B601C1DA7993}"/>
  <tableColumns count="7">
    <tableColumn id="1" xr3:uid="{68047206-80E5-4650-A565-023A495C2360}" name="add_fan_power_kW" dataDxfId="96"/>
    <tableColumn id="2" xr3:uid="{01AC007E-9C18-46F4-A22C-F0F8FF294ED8}" name="sensor_cost_per_dryer_€" dataDxfId="95"/>
    <tableColumn id="3" xr3:uid="{CC363441-85DE-48C5-A4AC-B5B61230797E}" name="gateway_cost_per_site_€" dataDxfId="94"/>
    <tableColumn id="4" xr3:uid="{01A3C2E3-1051-4E37-A3D9-D1F8530640E2}" name="connectivity_monthly_per_dryer_€" dataDxfId="93"/>
    <tableColumn id="5" xr3:uid="{32173AEA-A092-416F-9DD4-EF90A9AA4676}" name="cloud_subscription_annual_€" dataDxfId="92"/>
    <tableColumn id="6" xr3:uid="{1034937C-A786-40F2-B881-1412CC9A8D4F}" name="installation_cost_per_dryer_€" dataDxfId="91"/>
    <tableColumn id="7" xr3:uid="{AE40C67E-1259-473A-BA99-234FEE4AC873}" name="iot_capex_lifetime_years" dataDxfId="9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AA4CC51-54F7-442A-A21D-8A7B36E49483}" name="Tableau210" displayName="Tableau210" ref="A107:N117" totalsRowShown="0" headerRowDxfId="89" dataDxfId="88" headerRowBorderDxfId="86" tableBorderDxfId="87" totalsRowBorderDxfId="85">
  <autoFilter ref="A107:N117" xr:uid="{0AA4CC51-54F7-442A-A21D-8A7B36E49483}"/>
  <tableColumns count="14">
    <tableColumn id="1" xr3:uid="{6B046B57-04B0-4B5A-9EFC-103B6BA839C5}" name="Scenario_ha" dataDxfId="84"/>
    <tableColumn id="2" xr3:uid="{86A0A0E6-8229-44DB-ABAD-D1D0A9D9A2A9}" name="Year" dataDxfId="83"/>
    <tableColumn id="3" xr3:uid="{5E2FB477-0BC1-4590-A954-0716F4656978}" name="Usable_fresh_kg" dataDxfId="82">
      <calculatedColumnFormula>Tableau210[[#This Row],[Scenario_ha]]*#REF!</calculatedColumnFormula>
    </tableColumn>
    <tableColumn id="4" xr3:uid="{C7555D94-4A7A-4D4F-8011-FCB092DF0515}" name="Dried_kg" dataDxfId="81">
      <calculatedColumnFormula>Tableau210[[#This Row],[Usable_fresh_kg]]*0.1</calculatedColumnFormula>
    </tableColumn>
    <tableColumn id="5" xr3:uid="{DEDEA4C1-8DAC-46E1-87A4-6584CBEC443B}" name="Export_price_€" dataDxfId="80">
      <calculatedColumnFormula>Tableau210[[#This Row],[Dried_kg]]*B25</calculatedColumnFormula>
    </tableColumn>
    <tableColumn id="6" xr3:uid="{63D57143-1A8E-420D-A85B-A5667DB2BB80}" name="Unit_cost_€_per_kg" dataDxfId="79"/>
    <tableColumn id="7" xr3:uid="{704A430D-0C19-4B24-9957-2C5429A2A0E5}" name="Yearly_dried_mango_cost_€" dataDxfId="78">
      <calculatedColumnFormula>Tableau210[[#This Row],[Unit_cost_€_per_kg]]*Tableau210[[#This Row],[Dried_kg]]</calculatedColumnFormula>
    </tableColumn>
    <tableColumn id="9" xr3:uid="{4604DA90-B0A9-46F3-8605-DE5512622481}" name="Cycles" dataDxfId="77"/>
    <tableColumn id="10" xr3:uid="{ABCA85B1-5C10-4F1A-ADB5-DE25B8379F48}" name="Energy_cost_€" dataDxfId="76"/>
    <tableColumn id="12" xr3:uid="{53FC41C9-0086-46F6-BBC7-E87F58D0C0ED}" name="Maintenance_€" dataDxfId="75"/>
    <tableColumn id="13" xr3:uid="{4B90BEBA-E9FC-49C9-9744-6704DB7343F6}" name="Total_costs_all_€" dataDxfId="74">
      <calculatedColumnFormula>Tableau210[[#This Row],[Yearly_dried_mango_cost_€]]+Tableau210[[#This Row],[Export_price_€]]</calculatedColumnFormula>
    </tableColumn>
    <tableColumn id="15" xr3:uid="{8ECDB81B-1D61-43F2-9E9C-FC376D5B400E}" name="Net_profit_€" dataDxfId="73">
      <calculatedColumnFormula>Tableau210[[#This Row],[Yearly_dried_mango_cost_€]]-Tableau210[[#This Row],[Energy_cost_€]]-Tableau210[[#This Row],[Maintenance_€]]</calculatedColumnFormula>
    </tableColumn>
    <tableColumn id="21" xr3:uid="{AD74E8CA-D2AE-4366-8389-F6A24D274722}" name="Inventory_turnover_per_year" dataDxfId="72"/>
    <tableColumn id="24" xr3:uid="{21E1736F-0FA3-4EA4-8252-8FDBD2E802BD}" name="Dryers_used" dataDxfId="7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A24E90-4B35-4172-8714-BE48970D73EB}" name="Table173" displayName="Table173" ref="A85:G86" insertRowShift="1" totalsRowShown="0" headerRowDxfId="70" dataDxfId="69" headerRowBorderDxfId="67" tableBorderDxfId="68" totalsRowBorderDxfId="66">
  <autoFilter ref="A85:G86" xr:uid="{B7A24E90-4B35-4172-8714-BE48970D73EB}"/>
  <tableColumns count="7">
    <tableColumn id="1" xr3:uid="{EF0FF7BE-557D-4793-8106-1DFF55DAEE01}" name="Scenario_ha" dataDxfId="65"/>
    <tableColumn id="2" xr3:uid="{6EF02711-EA12-4987-BA22-A4682733E8E9}" name="Weekly_dried_avg_kg" dataDxfId="64"/>
    <tableColumn id="3" xr3:uid="{5BF7E88B-A234-4E2A-ACFB-F21FEB0DFCF3}" name="Weekly_revenue_avg_€" dataDxfId="63"/>
    <tableColumn id="4" xr3:uid="{E00E4333-BDF7-4FB2-A6F7-70B8BE59F811}" name="Weekly_prod_cost_avg_€" dataDxfId="62"/>
    <tableColumn id="5" xr3:uid="{F05D14A7-CE66-4175-9574-DE307104F9D5}" name="Weekly_energy_avg_€" dataDxfId="61"/>
    <tableColumn id="6" xr3:uid="{4E5EDE94-C264-418E-870C-AF7211A9F204}" name="Weekly_maintenance_avg_€" dataDxfId="60"/>
    <tableColumn id="7" xr3:uid="{7A83DA40-1778-41F3-A0CC-834D6CAB1F47}" name="Weekly_profit_avg_€" dataDxfId="59">
      <calculatedColumnFormula>Table173[[#This Row],[Weekly_revenue_avg_€]]-Table173[[#This Row],[Weekly_prod_cost_avg_€]]-Table173[[#This Row],[Weekly_energy_avg_€]]-Table173[[#This Row],[Weekly_maintenance_avg_€]]</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169AB2-5146-47F6-8327-B7C69C09CBA6}" name="Table1736" displayName="Table1736" ref="A95:G96" insertRowShift="1" totalsRowShown="0" headerRowDxfId="58" dataDxfId="57" headerRowBorderDxfId="55" tableBorderDxfId="56" totalsRowBorderDxfId="54">
  <autoFilter ref="A95:G96" xr:uid="{38169AB2-5146-47F6-8327-B7C69C09CBA6}"/>
  <tableColumns count="7">
    <tableColumn id="1" xr3:uid="{85BB3C4F-C9AA-44C6-BC68-DF86BA1F5AF2}" name="Scenario_ha" dataDxfId="53"/>
    <tableColumn id="2" xr3:uid="{D9F49386-F9B1-48FE-8192-CA6BBF19ED80}" name="Monthly_dried_avg_kg" dataDxfId="52"/>
    <tableColumn id="3" xr3:uid="{20DDA0F9-8F17-48B2-BDDF-314C26E526AE}" name="Monthly_revenue_avg_€" dataDxfId="51"/>
    <tableColumn id="4" xr3:uid="{A375DEE5-B80D-41FF-8174-89E04B728411}" name="Monthly_prod_cost_avg_€" dataDxfId="50"/>
    <tableColumn id="5" xr3:uid="{357FAE2B-3B7D-4147-8322-1C31D00A706F}" name="Monthly_energy_avg_€" dataDxfId="49"/>
    <tableColumn id="6" xr3:uid="{4DE1BD15-312A-48F7-BC48-BE2D4B248A72}" name="Monthly_maintenance_avg_€" dataDxfId="48"/>
    <tableColumn id="7" xr3:uid="{0288B66D-3C1C-473D-8CF0-24D12F6E734B}" name="Monthly_profit_avg_€" dataDxfId="47">
      <calculatedColumnFormula>Table1736[[#This Row],[Monthly_revenue_avg_€]]-Table1736[[#This Row],[Monthly_prod_cost_avg_€]]-Table1736[[#This Row],[Monthly_energy_avg_€]]-Table1736[[#This Row],[Monthly_maintenance_avg_€]]</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3EC5DC8-78D7-4929-B68B-0E8310F32671}" name="Tableau15" displayName="Tableau15" ref="A6:E12" totalsRowShown="0" headerRowDxfId="46" dataDxfId="45">
  <autoFilter ref="A6:E12" xr:uid="{B3EC5DC8-78D7-4929-B68B-0E8310F32671}"/>
  <tableColumns count="5">
    <tableColumn id="1" xr3:uid="{E2845ECC-55AD-4DAB-A5F7-17C2D93905D7}" name="Indicator" dataDxfId="44"/>
    <tableColumn id="2" xr3:uid="{4769DDBA-EA93-4910-9161-323A34C3BF12}" name="Without Voice Translation App (per year)" dataDxfId="43"/>
    <tableColumn id="3" xr3:uid="{4114FEB4-0DC0-47B8-871A-8335BA194647}" name="With Voice Translation App (per year)" dataDxfId="42"/>
    <tableColumn id="4" xr3:uid="{FC569C57-537B-4138-AE9C-575A34137988}" name="Gain due to No-Reesa App" dataDxfId="41"/>
    <tableColumn id="5" xr3:uid="{58427727-92CC-482E-9A8D-D45BF64114BD}" name="Impact (%)" dataDxfId="4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1C15C1-DA83-4BEA-A988-ABE4F8B2C655}" name="Tableau4" displayName="Tableau4" ref="A16:C26" totalsRowShown="0" headerRowDxfId="39">
  <autoFilter ref="A16:C26" xr:uid="{4E1C15C1-DA83-4BEA-A988-ABE4F8B2C655}"/>
  <tableColumns count="3">
    <tableColumn id="1" xr3:uid="{FFE49619-A9A6-45A0-86ED-D61ACBBF6643}" name="Category" dataDxfId="38"/>
    <tableColumn id="2" xr3:uid="{F6965C29-C490-48BE-A919-419DFF8F7A86}" name="Description" dataDxfId="37"/>
    <tableColumn id="4" xr3:uid="{63D2239F-1AAF-4FFF-9EC0-73D67EACD64D}" name="Estimated Cost (EUR)" dataDxfId="3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6B91FB0-C611-4623-8509-D0CF08DF076A}" name="Tableau17" displayName="Tableau17" ref="G20:I25" totalsRowShown="0" headerRowDxfId="35" dataDxfId="34">
  <autoFilter ref="G20:I25" xr:uid="{76B91FB0-C611-4623-8509-D0CF08DF076A}"/>
  <tableColumns count="3">
    <tableColumn id="1" xr3:uid="{DE25B6A2-48E1-43C2-AA22-4D2233DFD4DC}" name="Source" dataDxfId="33"/>
    <tableColumn id="2" xr3:uid="{79A1416E-321C-4607-9BD2-CAFFC3F5C33E}" name="Description" dataDxfId="32"/>
    <tableColumn id="3" xr3:uid="{4F1446F4-A7B6-4B07-B54D-B9CF116F16A5}" name="Link" dataDxfId="31" dataCellStyle="Hyperlink"/>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9B6E3D6-4642-474A-BF1B-75555B5FB5E2}" name="Tableau7" displayName="Tableau7" ref="A12:B18" totalsRowShown="0" headerRowDxfId="30" dataDxfId="29">
  <autoFilter ref="A12:B18" xr:uid="{F9B6E3D6-4642-474A-BF1B-75555B5FB5E2}"/>
  <tableColumns count="2">
    <tableColumn id="1" xr3:uid="{08430E5E-E606-45C4-9520-A4A5E09EF7DF}" name="Item" dataDxfId="28"/>
    <tableColumn id="2" xr3:uid="{637693E7-85E3-4635-9B46-B813DDD046A9}" name="Details" dataDxfId="27"/>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ED7CCD6-34C5-40BD-9E6D-857D4B0EDC6C}" name="Tableau11" displayName="Tableau11" ref="A22:F31" totalsRowShown="0" headerRowDxfId="26" dataDxfId="25">
  <autoFilter ref="A22:F31" xr:uid="{CED7CCD6-34C5-40BD-9E6D-857D4B0EDC6C}"/>
  <tableColumns count="6">
    <tableColumn id="1" xr3:uid="{A07489C5-8E38-4F3D-AFAC-CEE028492F24}" name="Component" dataDxfId="24"/>
    <tableColumn id="2" xr3:uid="{D48A4266-E78F-46EC-898C-B7036F2BE418}" name="Unit" dataDxfId="23"/>
    <tableColumn id="3" xr3:uid="{639B42E8-50AD-44FC-A17D-63A7B97AAA73}" name="Quantity" dataDxfId="22"/>
    <tableColumn id="4" xr3:uid="{80C05B03-22DD-4265-A117-EC178FCEB7F7}" name="Unit Cost (€)" dataDxfId="21"/>
    <tableColumn id="5" xr3:uid="{FA8D626D-A14F-4670-AA6F-D08C91F66E9F}" name="Subtotal (€)" dataDxfId="20"/>
    <tableColumn id="6" xr3:uid="{5B81A02A-D199-4D08-9C0F-EF105D7E5704}" name="Specifications" dataDxfId="19"/>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CB139E5-3EC3-4D65-A1D2-CB28F657CBA2}" name="Tableau12" displayName="Tableau12" ref="A44:C48" totalsRowShown="0" headerRowDxfId="18" dataDxfId="17">
  <autoFilter ref="A44:C48" xr:uid="{1CB139E5-3EC3-4D65-A1D2-CB28F657CBA2}"/>
  <tableColumns count="3">
    <tableColumn id="1" xr3:uid="{70887370-690A-4F9E-BBBC-5ED67A8D5C63}" name="Benefit Type" dataDxfId="16"/>
    <tableColumn id="2" xr3:uid="{443D52A2-D116-4E62-86A0-7A8F4E4E8FD1}" name="Amount (€)" dataDxfId="15"/>
    <tableColumn id="3" xr3:uid="{9A8B67AF-200B-4F7B-A6CE-A624CD4125EB}" name="Details" dataDxfId="1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5C591A7-E7FB-48E2-B256-2D7B731357CA}" name="Tableau13" displayName="Tableau13" ref="A52:C56" totalsRowShown="0" headerRowDxfId="13" dataDxfId="12">
  <autoFilter ref="A52:C56" xr:uid="{95C591A7-E7FB-48E2-B256-2D7B731357CA}"/>
  <tableColumns count="3">
    <tableColumn id="1" xr3:uid="{D1C23F73-9749-44B0-96C6-CFC2AA43E419}" name="Indicator" dataDxfId="11"/>
    <tableColumn id="2" xr3:uid="{85F4197C-D7E4-434D-A440-E9CE23B8CA52}" name="Value" dataDxfId="10"/>
    <tableColumn id="3" xr3:uid="{27BC7E75-45A4-4F08-AC4C-A7D3D45F63B1}" name="Formula" dataDxfId="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49C2764-B7C0-4860-B179-CA39241CFC68}" name="Tableau14" displayName="Tableau14" ref="A3:C8" totalsRowShown="0" headerRowDxfId="8" dataDxfId="7">
  <autoFilter ref="A3:C8" xr:uid="{349C2764-B7C0-4860-B179-CA39241CFC68}"/>
  <tableColumns count="3">
    <tableColumn id="1" xr3:uid="{FBCB3EBD-9149-4571-8A55-6D071D92883C}" name="Metric_x0009_" dataDxfId="6"/>
    <tableColumn id="2" xr3:uid="{1E076FC8-DE22-4692-B97D-91BC4D52C053}" name="Result_x0009_" dataDxfId="5"/>
    <tableColumn id="3" xr3:uid="{46BFDD93-0DBE-4932-8B67-F5C6D39C9B9B}" name="Explanation" dataDxfId="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AA903B7-33CC-4906-ADD1-E3DB8CBE7D24}" name="Tableau16" displayName="Tableau16" ref="A35:B40" totalsRowShown="0" headerRowDxfId="3" dataDxfId="2">
  <autoFilter ref="A35:B40" xr:uid="{2AA903B7-33CC-4906-ADD1-E3DB8CBE7D24}"/>
  <tableColumns count="2">
    <tableColumn id="1" xr3:uid="{70B9CB81-63FB-4EA6-A756-6B84F67FC1BA}" name="Description_x0009_" dataDxfId="1"/>
    <tableColumn id="2" xr3:uid="{90350778-9AD3-4A79-9C08-DBE87E2CBA8E}" name="Val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 dT="2025-11-21T08:44:10.03" personId="{02E52B62-B1FB-48C7-92A0-239BF5515333}" id="{995BE70A-99E2-4B0C-A4C0-DC95AFC3E5FC}">
    <text xml:space="preserve">How did you choose this place? Did You make this choice based on which  research. Please add the documentation.
</text>
  </threadedComment>
  <threadedComment ref="C15" dT="2025-11-27T16:48:01.23" personId="{4D9BE69F-A665-4781-85A1-D80CE12975BE}" id="{5038B135-D635-49AF-9786-305A8676AFE4}" parentId="{995BE70A-99E2-4B0C-A4C0-DC95AFC3E5FC}">
    <text>There is a table below responding to your question.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A36" dT="2025-11-21T12:11:34.73" personId="{02E52B62-B1FB-48C7-92A0-239BF5515333}" id="{51663C2D-AB48-41CE-9CF7-49936A60FB86}">
    <text>What do you mean by operational cost</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5-10-23T00:24:05.71" personId="{8B06D484-4323-44DE-8D2D-5F7F6535D9C7}" id="{B5CA61C2-7C5C-4BD6-B04E-23162FE0E237}">
    <text>To improve the irrigation system, we can use smart IoT control to monitor soil moisture and automate irrigation scheduling, include a remote monitoring dashboard in the system for performance tracking like PV output, water levels, etc, add water recycling and filtration units for better sustainability</text>
  </threadedComment>
  <threadedComment ref="T5" dT="2025-11-26T10:48:20.44" personId="{8B06D484-4323-44DE-8D2D-5F7F6535D9C7}" id="{34CE7EB9-8758-4483-BD1C-C0B75FF8F5B4}">
    <text>150 is the cost of the kWh</text>
  </threadedComment>
  <threadedComment ref="D15" dT="2025-11-14T09:24:13.41" personId="{02E52B62-B1FB-48C7-92A0-239BF5515333}" id="{B046A186-BFC2-418A-BAE0-618E8F556A24}">
    <text>please check fixed vs variable cost?</text>
  </threadedComment>
  <threadedComment ref="D15" dT="2025-11-18T21:48:34.10" personId="{8B06D484-4323-44DE-8D2D-5F7F6535D9C7}" id="{B4834141-5CE1-4651-855E-33AC14C19C44}" parentId="{B046A186-BFC2-418A-BAE0-618E8F556A24}">
    <text>Yes I did. You can have a look on the cost calculations table. What is marked in slight green represents the variable costs. The blue one is the fixed</text>
  </threadedComment>
  <threadedComment ref="C22" dT="2025-10-01T10:13:39.54" personId="{02E52B62-B1FB-48C7-92A0-239BF5515333}" id="{87341C9E-B9DB-46D3-A2AE-F69101F97733}">
    <text xml:space="preserve">where does 100 comes from? report, study, guess? </text>
  </threadedComment>
  <threadedComment ref="C22" dT="2025-10-01T10:19:49.17" personId="{02E52B62-B1FB-48C7-92A0-239BF5515333}" id="{22C3CF43-16EF-46A0-BEDF-D97A1B3D4DF7}" parentId="{87341C9E-B9DB-46D3-A2AE-F69101F97733}">
    <text>this depends on how big is the spacing between the trees as well. could you add this parameter to the input column</text>
  </threadedComment>
  <threadedComment ref="C22" dT="2025-10-07T10:46:43.45" personId="{8B06D484-4323-44DE-8D2D-5F7F6535D9C7}" id="{DBCEF768-585F-407B-BA3D-A57B66A6F764}" parentId="{87341C9E-B9DB-46D3-A2AE-F69101F97733}">
    <text>100 is the estimated number of trees in 1 hectare with a space of 10 m between the trees. You can see the details in the input parameters and definitions</text>
  </threadedComment>
  <threadedComment ref="D22" dT="2025-10-01T10:14:55.93" personId="{02E52B62-B1FB-48C7-92A0-239BF5515333}" id="{A2EC88CB-F0FA-4B5A-87BE-4EFA3FD8B23F}">
    <text>please make the formula easy to explain e.g. what is 1000? what is 100? you could make a separate column for  the input parameters</text>
  </threadedComment>
  <threadedComment ref="D22" dT="2025-10-07T11:55:40.96" personId="{8B06D484-4323-44DE-8D2D-5F7F6535D9C7}" id="{C8716488-349A-44CD-879A-572972ADD140}" parentId="{A2EC88CB-F0FA-4B5A-87BE-4EFA3FD8B23F}">
    <text>You can find the explanation in the input parameters and definition table</text>
  </threadedComment>
  <threadedComment ref="E22" dT="2025-10-01T10:23:03.71" personId="{02E52B62-B1FB-48C7-92A0-239BF5515333}" id="{E19C23D8-BDDB-4941-BC67-7D4382D1D427}">
    <text>does the tree age play a role? e.g. young trees vs mature trees</text>
  </threadedComment>
  <threadedComment ref="E22" dT="2025-10-01T10:24:11.26" personId="{02E52B62-B1FB-48C7-92A0-239BF5515333}" id="{3C3F22B3-02E3-4580-8582-783A00B8BE06}" parentId="{E19C23D8-BDDB-4941-BC67-7D4382D1D427}">
    <text>does this number applies to all year long and all climate conditions e.g. in rainy season the number could be low, ..etc.</text>
  </threadedComment>
  <threadedComment ref="E22" dT="2025-10-07T10:27:59.68" personId="{8B06D484-4323-44DE-8D2D-5F7F6535D9C7}" id="{86B9DC09-37FD-4C14-884E-1378A64F796B}" parentId="{E19C23D8-BDDB-4941-BC67-7D4382D1D427}">
    <text>this is for mature mango trees in dry season</text>
  </threadedComment>
  <threadedComment ref="F22" dT="2025-10-01T10:15:47.06" personId="{02E52B62-B1FB-48C7-92A0-239BF5515333}" id="{E63A8420-42E4-475E-9B92-4E143EEB8E76}">
    <text>what is 5? please explain as suggested with input column</text>
  </threadedComment>
  <threadedComment ref="F22" dT="2025-10-07T10:29:05.82" personId="{8B06D484-4323-44DE-8D2D-5F7F6535D9C7}" id="{36E63635-DF97-449D-9327-8F1F4B8850FF}" parentId="{E63A8420-42E4-475E-9B92-4E143EEB8E76}">
    <text>it represents the daily irrigation duration</text>
  </threadedComment>
  <threadedComment ref="G22" dT="2025-10-07T10:50:18.97" personId="{8B06D484-4323-44DE-8D2D-5F7F6535D9C7}" id="{19629B0B-C54E-4B3C-8465-8E35837978E0}">
    <text>60 is the number of minutes in 1 hour</text>
  </threadedComment>
  <threadedComment ref="L22" dT="2025-10-01T10:28:03.27" personId="{02E52B62-B1FB-48C7-92A0-239BF5515333}" id="{2A25DE7A-0856-4475-AD35-68E9FCF33CAC}">
    <text>does this calculation include any buffer to compensate for losses e.g. efficiency, variations ...etc.?please consider that and adjust your calculations accordingly</text>
  </threadedComment>
  <threadedComment ref="L22" dT="2025-10-07T11:08:37.68" personId="{8B06D484-4323-44DE-8D2D-5F7F6535D9C7}" id="{13B85FF6-B839-4B20-B12D-71300884BB82}" parentId="{2A25DE7A-0856-4475-AD35-68E9FCF33CAC}">
    <text>yes, it does include any buffer for compensation in case of losses</text>
  </threadedComment>
  <threadedComment ref="A25" dT="2025-10-09T09:31:36.42" personId="{8B06D484-4323-44DE-8D2D-5F7F6535D9C7}" id="{892C97E1-21AA-4D14-AE88-EC5916786E41}">
    <text>Some of the cost are local cost. For the smart add-on, drip irrigation, filtration+MPPT costs, it has been estimated basing on the international market</text>
  </threadedComment>
  <threadedComment ref="T26" dT="2025-11-21T12:58:29.55" personId="{02E52B62-B1FB-48C7-92A0-239BF5515333}" id="{287FF172-FD47-454D-A575-9A9EF6B072D9}">
    <text xml:space="preserve">Add hyperlinks </text>
  </threadedComment>
  <threadedComment ref="A27" dT="2025-10-01T10:28:31.27" personId="{02E52B62-B1FB-48C7-92A0-239BF5515333}" id="{4A14AA5F-08E0-4FCB-A3C9-8381563E4600}">
    <text>what is the capacity of the tank?</text>
  </threadedComment>
  <threadedComment ref="A27" dT="2025-11-18T21:38:58.26" personId="{8B06D484-4323-44DE-8D2D-5F7F6535D9C7}" id="{73907869-F21D-497F-8A3E-12C1ADC89167}" parentId="{4A14AA5F-08E0-4FCB-A3C9-8381563E4600}">
    <text>Variable because larger farms need larger tanks</text>
  </threadedComment>
  <threadedComment ref="E27" dT="2025-10-01T10:29:39.91" personId="{02E52B62-B1FB-48C7-92A0-239BF5515333}" id="{CC67322F-66CC-4932-B3F8-6FFF15835BFE}">
    <text>did you consider any cheaper alternatives?</text>
  </threadedComment>
  <threadedComment ref="E27" dT="2025-10-07T11:25:23.00" personId="{8B06D484-4323-44DE-8D2D-5F7F6535D9C7}" id="{1E7D19D0-5954-4FFA-B68E-E73F5E123511}" parentId="{CC67322F-66CC-4932-B3F8-6FFF15835BFE}">
    <text>Yes I considered now</text>
  </threadedComment>
  <threadedComment ref="A28" dT="2025-11-18T21:39:57.73" personId="{8B06D484-4323-44DE-8D2D-5F7F6535D9C7}" id="{41F8602B-B192-415A-96DD-0A8EE8D03FCE}">
    <text>may vary because it's linear with number of trees or area</text>
  </threadedComment>
  <threadedComment ref="J28" dT="2025-10-07T11:41:33.94" personId="{8B06D484-4323-44DE-8D2D-5F7F6535D9C7}" id="{73136E15-C0EE-4511-87AF-28D1D6E443C1}">
    <text>CAPEX (Capital Expenditure)</text>
  </threadedComment>
  <threadedComment ref="A29" dT="2025-11-18T21:40:53.32" personId="{8B06D484-4323-44DE-8D2D-5F7F6535D9C7}" id="{15B1AD36-D8B6-4774-B0AD-76A7754F6B21}">
    <text>It scale vary with pump size and water demand</text>
  </threadedComment>
  <threadedComment ref="D29" dT="2025-10-01T10:30:02.52" personId="{02E52B62-B1FB-48C7-92A0-239BF5515333}" id="{76E52E48-D57E-45CC-8C24-B37A110B39FE}">
    <text>from which market? burkina faso, china, germany?</text>
  </threadedComment>
  <threadedComment ref="D29" dT="2025-11-18T21:44:27.66" personId="{8B06D484-4323-44DE-8D2D-5F7F6535D9C7}" id="{E7106899-F44C-4A03-A0FB-8361B5447160}" parentId="{76E52E48-D57E-45CC-8C24-B37A110B39FE}">
    <text xml:space="preserve">Locally
</text>
  </threadedComment>
  <threadedComment ref="A30" dT="2025-11-18T21:41:26.03" personId="{8B06D484-4323-44DE-8D2D-5F7F6535D9C7}" id="{5624E5AC-E820-4CA7-A66F-694F2E3C759D}">
    <text>Scales when higher flow is needed</text>
  </threadedComment>
  <threadedComment ref="A31" dT="2025-11-18T21:45:33.75" personId="{8B06D484-4323-44DE-8D2D-5F7F6535D9C7}" id="{8391718E-3BCD-4A8F-94D6-E2519B5CAF6A}">
    <text>Fixed because we need one controller for the pump</text>
  </threadedComment>
  <threadedComment ref="E33" dT="2025-10-01T10:31:23.38" personId="{02E52B62-B1FB-48C7-92A0-239BF5515333}" id="{1F6F246C-E630-4B82-BC73-079414E2AE0A}">
    <text>how much time do you think you can get this investment sum repaid back. payback period is short means a profitable project, if payback period is long it means less profitable project. make assumptions to calculate payback period</text>
  </threadedComment>
  <threadedComment ref="E33" dT="2025-10-09T07:52:16.74" personId="{8B06D484-4323-44DE-8D2D-5F7F6535D9C7}" id="{F64D0B68-A537-4D04-94BC-07A5811FAEBA}" parentId="{1F6F246C-E630-4B82-BC73-079414E2AE0A}">
    <text>You can see it on the calculation table</text>
  </threadedComment>
  <threadedComment ref="H33" dT="2025-10-09T07:56:22.16" personId="{8B06D484-4323-44DE-8D2D-5F7F6535D9C7}" id="{D5590B21-3252-4B15-A613-BD2E41FDBFA8}">
    <text>replaced every 10 years; 2 replacement in total during the project lifetime</text>
  </threadedComment>
  <threadedComment ref="M33" dT="2025-11-21T13:00:05.91" personId="{02E52B62-B1FB-48C7-92A0-239BF5515333}" id="{4D3C663A-8D68-4538-8B8E-49A679EDA1FF}">
    <text>where did you get these data. Add Reference</text>
  </threadedComment>
  <threadedComment ref="H34" dT="2025-10-09T07:56:46.77" personId="{8B06D484-4323-44DE-8D2D-5F7F6535D9C7}" id="{CB6F7D8E-A003-43C3-86F6-5C1E11FFE1C1}">
    <text>replaced every 10 years; 2 replacement in total</text>
  </threadedComment>
  <threadedComment ref="H35" dT="2025-10-09T07:57:46.32" personId="{8B06D484-4323-44DE-8D2D-5F7F6535D9C7}" id="{30737756-ECBA-4179-BDAF-FE843EB63C53}">
    <text>replaced every 10 years also; 2 replacement in total during the project lifetime</text>
  </threadedComment>
  <threadedComment ref="U35" dT="2025-10-17T09:24:45.78" personId="{8B06D484-4323-44DE-8D2D-5F7F6535D9C7}" id="{0509A75C-744A-4D34-A90C-256795441E77}">
    <text>100 represents the daily needs in terms of water per tree</text>
  </threadedComment>
  <threadedComment ref="W43" dT="2025-11-26T08:07:34.11" personId="{8B06D484-4323-44DE-8D2D-5F7F6535D9C7}" id="{D9553B01-96AA-485D-8472-0FD1027EB1E5}">
    <text>20 is the water need per day in cubic meter</text>
  </threadedComment>
</ThreadedComments>
</file>

<file path=xl/threadedComments/threadedComment4.xml><?xml version="1.0" encoding="utf-8"?>
<ThreadedComments xmlns="http://schemas.microsoft.com/office/spreadsheetml/2018/threadedcomments" xmlns:x="http://schemas.openxmlformats.org/spreadsheetml/2006/main">
  <threadedComment ref="A2" dT="2025-10-01T16:40:23.36" personId="{02E52B62-B1FB-48C7-92A0-239BF5515333}" id="{3B5B4A5C-1540-4A5C-B265-7A9B69BF94B1}">
    <text>we might not need a ball mill for the mango but what we need are machines which can be used for cutting the mango</text>
  </threadedComment>
  <threadedComment ref="B3" dT="2025-10-01T16:12:24.43" personId="{02E52B62-B1FB-48C7-92A0-239BF5515333}" id="{55E8B360-440F-4231-87DA-16F19DBD6083}">
    <text>why are the numbers fluctuating?</text>
  </threadedComment>
  <threadedComment ref="B3" dT="2025-10-01T19:26:36.35" personId="{4D9BE69F-A665-4781-85A1-D80CE12975BE}" id="{9E348B6F-E012-4B4B-BC1F-B8327D4D5213}" parentId="{55E8B360-440F-4231-87DA-16F19DBD6083}">
    <text>The numbers rise and fall because in Burkina Faso there are periods when mango production is very high and when this period passes production also falls.</text>
  </threadedComment>
  <threadedComment ref="C3" dT="2025-10-01T16:38:11.50" personId="{02E52B62-B1FB-48C7-92A0-239BF5515333}" id="{DA61F77F-54E6-4B0E-9684-90D85F7012AC}">
    <text>how is this calculated?</text>
  </threadedComment>
  <threadedComment ref="C3" dT="2025-10-01T19:41:14.04" personId="{4D9BE69F-A665-4781-85A1-D80CE12975BE}" id="{33933C0F-616D-4969-810D-A8400C5E385E}" parentId="{DA61F77F-54E6-4B0E-9684-90D85F7012AC}">
    <text>The number is based on study showing that the waste generated is around 50% of the quantity of processed mangoes.</text>
  </threadedComment>
  <threadedComment ref="D3" dT="2025-10-01T16:38:36.75" personId="{02E52B62-B1FB-48C7-92A0-239BF5515333}" id="{5E36174B-72D2-4061-AA6B-C464FF877BA9}">
    <text>how is biogas calculated? is it assumed or based on study?</text>
  </threadedComment>
  <threadedComment ref="D3" dT="2025-10-01T19:31:15.51" personId="{4D9BE69F-A665-4781-85A1-D80CE12975BE}" id="{4AE72957-08E8-4678-9A75-1167E7647203}" parentId="{5E36174B-72D2-4061-AA6B-C464FF877BA9}">
    <text>The biogas is calculated by following this formula : 1 kg of mango waste gives 0.043 m³ of biogas. This formula is based on study from the net.</text>
  </threadedComment>
  <threadedComment ref="J3" dT="2025-11-19T14:26:22.96" personId="{4D9BE69F-A665-4781-85A1-D80CE12975BE}" id="{12B0CCDA-B040-4AF8-9752-0932C7726612}">
    <text>Quantification et caractérisation des
déchets de mangue au Burkina Faso – ESJ</text>
    <extLst>
      <x:ext xmlns:xltc2="http://schemas.microsoft.com/office/spreadsheetml/2020/threadedcomments2" uri="{F7C98A9C-CBB3-438F-8F68-D28B6AF4A901}">
        <xltc2:checksum>387353978</xltc2:checksum>
        <xltc2:hyperlink startIndex="0" length="37" url="file:///C:/Users/user/Desktop/Infineon%20Internship/Template_NIKIEMA.htm"/>
        <xltc2:hyperlink startIndex="38" length="39" url="file:///C:/Users/user/Desktop/Infineon%20Internship/Template_NIKIEMA.htm"/>
      </x:ext>
    </extLst>
  </threadedComment>
  <threadedComment ref="K4" dT="2025-10-01T19:31:50.07" personId="{4D9BE69F-A665-4781-85A1-D80CE12975BE}" id="{13DC0BDD-8FD5-44D4-980D-3FAC0AA6374D}">
    <text xml:space="preserve">This biogas volume was used to calculate biogas outputs for each month of the year.
</text>
  </threadedComment>
  <threadedComment ref="J10" dT="2025-11-05T18:01:55.78" personId="{4D9BE69F-A665-4781-85A1-D80CE12975BE}" id="{F175AF6E-155D-4863-833D-D392C61721FB}">
    <text>Suitable for a 2-hectare farm  
Daily average     3 kW × 5 h × 30 days     
 1 m³ ≈ 6 kWh  </text>
  </threadedComment>
  <threadedComment ref="B24" dT="2025-11-19T13:48:28.58" personId="{4D9BE69F-A665-4781-85A1-D80CE12975BE}" id="{69CC5C8E-95A1-42B3-AE11-A3C77AA4BE21}">
    <text>This annual output is from the plant sheet in the common excel precisely from plants(Zalka) sheet</text>
  </threadedComment>
  <threadedComment ref="G27" dT="2025-11-25T14:50:57.85" personId="{4D9BE69F-A665-4781-85A1-D80CE12975BE}" id="{00B4676F-CBDB-4825-B59A-A35464238CCB}">
    <text xml:space="preserve"> Each price has his own link which explain the fact we don't have any formulas there or calculation</text>
  </threadedComment>
  <threadedComment ref="B29" dT="2025-11-07T13:33:02.99" personId="{4D9BE69F-A665-4781-85A1-D80CE12975BE}" id="{C51D9A80-1FCF-4B6C-8C30-711F181EA2FE}">
    <text xml:space="preserve"> It can be used for biogas and the compost</text>
  </threadedComment>
  <threadedComment ref="A31" dT="2025-11-05T18:11:16.69" personId="{4D9BE69F-A665-4781-85A1-D80CE12975BE}" id="{4802152D-B483-4806-81E4-853604479D39}">
    <text>200–300 kg/hour1–2 hours/week sufficientSlicing &amp; DryingElectric/Solar Dehydrator50 kg/batch → 5 batches/weekMatches 
229 kg/week dried mango 
outputMilling to PowderHammer/Ball Mill50 kg/hour → ~2.5 hours/weekEfficient for 114.5 kg powder/week</text>
  </threadedComment>
  <threadedComment ref="A44" dT="2025-11-07T17:34:35.62" personId="{4D9BE69F-A665-4781-85A1-D80CE12975BE}" id="{72B315D0-A92E-40BD-B682-DFF14FB08BA4}">
    <text xml:space="preserve"> (machines, setup)</text>
  </threadedComment>
</ThreadedComments>
</file>

<file path=xl/threadedComments/threadedComment5.xml><?xml version="1.0" encoding="utf-8"?>
<ThreadedComments xmlns="http://schemas.microsoft.com/office/spreadsheetml/2018/threadedcomments" xmlns:x="http://schemas.openxmlformats.org/spreadsheetml/2006/main">
  <threadedComment ref="B9" dT="2025-10-01T10:32:30.83" personId="{02E52B62-B1FB-48C7-92A0-239BF5515333}" id="{30694B0C-B7C0-423E-8071-0E901121F13D}">
    <text>where is the source of this value, report? study? historical data? or assumption</text>
  </threadedComment>
  <threadedComment ref="B9" dT="2025-10-02T09:59:59.62" personId="{4D9BE69F-A665-4781-85A1-D80CE12975BE}" id="{917C1473-BDF9-40E1-9347-45C64F5266C3}" parentId="{30694B0C-B7C0-423E-8071-0E901121F13D}">
    <text>https://www.researchgate.net/publication/242642925_The_mango_tree_in_central_and_northern_Benin_Cultivar_inventory_yield_assessment_infested_stages_and_loss_due_to_fruit_flies_Diptera_Tephritidae</text>
  </threadedComment>
  <threadedComment ref="B10" dT="2025-10-01T10:32:56.28" personId="{02E52B62-B1FB-48C7-92A0-239BF5515333}" id="{A8AB2132-491C-40FC-8167-A4492DE937F3}">
    <text>what does recovery rate means?</text>
  </threadedComment>
  <threadedComment ref="B10" dT="2025-10-02T10:08:08.77" personId="{4D9BE69F-A665-4781-85A1-D80CE12975BE}" id="{4D62C1A1-A16A-439B-B683-E55E40F75C52}" parentId="{A8AB2132-491C-40FC-8167-A4492DE937F3}">
    <text>The proportion of usable, good-quality product that remains after harvesting, handling, and processing compared to the total originally harvested.</text>
  </threadedComment>
  <threadedComment ref="B11" dT="2025-10-01T10:34:15.94" personId="{02E52B62-B1FB-48C7-92A0-239BF5515333}" id="{AE53CCDD-16F4-4EF0-B5DC-1D7C98B929FB}">
    <text>I understood the term transformation ration but I didn't get 4? e.g. if I put 1 kg of fresh mango how much dried mango I get?</text>
  </threadedComment>
  <threadedComment ref="B11" dT="2025-10-07T17:08:00.98" personId="{4D9BE69F-A665-4781-85A1-D80CE12975BE}" id="{1365979A-3903-4E5F-815B-268A0304D617}" parentId="{AE53CCDD-16F4-4EF0-B5DC-1D7C98B929FB}">
    <text>I have added the link saying that It takes between 12 to 15 kg of fresh mangoes to produce 1 kg of dried fruit, although some estimates put the conversion rate closer to 10%. Then with 1 kg appying 10% outputs 0.1kg</text>
  </threadedComment>
  <threadedComment ref="B13" dT="2025-10-01T10:35:07.16" personId="{02E52B62-B1FB-48C7-92A0-239BF5515333}" id="{EBEDA288-CA0E-4F7C-9E06-6A8019C6D2DA}">
    <text>please indicate the source of the price is there a portal which tracks these information and publish them?</text>
  </threadedComment>
  <threadedComment ref="B13" dT="2025-10-08T12:13:48.87" personId="{4D9BE69F-A665-4781-85A1-D80CE12975BE}" id="{5BDC138D-443F-4770-8365-E47E0EEA28CE}" parentId="{EBEDA288-CA0E-4F7C-9E06-6A8019C6D2DA}">
    <text>Alright</text>
  </threadedComment>
  <threadedComment ref="B15" dT="2025-10-01T10:35:33.38" personId="{02E52B62-B1FB-48C7-92A0-239BF5515333}" id="{BCC751D3-7955-4B44-B762-AF7FB32E0018}">
    <text>what is meant by campaign here?</text>
  </threadedComment>
  <threadedComment ref="B15" dT="2025-10-07T19:39:42.51" personId="{4D9BE69F-A665-4781-85A1-D80CE12975BE}" id="{225A8EFD-2D23-43C9-981F-6EABB33992FF}" parentId="{BCC751D3-7955-4B44-B762-AF7FB32E0018}">
    <text>It refers to the mango active harvesting season in Burkina.</text>
  </threadedComment>
  <threadedComment ref="B21" dT="2025-10-01T10:32:30.83" personId="{02E52B62-B1FB-48C7-92A0-239BF5515333}" id="{753BF6E2-4B3E-4436-9CF2-5A0882711F66}">
    <text>where is the source of this value, report? study? historical data? or assumption</text>
  </threadedComment>
  <threadedComment ref="B21" dT="2025-10-02T09:59:59.62" personId="{4D9BE69F-A665-4781-85A1-D80CE12975BE}" id="{B8900FCF-EFB8-4299-B571-70B968C1A91F}" parentId="{753BF6E2-4B3E-4436-9CF2-5A0882711F66}">
    <text>https://www.researchgate.net/publication/242642925_The_mango_tree_in_central_and_northern_Benin_Cultivar_inventory_yield_assessment_infested_stages_and_loss_due_to_fruit_flies_Diptera_Tephritidae</text>
  </threadedComment>
  <threadedComment ref="B22" dT="2025-10-01T10:32:56.28" personId="{02E52B62-B1FB-48C7-92A0-239BF5515333}" id="{C7EF18BD-B85D-4954-87E5-07E6AE76388A}">
    <text>what does recovery rate means?</text>
  </threadedComment>
  <threadedComment ref="B22" dT="2025-10-02T10:08:08.77" personId="{4D9BE69F-A665-4781-85A1-D80CE12975BE}" id="{ADCB1198-FBA6-48D9-9146-9A945824C105}" parentId="{C7EF18BD-B85D-4954-87E5-07E6AE76388A}">
    <text>The proportion of usable, good-quality product that remains after harvesting, handling, and processing compared to the total originally harvested.</text>
  </threadedComment>
  <threadedComment ref="B23" dT="2025-10-01T10:34:15.94" personId="{02E52B62-B1FB-48C7-92A0-239BF5515333}" id="{D951C372-0506-4115-8AB7-F872A9CFC94B}">
    <text>I understood the term transformation ration but I didn't get 4? e.g. if I put 1 kg of fresh mango how much dried mango I get?</text>
  </threadedComment>
  <threadedComment ref="B23" dT="2025-10-07T17:08:00.98" personId="{4D9BE69F-A665-4781-85A1-D80CE12975BE}" id="{F6DDBF57-74FB-479A-8F6A-7F4BA8A6AEC8}" parentId="{D951C372-0506-4115-8AB7-F872A9CFC94B}">
    <text>I have added the link saying that It takes between 12 to 15 kg of fresh mangoes to produce 1 kg of dried fruit, although some estimates put the conversion rate closer to 10%. Then with 1 kg appying 10% outputs 0.1kg</text>
  </threadedComment>
  <threadedComment ref="B25" dT="2025-10-01T10:35:07.16" personId="{02E52B62-B1FB-48C7-92A0-239BF5515333}" id="{8C26E72D-0395-4FCD-B593-447B3BF16F18}">
    <text>please indicate the source of the price is there a portal which tracks these information and publish them?</text>
  </threadedComment>
  <threadedComment ref="B25" dT="2025-10-08T12:13:48.87" personId="{4D9BE69F-A665-4781-85A1-D80CE12975BE}" id="{AA7E407A-6D85-456F-BFF1-9405A7CAE0B3}" parentId="{8C26E72D-0395-4FCD-B593-447B3BF16F18}">
    <text>Alright</text>
  </threadedComment>
  <threadedComment ref="B27" dT="2025-10-01T10:35:33.38" personId="{02E52B62-B1FB-48C7-92A0-239BF5515333}" id="{06AD86B0-7E8C-4A63-8CBD-D8D0C8A8EF7A}">
    <text>what is meant by campaign here?</text>
  </threadedComment>
  <threadedComment ref="B27" dT="2025-10-07T19:39:42.51" personId="{4D9BE69F-A665-4781-85A1-D80CE12975BE}" id="{4CCF12DA-1869-4C42-A6A4-727571DDE811}" parentId="{06AD86B0-7E8C-4A63-8CBD-D8D0C8A8EF7A}">
    <text>It refers to the mango active harvesting season in Burkina.</text>
  </threadedComment>
  <threadedComment ref="B29" dT="2025-10-01T10:36:12.27" personId="{02E52B62-B1FB-48C7-92A0-239BF5515333}" id="{8023BE6E-9434-439C-8570-AF29F0292DA8}">
    <text xml:space="preserve">make a calculation column in Euro values </text>
  </threadedComment>
  <threadedComment ref="B29" dT="2025-10-02T09:43:54.77" personId="{4D9BE69F-A665-4781-85A1-D80CE12975BE}" id="{A006808D-EE5B-4F91-A17C-8B02BDC629B2}" parentId="{8023BE6E-9434-439C-8570-AF29F0292DA8}">
    <text>Alright</text>
  </threadedComment>
  <threadedComment ref="B30" dT="2025-10-01T11:07:19.77" personId="{02E52B62-B1FB-48C7-92A0-239BF5515333}" id="{125BEC1E-245A-4C9A-A0A9-4D2B90AD1CA7}">
    <text>I am wondering here how did you consider the 1 hectar area, or 3 hectar area, did you consider that 2.2. 2hectar farm could yield 10 ton mango every month and based on that the calculations are made</text>
  </threadedComment>
  <threadedComment ref="B30" dT="2025-10-02T09:40:27.00" personId="{4D9BE69F-A665-4781-85A1-D80CE12975BE}" id="{44724CF8-8E6D-435D-8F09-BB20EB165C1B}" parentId="{125BEC1E-245A-4C9A-A0A9-4D2B90AD1CA7}">
    <text>yes</text>
  </threadedComment>
  <threadedComment ref="B30" dT="2025-10-08T12:12:32.37" personId="{4D9BE69F-A665-4781-85A1-D80CE12975BE}" id="{581EB673-21B3-43B0-96D6-09C7A6F4A912}" parentId="{125BEC1E-245A-4C9A-A0A9-4D2B90AD1CA7}">
    <text>But i considered the fact that  1 hectar farm could yield 10 ton mango every year</text>
  </threadedComment>
  <threadedComment ref="B43" dT="2025-10-01T10:32:30.83" personId="{02E52B62-B1FB-48C7-92A0-239BF5515333}" id="{9DCD46C4-20AA-4A19-9FC9-6EBAF2BD727D}">
    <text>where is the source of this value, report? study? historical data? or assumption</text>
  </threadedComment>
  <threadedComment ref="B43" dT="2025-10-02T09:59:59.62" personId="{4D9BE69F-A665-4781-85A1-D80CE12975BE}" id="{4BD0CC0A-ABC1-4469-9AB4-4CE1B24D3487}" parentId="{9DCD46C4-20AA-4A19-9FC9-6EBAF2BD727D}">
    <text>https://www.researchgate.net/publication/242642925_The_mango_tree_in_central_and_northern_Benin_Cultivar_inventory_yield_assessment_infested_stages_and_loss_due_to_fruit_flies_Diptera_Tephritidae</text>
  </threadedComment>
  <threadedComment ref="B44" dT="2025-10-01T10:32:56.28" personId="{02E52B62-B1FB-48C7-92A0-239BF5515333}" id="{50444CC8-3A1A-4EB7-9A54-68F72F882D58}">
    <text>what does recovery rate means?</text>
  </threadedComment>
  <threadedComment ref="B44" dT="2025-10-02T10:08:08.77" personId="{4D9BE69F-A665-4781-85A1-D80CE12975BE}" id="{2D449900-D382-4EB0-BA58-4766E3FD155F}" parentId="{50444CC8-3A1A-4EB7-9A54-68F72F882D58}">
    <text>The proportion of usable, good-quality product that remains after harvesting, handling, and processing compared to the total originally harvested.</text>
  </threadedComment>
  <threadedComment ref="B45" dT="2025-10-01T10:34:15.94" personId="{02E52B62-B1FB-48C7-92A0-239BF5515333}" id="{419161D0-89D9-40A4-9BBB-BDBD80D36272}">
    <text>I understood the term transformation ration but I didn't get 4? e.g. if I put 1 kg of fresh mango how much dried mango I get?</text>
  </threadedComment>
  <threadedComment ref="B45" dT="2025-10-07T17:08:00.98" personId="{4D9BE69F-A665-4781-85A1-D80CE12975BE}" id="{6DD46E79-372E-41DE-A730-B7F32EF28C29}" parentId="{419161D0-89D9-40A4-9BBB-BDBD80D36272}">
    <text>I have added the link saying that It takes between 12 to 15 kg of fresh mangoes to produce 1 kg of dried fruit, although some estimates put the conversion rate closer to 10%. Then with 1 kg appying 10% outputs 0.1kg</text>
  </threadedComment>
  <threadedComment ref="B47" dT="2025-10-01T10:35:07.16" personId="{02E52B62-B1FB-48C7-92A0-239BF5515333}" id="{0AB6FBF4-C8E3-4369-A0FF-C50D8DD56783}">
    <text>please indicate the source of the price is there a portal which tracks these information and publish them?</text>
  </threadedComment>
  <threadedComment ref="B47" dT="2025-10-08T12:13:48.87" personId="{4D9BE69F-A665-4781-85A1-D80CE12975BE}" id="{EC2AE5A2-F180-4528-A79D-6738F5CF9422}" parentId="{0AB6FBF4-C8E3-4369-A0FF-C50D8DD56783}">
    <text>Alright</text>
  </threadedComment>
  <threadedComment ref="B49" dT="2025-10-01T10:35:33.38" personId="{02E52B62-B1FB-48C7-92A0-239BF5515333}" id="{E7B8C9EB-DDF3-4510-8AAA-AEA5B9437ECA}">
    <text>what is meant by campaign here?</text>
  </threadedComment>
  <threadedComment ref="B49" dT="2025-10-07T19:39:42.51" personId="{4D9BE69F-A665-4781-85A1-D80CE12975BE}" id="{B6176318-3029-497D-85FC-993F5BCF3B58}" parentId="{E7B8C9EB-DDF3-4510-8AAA-AEA5B9437ECA}">
    <text>It refers to the mango active harvesting season in Burkina.</text>
  </threadedComment>
  <threadedComment ref="A107" dT="2025-10-01T11:11:38.18" personId="{02E52B62-B1FB-48C7-92A0-239BF5515333}" id="{B24F0E4A-1782-4739-8599-C50F0D4C0E24}">
    <text>is there a calculation for 2 hectar?</text>
  </threadedComment>
  <threadedComment ref="A107" dT="2025-10-02T10:17:28.86" personId="{4D9BE69F-A665-4781-85A1-D80CE12975BE}" id="{37AFBEB7-3363-437F-AD10-7793D5D34752}" parentId="{B24F0E4A-1782-4739-8599-C50F0D4C0E24}">
    <text>I will include it.</text>
  </threadedComment>
  <threadedComment ref="C108" dT="2025-10-01T11:16:21.55" personId="{02E52B62-B1FB-48C7-92A0-239BF5515333}" id="{49BAD0B2-8887-4A5E-90C8-1F2C46A611EA}">
    <text xml:space="preserve">what is the source of this calculation?
</text>
  </threadedComment>
  <threadedComment ref="C108" dT="2025-10-02T10:23:37.00" personId="{4D9BE69F-A665-4781-85A1-D80CE12975BE}" id="{1A806684-2A50-4AC3-873D-F1D779C25CB8}" parentId="{49BAD0B2-8887-4A5E-90C8-1F2C46A611EA}">
    <text>Over 10000 kg per year 8000 kg is usable can pass through the drying process regarding the  recovery rate.</text>
  </threadedComment>
  <threadedComment ref="D108" dT="2025-10-01T11:16:37.72" personId="{02E52B62-B1FB-48C7-92A0-239BF5515333}" id="{F541040C-BEE0-41F7-A593-2E9D0DF678BE}">
    <text>how is this calculation made?</text>
  </threadedComment>
  <threadedComment ref="D108" dT="2025-10-02T09:33:49.25" personId="{4D9BE69F-A665-4781-85A1-D80CE12975BE}" id="{F2472D38-4B72-4044-B128-8E509FD706AE}" parentId="{F541040C-BEE0-41F7-A593-2E9D0DF678BE}">
    <text>I made a different file mentionning the formulas used accessible from the my homepage. I will ensure to include them into the excel sheet for easier understanding.</text>
  </threadedComment>
  <threadedComment ref="E108" dT="2025-10-01T11:18:47.45" personId="{02E52B62-B1FB-48C7-92A0-239BF5515333}" id="{C87ABDE0-E7AD-4415-B3C2-3E9FBAD8B851}">
    <text>why is this column increasing? is the price increasing per time?</text>
  </threadedComment>
  <threadedComment ref="E108" dT="2025-10-08T13:57:00.27" personId="{4D9BE69F-A665-4781-85A1-D80CE12975BE}" id="{6388A5A2-84E4-48D4-BC11-9EA9C172F915}" parentId="{C87ABDE0-E7AD-4415-B3C2-3E9FBAD8B851}">
    <text>I sincerely apologize,this was a mistake.</text>
  </threadedComment>
  <threadedComment ref="G108" dT="2025-10-01T11:20:43.34" personId="{02E52B62-B1FB-48C7-92A0-239BF5515333}" id="{494C4857-ABBC-4C45-8BD1-2C6D1D43D130}">
    <text>how is this value obtained? please use the formula mode in Excel e.g. =F46+E46*D47</text>
  </threadedComment>
  <threadedComment ref="G108" dT="2025-10-09T02:37:26.83" personId="{4D9BE69F-A665-4781-85A1-D80CE12975BE}" id="{C9D75337-9225-4595-A24C-AEE9A1EE966B}" parentId="{494C4857-ABBC-4C45-8BD1-2C6D1D43D130}">
    <text>I added it</text>
  </threadedComment>
  <threadedComment ref="B126" dT="2025-10-01T10:32:30.83" personId="{02E52B62-B1FB-48C7-92A0-239BF5515333}" id="{99BD3D61-D27B-470D-8267-ADEFB41103FA}">
    <text>where is the source of this value, report? study? historical data? or assumption</text>
  </threadedComment>
  <threadedComment ref="B126" dT="2025-10-02T09:59:59.62" personId="{4D9BE69F-A665-4781-85A1-D80CE12975BE}" id="{A809265B-3522-471B-8F46-9497DE2ADEB6}" parentId="{99BD3D61-D27B-470D-8267-ADEFB41103FA}">
    <text>https://www.researchgate.net/publication/242642925_The_mango_tree_in_central_and_northern_Benin_Cultivar_inventory_yield_assessment_infested_stages_and_loss_due_to_fruit_flies_Diptera_Tephritidae</text>
  </threadedComment>
  <threadedComment ref="B127" dT="2025-10-01T10:32:30.83" personId="{02E52B62-B1FB-48C7-92A0-239BF5515333}" id="{A109598C-6E0D-44D4-9A31-C6BC98670944}">
    <text>where is the source of this value, report? study? historical data? or assumption</text>
  </threadedComment>
  <threadedComment ref="B127" dT="2025-10-02T09:59:59.62" personId="{4D9BE69F-A665-4781-85A1-D80CE12975BE}" id="{DF4F3A04-DA2F-4FCD-90E1-EF6CB7F63637}" parentId="{A109598C-6E0D-44D4-9A31-C6BC98670944}">
    <text>https://www.researchgate.net/publication/242642925_The_mango_tree_in_central_and_northern_Benin_Cultivar_inventory_yield_assessment_infested_stages_and_loss_due_to_fruit_flies_Diptera_Tephritidae</text>
  </threadedComment>
  <threadedComment ref="B128" dT="2025-10-01T10:32:30.83" personId="{02E52B62-B1FB-48C7-92A0-239BF5515333}" id="{03629136-3E21-4272-91B8-C12A502B9740}">
    <text>where is the source of this value, report? study? historical data? or assumption</text>
  </threadedComment>
  <threadedComment ref="B128" dT="2025-10-02T09:59:59.62" personId="{4D9BE69F-A665-4781-85A1-D80CE12975BE}" id="{9E193CCC-6A75-427A-9213-E7ADF1103B7A}" parentId="{03629136-3E21-4272-91B8-C12A502B9740}">
    <text>https://www.researchgate.net/publication/242642925_The_mango_tree_in_central_and_northern_Benin_Cultivar_inventory_yield_assessment_infested_stages_and_loss_due_to_fruit_flies_Diptera_Tephritidae</text>
  </threadedComment>
  <threadedComment ref="B129" dT="2025-10-01T10:32:30.83" personId="{02E52B62-B1FB-48C7-92A0-239BF5515333}" id="{0D096C4A-BE4C-49A6-8F43-4BF236078598}">
    <text>where is the source of this value, report? study? historical data? or assumption</text>
  </threadedComment>
  <threadedComment ref="B129" dT="2025-10-02T09:59:59.62" personId="{4D9BE69F-A665-4781-85A1-D80CE12975BE}" id="{1A1382B2-64CE-4000-AA6A-0D36DDBB2F8A}" parentId="{0D096C4A-BE4C-49A6-8F43-4BF236078598}">
    <text>https://www.researchgate.net/publication/242642925_The_mango_tree_in_central_and_northern_Benin_Cultivar_inventory_yield_assessment_infested_stages_and_loss_due_to_fruit_flies_Diptera_Tephritidae</text>
  </threadedComment>
  <threadedComment ref="B130" dT="2025-10-01T10:32:30.83" personId="{02E52B62-B1FB-48C7-92A0-239BF5515333}" id="{256B4ED8-FB1A-452F-B930-81FD89425AA8}">
    <text>where is the source of this value, report? study? historical data? or assumption</text>
  </threadedComment>
  <threadedComment ref="B130" dT="2025-10-02T09:59:59.62" personId="{4D9BE69F-A665-4781-85A1-D80CE12975BE}" id="{DA8AF5F6-A7D7-40BF-891C-59110EDDE351}" parentId="{256B4ED8-FB1A-452F-B930-81FD89425AA8}">
    <text>https://www.researchgate.net/publication/242642925_The_mango_tree_in_central_and_northern_Benin_Cultivar_inventory_yield_assessment_infested_stages_and_loss_due_to_fruit_flies_Diptera_Tephritidae</text>
  </threadedComment>
</ThreadedComments>
</file>

<file path=xl/threadedComments/threadedComment6.xml><?xml version="1.0" encoding="utf-8"?>
<ThreadedComments xmlns="http://schemas.microsoft.com/office/spreadsheetml/2018/threadedcomments" xmlns:x="http://schemas.openxmlformats.org/spreadsheetml/2006/main">
  <threadedComment ref="C4" dT="2025-10-01T16:07:44.22" personId="{02E52B62-B1FB-48C7-92A0-239BF5515333}" id="{2057BC50-2FB4-4737-A9F7-799BCFC0BEE7}">
    <text>is this a small pump? would it be enough for the farm?</text>
  </threadedComment>
  <threadedComment ref="C4" dT="2025-11-28T09:30:19.99" personId="{4D9BE69F-A665-4781-85A1-D80CE12975BE}" id="{F0BF2B4D-4AC8-48FF-AF56-2393D17E2604}" parentId="{2057BC50-2FB4-4737-A9F7-799BCFC0BEE7}">
    <text>Just for the scenario</text>
  </threadedComment>
  <threadedComment ref="C5" dT="2025-10-01T16:08:05.67" personId="{02E52B62-B1FB-48C7-92A0-239BF5515333}" id="{C6353A66-E392-49DB-BFDF-8484511A7CC8}">
    <text>why did you assume that the pump is needed only for 4 hours?</text>
  </threadedComment>
  <threadedComment ref="B8" dT="2025-10-01T16:08:23.67" personId="{02E52B62-B1FB-48C7-92A0-239BF5515333}" id="{FD2D9EAE-BDCF-46E7-B61F-ABFAA18D7E3A}">
    <text>what is meant by Misc??</text>
  </threadedComment>
  <threadedComment ref="B8" dT="2025-11-28T09:29:32.75" personId="{4D9BE69F-A665-4781-85A1-D80CE12975BE}" id="{05031911-7FE0-4A93-B88D-E252FD4EE15A}" parentId="{FD2D9EAE-BDCF-46E7-B61F-ABFAA18D7E3A}">
    <text xml:space="preserve">used for Miscellaneous load </text>
  </threadedComment>
  <threadedComment ref="B12" dT="2025-10-01T16:08:52.58" personId="{02E52B62-B1FB-48C7-92A0-239BF5515333}" id="{FA25FB5E-137C-4583-81C6-699DC5C8F135}">
    <text>what does PSH stands for? could you explain?</text>
  </threadedComment>
  <threadedComment ref="B12" dT="2025-11-28T09:28:38.70" personId="{4D9BE69F-A665-4781-85A1-D80CE12975BE}" id="{D6623E76-D1F7-474D-B3BC-227468AC4BAF}" parentId="{FA25FB5E-137C-4583-81C6-699DC5C8F135}">
    <text>Peak Sun Hours: equivalent full-power sunlight hours</text>
  </threadedComment>
  <threadedComment ref="B15" dT="2025-10-01T16:09:38.99" personId="{02E52B62-B1FB-48C7-92A0-239BF5515333}" id="{976A7DD3-3766-4FAD-8D8E-E1D7EB52E343}">
    <text>what is meant by Derate?</text>
  </threadedComment>
  <threadedComment ref="B15" dT="2025-11-28T09:28:58.74" personId="{4D9BE69F-A665-4781-85A1-D80CE12975BE}" id="{97B27553-A705-4A93-94C3-287F96B98731}" parentId="{976A7DD3-3766-4FAD-8D8E-E1D7EB52E343}">
    <text>Overall PV system losses (heat, dust, cables)</text>
  </threadedComment>
  <threadedComment ref="B33" dT="2025-10-01T16:10:56.33" personId="{02E52B62-B1FB-48C7-92A0-239BF5515333}" id="{8A2FF993-3F77-4D6C-831C-0BC82BCA3533}">
    <text>please add the costs calculations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www.jains.com/Company/news/blog/HOWMUCHWATERDOESMYCROPNEEDPart2PerennialCrops1Mango.htm" TargetMode="External"/><Relationship Id="rId13" Type="http://schemas.openxmlformats.org/officeDocument/2006/relationships/hyperlink" Target="https://agritrop.cirad.fr/573091/1/document_573091.pdf" TargetMode="External"/><Relationship Id="rId18" Type="http://schemas.openxmlformats.org/officeDocument/2006/relationships/table" Target="../tables/table2.xml"/><Relationship Id="rId3" Type="http://schemas.openxmlformats.org/officeDocument/2006/relationships/hyperlink" Target="https://www.jains.com/Company/news/blog/HOWMUCHWATERDOESMYCROPNEEDPart2PerennialCrops1Mango.htm" TargetMode="External"/><Relationship Id="rId7" Type="http://schemas.openxmlformats.org/officeDocument/2006/relationships/hyperlink" Target="https://www.jains.com/Company/news/blog/HOWMUCHWATERDOESMYCROPNEEDPart2PerennialCrops1Mango.htm" TargetMode="External"/><Relationship Id="rId12" Type="http://schemas.openxmlformats.org/officeDocument/2006/relationships/hyperlink" Target="https://openknowledge.fao.org/server/api/core/bitstreams/849d2872-9429-46dd-a919-a9f99c197031/content" TargetMode="External"/><Relationship Id="rId17" Type="http://schemas.openxmlformats.org/officeDocument/2006/relationships/table" Target="../tables/table1.xml"/><Relationship Id="rId2" Type="http://schemas.openxmlformats.org/officeDocument/2006/relationships/hyperlink" Target="https://www.jains.com/Company/news/blog/HOWMUCHWATERDOESMYCROPNEEDPart2PerennialCrops1Mango.htm" TargetMode="External"/><Relationship Id="rId16" Type="http://schemas.openxmlformats.org/officeDocument/2006/relationships/vmlDrawing" Target="../drawings/vmlDrawing2.vml"/><Relationship Id="rId20" Type="http://schemas.microsoft.com/office/2017/10/relationships/threadedComment" Target="../threadedComments/threadedComment2.xml"/><Relationship Id="rId1" Type="http://schemas.openxmlformats.org/officeDocument/2006/relationships/hyperlink" Target="https://wikifarmer.com/library/en/article/mango-yield-harvest-and-post-harvest-handling" TargetMode="External"/><Relationship Id="rId6" Type="http://schemas.openxmlformats.org/officeDocument/2006/relationships/hyperlink" Target="https://wikifarmer.com/library/en/article/mango-yield-harvest-and-post-harvest-handling" TargetMode="External"/><Relationship Id="rId11" Type="http://schemas.openxmlformats.org/officeDocument/2006/relationships/hyperlink" Target="https://www.industry.mangoes.net.au/cmsb/media/6-bpr-final_choosing-tree-spacing_upload.pdf" TargetMode="External"/><Relationship Id="rId5" Type="http://schemas.openxmlformats.org/officeDocument/2006/relationships/hyperlink" Target="https://resources.colead.link/en/system/files/file_fields/2023/10/04/02-driedmangostudyweb.pdf" TargetMode="External"/><Relationship Id="rId15" Type="http://schemas.openxmlformats.org/officeDocument/2006/relationships/drawing" Target="../drawings/drawing1.xml"/><Relationship Id="rId10" Type="http://schemas.openxmlformats.org/officeDocument/2006/relationships/hyperlink" Target="https://iufost.org/iufostftp/Guide%20to%20Drying-Part1.pdf" TargetMode="External"/><Relationship Id="rId19" Type="http://schemas.openxmlformats.org/officeDocument/2006/relationships/comments" Target="../comments2.xml"/><Relationship Id="rId4" Type="http://schemas.openxmlformats.org/officeDocument/2006/relationships/hyperlink" Target="https://yearbook.mango.co.za/wp-content/uploads/2024/10/Pg-34-39-Tree-spacing-trends-and-options-for-yield-improvement-in-mango.pdf" TargetMode="External"/><Relationship Id="rId9" Type="http://schemas.openxmlformats.org/officeDocument/2006/relationships/hyperlink" Target="https://www.cbi.eu/market-information/processed-fruit-vegetables-edible-nuts/dried-mango/market-potential" TargetMode="External"/><Relationship Id="rId14" Type="http://schemas.openxmlformats.org/officeDocument/2006/relationships/hyperlink" Target="https://resources.colead.link/en/system/files/file_fields/2023/10/04/02-driedmangostudyweb.pdf" TargetMode="External"/></Relationships>
</file>

<file path=xl/worksheets/_rels/sheet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https://www.fao.org/land-water/databases-and-software/climwat-for-cropwat/en/" TargetMode="External"/><Relationship Id="rId7" Type="http://schemas.openxmlformats.org/officeDocument/2006/relationships/vmlDrawing" Target="../drawings/vmlDrawing3.vml"/><Relationship Id="rId2" Type="http://schemas.openxmlformats.org/officeDocument/2006/relationships/hyperlink" Target="https://www.agrhymet.ne/" TargetMode="External"/><Relationship Id="rId1" Type="http://schemas.openxmlformats.org/officeDocument/2006/relationships/hyperlink" Target="https://www.meteo.bf/" TargetMode="External"/><Relationship Id="rId6" Type="http://schemas.openxmlformats.org/officeDocument/2006/relationships/hyperlink" Target="https://www.ecowas.int/" TargetMode="External"/><Relationship Id="rId5" Type="http://schemas.openxmlformats.org/officeDocument/2006/relationships/hyperlink" Target="https://cilss.int/" TargetMode="External"/><Relationship Id="rId4" Type="http://schemas.openxmlformats.org/officeDocument/2006/relationships/hyperlink" Target="https://www.fao.org/3/x0490e/x0490e0i.htm" TargetMode="External"/><Relationship Id="rId9"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8" Type="http://schemas.openxmlformats.org/officeDocument/2006/relationships/hyperlink" Target="https://french.alibaba.com/product-detail/Fully-Automatic-Sewing-System-for-5kg-1601382006771.html?spm=a2700.7724857.0.0.4f792e39iK3YRi" TargetMode="External"/><Relationship Id="rId3" Type="http://schemas.openxmlformats.org/officeDocument/2006/relationships/hyperlink" Target="https://tianyulux.en.made-in-china.com/product/nQmUqyKjaCRE/China-Electronic-Scales-Full-Electric-Pallet-Truck-3ton-3t-Factory-Price.html?utm_source=bing&amp;utm_medium=cpc&amp;utm_content=X7869835&amp;utm_campaign=458476370&amp;adgroup=1176479439197572&amp;utm_term=&amp;mtp=be&amp;net=o&amp;dev=c&amp;loc=143066-&amp;msclkid=39ad3f3a7aae177b8691561fc2919366" TargetMode="External"/><Relationship Id="rId7" Type="http://schemas.openxmlformats.org/officeDocument/2006/relationships/hyperlink" Target="https://www.made-in-china.com/price/prodetail_Industrial-Plastic-Containers_lewxaQzAgjpd.html?utm_source=bing&amp;utm_medium=cpc&amp;utm_content=X7869835&amp;utm_campaign=458473113&amp;adgroup=1187474548030174&amp;utm_term=&amp;mtp=be&amp;net=o&amp;dev=c&amp;loc=143066-&amp;msclkid=bb656f65654b18bb3e630640d9a9df4e" TargetMode="External"/><Relationship Id="rId12" Type="http://schemas.microsoft.com/office/2017/10/relationships/threadedComment" Target="../threadedComments/threadedComment4.xml"/><Relationship Id="rId2" Type="http://schemas.openxmlformats.org/officeDocument/2006/relationships/hyperlink" Target="https://www.alibaba.com/product-detail/NP-Brand-Food-Dehydrators-for-Sale_1601274819369.html?spm=a2706.7843667.0.0.7f6a549481sKM5" TargetMode="External"/><Relationship Id="rId1" Type="http://schemas.openxmlformats.org/officeDocument/2006/relationships/hyperlink" Target="https://m.made-in-china.com/product/Lonkia-Turbo-Commercial-Mango-Peeler-High-Speed-Deskinning-2103944972.html?utm_source=chatgpt.com" TargetMode="External"/><Relationship Id="rId6" Type="http://schemas.openxmlformats.org/officeDocument/2006/relationships/hyperlink" Target="https://www.thomann.fr/tfa_thermo_hygrometer_comfort.htm" TargetMode="External"/><Relationship Id="rId11" Type="http://schemas.openxmlformats.org/officeDocument/2006/relationships/comments" Target="../comments4.xml"/><Relationship Id="rId5" Type="http://schemas.openxmlformats.org/officeDocument/2006/relationships/hyperlink" Target="https://fr.aliexpress.com/item/32988712048.html?spm=a2g0o.productlist.main.11.8ea68d96iyW78R&amp;algo_pvid=cb1ddbd5-59cd-4d90-b39a-a427385b19c3&amp;algo_exp_id=cb1ddbd5-59cd-4d90-b39a-a427385b19c3-10&amp;pdp_ext_f=%7B%22order%22%3A%2216%22%2C%22eval%22%3A%221%22%2C%22fromPage%22%3A%22search%22%7D&amp;pdp_npi=6%40dis%21XOF%218526%213836%21%21%2113.38%216.02%21%402101584917640804744663285e3abe%2112000030255307868%21sea%21BF%210%21ABX%211%210%21n_tag%3A-29910%3Bd%3A4214eca8%3Bm03_new_user%3A-29895&amp;curPageLogUid=JL9QyoTsT19q&amp;utparam-url=scene%3Asearch%7Cquery_from%3A%7Cx_object_id%3A32988712048%7C_p_origin_prod%3A&amp;_gl=1*1ub12lw*_gcl_au*MjAyNzk0MDQ2MS4xNzY0MDgwNDgw*_ga*MTQxNzAwOTUwNC4xNzUwMDgzODE3*_ga_VED1YSGNC7*czE3NjQwODA0ODEkbzQkZzAkdDE3NjQwODA0ODEkajYwJGwwJGgw" TargetMode="External"/><Relationship Id="rId10" Type="http://schemas.openxmlformats.org/officeDocument/2006/relationships/vmlDrawing" Target="../drawings/vmlDrawing4.vml"/><Relationship Id="rId4" Type="http://schemas.openxmlformats.org/officeDocument/2006/relationships/hyperlink" Target="https://www.webstaurantstore.com/regency-30-x-72-18-gauge-304-stainless-steel-commercial-work-table-with-galvanized-legs-and-undershelf/600T3072G.html" TargetMode="External"/><Relationship Id="rId9" Type="http://schemas.openxmlformats.org/officeDocument/2006/relationships/hyperlink" Target="https://www.amazon.fr/dp/B0CLM3XV9D/ref=sspa_dk_detail_0?psc=1&amp;pd_rd_i=B0CLM3XV9D&amp;pd_rd_w=YxyUj&amp;content-id=amzn1.sym.d28e3d6a-4412-4be7-a4f8-1c4a85ce86d9&amp;pf_rd_p=d28e3d6a-4412-4be7-a4f8-1c4a85ce86d9&amp;pf_rd_r=JX22ZZAYXE6CP9GMX6F0&amp;pd_rd_wg=KjhAs&amp;pd_rd_r=8d933c3c-8c7b-440d-b0fc-230485b7c8cb&amp;aref=KiIDs7M4r8&amp;sp_csd=d2lkZ2V0TmFtZT1zcF9kZXRhaWw" TargetMode="External"/></Relationships>
</file>

<file path=xl/worksheets/_rels/sheet5.xml.rels><?xml version="1.0" encoding="UTF-8" standalone="yes"?>
<Relationships xmlns="http://schemas.openxmlformats.org/package/2006/relationships"><Relationship Id="rId8" Type="http://schemas.openxmlformats.org/officeDocument/2006/relationships/table" Target="../tables/table4.xml"/><Relationship Id="rId13" Type="http://schemas.microsoft.com/office/2017/10/relationships/threadedComment" Target="../threadedComments/threadedComment5.xml"/><Relationship Id="rId3" Type="http://schemas.openxmlformats.org/officeDocument/2006/relationships/hyperlink" Target="https://www.gebana.com/eu-en/dried-fruits-mangos-amelie-bio-burkina-faso-quantity" TargetMode="External"/><Relationship Id="rId7" Type="http://schemas.openxmlformats.org/officeDocument/2006/relationships/table" Target="../tables/table3.xml"/><Relationship Id="rId12" Type="http://schemas.openxmlformats.org/officeDocument/2006/relationships/comments" Target="../comments5.xml"/><Relationship Id="rId2" Type="http://schemas.openxmlformats.org/officeDocument/2006/relationships/hyperlink" Target="https://www.cbi.eu/market-information/processed-fruit-vegetables-edible-nuts/dried-mango/market-potential" TargetMode="External"/><Relationship Id="rId1" Type="http://schemas.openxmlformats.org/officeDocument/2006/relationships/hyperlink" Target="https://www.researchgate.net/publication/242642925_The_mango_tree_in_central_and_northern_Benin_Cultivar_inventory_yield_assessment_infested_stages_and_loss_due_to_fruit_flies_Diptera_Tephritidae" TargetMode="External"/><Relationship Id="rId6" Type="http://schemas.openxmlformats.org/officeDocument/2006/relationships/vmlDrawing" Target="../drawings/vmlDrawing5.vml"/><Relationship Id="rId11" Type="http://schemas.openxmlformats.org/officeDocument/2006/relationships/table" Target="../tables/table7.xml"/><Relationship Id="rId5" Type="http://schemas.openxmlformats.org/officeDocument/2006/relationships/hyperlink" Target="https://www.researchgate.net/publication/376603746_POTENTIAL_AVAILABILITY_OF_MANGO_BY-PRODUCTS_IN_THE_BOBO-DIOULASSO_AND_ORODARA_AREAS_OF_BURKINA_FASO_ASSESSMENT_OF_THE_QUANTITIES_OF_MANGO_BY-PRODUCTS_AND_MANGO_FEED_PRODUCIBLE_FOR_RUMINANTS" TargetMode="External"/><Relationship Id="rId10" Type="http://schemas.openxmlformats.org/officeDocument/2006/relationships/table" Target="../tables/table6.xml"/><Relationship Id="rId4" Type="http://schemas.openxmlformats.org/officeDocument/2006/relationships/hyperlink" Target="https://thaiscience.info/Journals/Article/SNRU/10997761.pdf" TargetMode="External"/><Relationship Id="rId9"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hyperlink" Target="https://huggingface.co/" TargetMode="External"/><Relationship Id="rId7" Type="http://schemas.openxmlformats.org/officeDocument/2006/relationships/table" Target="../tables/table9.xml"/><Relationship Id="rId2" Type="http://schemas.openxmlformats.org/officeDocument/2006/relationships/hyperlink" Target="https://ai4d.ai/" TargetMode="External"/><Relationship Id="rId1" Type="http://schemas.openxmlformats.org/officeDocument/2006/relationships/hyperlink" Target="https://www.upwork.com/" TargetMode="External"/><Relationship Id="rId6" Type="http://schemas.openxmlformats.org/officeDocument/2006/relationships/table" Target="../tables/table8.xml"/><Relationship Id="rId5" Type="http://schemas.openxmlformats.org/officeDocument/2006/relationships/hyperlink" Target="https://www.apibf.bf/" TargetMode="External"/><Relationship Id="rId4" Type="http://schemas.openxmlformats.org/officeDocument/2006/relationships/hyperlink" Target="https://cloud.google.com/" TargetMode="Externa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9"/>
  <sheetViews>
    <sheetView topLeftCell="A15" workbookViewId="0">
      <selection activeCell="D87" sqref="D87"/>
    </sheetView>
  </sheetViews>
  <sheetFormatPr defaultRowHeight="15"/>
  <cols>
    <col min="1" max="1" width="49.140625" bestFit="1" customWidth="1"/>
    <col min="2" max="2" width="37.5703125" bestFit="1" customWidth="1"/>
    <col min="3" max="3" width="38.140625" bestFit="1" customWidth="1"/>
    <col min="4" max="4" width="38.85546875" bestFit="1" customWidth="1"/>
    <col min="5" max="5" width="58.85546875" bestFit="1" customWidth="1"/>
    <col min="6" max="6" width="11.7109375" bestFit="1" customWidth="1"/>
    <col min="8" max="8" width="25.85546875" bestFit="1" customWidth="1"/>
    <col min="9" max="9" width="14.140625" customWidth="1"/>
  </cols>
  <sheetData>
    <row r="1" spans="1:18" ht="15" customHeight="1">
      <c r="A1" s="686" t="s">
        <v>0</v>
      </c>
      <c r="B1" s="686"/>
      <c r="C1" s="686"/>
      <c r="D1" s="686"/>
      <c r="E1" s="686"/>
      <c r="F1" s="686"/>
      <c r="G1" s="686"/>
      <c r="H1" s="686"/>
      <c r="J1" s="48"/>
      <c r="K1" s="48"/>
      <c r="L1" s="48"/>
      <c r="M1" s="48"/>
      <c r="N1" s="48"/>
      <c r="O1" s="48"/>
      <c r="P1" s="48"/>
      <c r="Q1" s="48"/>
      <c r="R1" s="48"/>
    </row>
    <row r="2" spans="1:18" ht="31.5" customHeight="1">
      <c r="A2" s="686"/>
      <c r="B2" s="686"/>
      <c r="C2" s="686"/>
      <c r="D2" s="686"/>
      <c r="E2" s="686"/>
      <c r="F2" s="686"/>
      <c r="G2" s="686"/>
      <c r="H2" s="686"/>
      <c r="J2" s="48"/>
      <c r="K2" s="48"/>
      <c r="L2" s="48"/>
      <c r="M2" s="48"/>
      <c r="N2" s="48"/>
      <c r="O2" s="48"/>
      <c r="P2" s="48"/>
      <c r="Q2" s="48"/>
      <c r="R2" s="48"/>
    </row>
    <row r="3" spans="1:18">
      <c r="A3" s="19"/>
      <c r="B3" s="19"/>
      <c r="C3" s="19"/>
      <c r="D3" s="19"/>
      <c r="E3" s="19"/>
      <c r="F3" s="48"/>
      <c r="G3" s="48"/>
      <c r="H3" s="48"/>
      <c r="I3" s="48"/>
      <c r="J3" s="48"/>
      <c r="K3" s="48"/>
      <c r="L3" s="48"/>
      <c r="M3" s="48"/>
      <c r="N3" s="48"/>
      <c r="O3" s="48"/>
      <c r="P3" s="48"/>
      <c r="Q3" s="48"/>
      <c r="R3" s="48"/>
    </row>
    <row r="4" spans="1:18">
      <c r="A4" s="19"/>
      <c r="B4" s="19"/>
      <c r="C4" s="19"/>
      <c r="D4" s="19"/>
      <c r="E4" s="19"/>
      <c r="F4" s="48"/>
      <c r="G4" s="48"/>
      <c r="H4" s="48"/>
      <c r="I4" s="48"/>
      <c r="J4" s="48"/>
      <c r="K4" s="48"/>
      <c r="L4" s="48"/>
      <c r="M4" s="48"/>
      <c r="N4" s="48"/>
      <c r="O4" s="48"/>
      <c r="P4" s="48"/>
      <c r="Q4" s="48"/>
      <c r="R4" s="48"/>
    </row>
    <row r="5" spans="1:18">
      <c r="A5" s="19"/>
      <c r="B5" s="19"/>
      <c r="C5" s="19"/>
      <c r="D5" s="19"/>
      <c r="E5" s="19"/>
      <c r="F5" s="48"/>
      <c r="G5" s="48"/>
      <c r="H5" s="48"/>
      <c r="I5" s="48"/>
      <c r="J5" s="48"/>
      <c r="K5" s="48"/>
      <c r="L5" s="48"/>
      <c r="M5" s="48"/>
      <c r="N5" s="48"/>
      <c r="O5" s="48"/>
      <c r="P5" s="48"/>
      <c r="Q5" s="48"/>
      <c r="R5" s="48"/>
    </row>
    <row r="6" spans="1:18">
      <c r="A6" s="19"/>
      <c r="B6" s="19"/>
      <c r="C6" s="19"/>
      <c r="D6" s="19"/>
      <c r="E6" s="19"/>
      <c r="F6" s="48"/>
      <c r="G6" s="48"/>
      <c r="H6" s="48"/>
      <c r="I6" s="48"/>
      <c r="J6" s="48"/>
      <c r="K6" s="48"/>
      <c r="L6" s="48"/>
      <c r="M6" s="48"/>
      <c r="N6" s="48"/>
      <c r="O6" s="48"/>
      <c r="P6" s="48"/>
      <c r="Q6" s="48"/>
      <c r="R6" s="48"/>
    </row>
    <row r="7" spans="1:18" ht="18.75">
      <c r="A7" s="682" t="s">
        <v>1</v>
      </c>
      <c r="B7" s="682"/>
      <c r="C7" s="683">
        <v>655</v>
      </c>
      <c r="D7" s="76"/>
      <c r="E7" s="76"/>
      <c r="F7" s="48"/>
      <c r="G7" s="48"/>
      <c r="H7" s="48"/>
      <c r="I7" s="48"/>
      <c r="J7" s="48"/>
      <c r="K7" s="48"/>
      <c r="L7" s="48"/>
      <c r="M7" s="48"/>
      <c r="N7" s="48"/>
      <c r="O7" s="48"/>
      <c r="P7" s="48"/>
      <c r="Q7" s="48"/>
      <c r="R7" s="48"/>
    </row>
    <row r="8" spans="1:18" ht="18.75">
      <c r="A8" s="682"/>
      <c r="B8" s="682"/>
      <c r="C8" s="683"/>
      <c r="D8" s="76"/>
      <c r="E8" s="76"/>
      <c r="F8" s="48"/>
      <c r="G8" s="48"/>
      <c r="H8" s="48"/>
      <c r="I8" s="48"/>
      <c r="J8" s="48"/>
      <c r="K8" s="48"/>
      <c r="L8" s="48"/>
      <c r="M8" s="48"/>
      <c r="N8" s="48"/>
      <c r="O8" s="48"/>
      <c r="P8" s="48"/>
      <c r="Q8" s="48"/>
      <c r="R8" s="48"/>
    </row>
    <row r="9" spans="1:18" ht="18.75">
      <c r="A9" s="684" t="s">
        <v>2</v>
      </c>
      <c r="B9" s="684"/>
      <c r="C9" s="343">
        <v>1600</v>
      </c>
      <c r="D9" s="76"/>
      <c r="E9" s="76"/>
      <c r="F9" s="48"/>
      <c r="G9" s="48"/>
      <c r="H9" s="48"/>
      <c r="I9" s="48"/>
      <c r="J9" s="48"/>
      <c r="K9" s="48"/>
      <c r="L9" s="48"/>
      <c r="M9" s="48"/>
      <c r="N9" s="48"/>
      <c r="O9" s="48"/>
      <c r="P9" s="48"/>
      <c r="Q9" s="48"/>
      <c r="R9" s="48"/>
    </row>
    <row r="10" spans="1:18" ht="18.75">
      <c r="A10" s="319"/>
      <c r="B10" s="319"/>
      <c r="C10" s="319"/>
      <c r="D10" s="76"/>
      <c r="E10" s="76"/>
      <c r="F10" s="48"/>
      <c r="G10" s="48"/>
      <c r="H10" s="48"/>
      <c r="I10" s="48"/>
      <c r="J10" s="48"/>
      <c r="K10" s="48"/>
      <c r="L10" s="48"/>
      <c r="M10" s="48"/>
      <c r="N10" s="48"/>
      <c r="O10" s="48"/>
      <c r="P10" s="48"/>
      <c r="Q10" s="48"/>
      <c r="R10" s="48"/>
    </row>
    <row r="11" spans="1:18" ht="18.75">
      <c r="A11" s="76"/>
      <c r="B11" s="76"/>
      <c r="C11" s="76"/>
      <c r="D11" s="76"/>
      <c r="E11" s="76"/>
      <c r="F11" s="48"/>
      <c r="G11" s="48"/>
      <c r="H11" s="685"/>
      <c r="I11" s="685"/>
      <c r="J11" s="48"/>
      <c r="K11" s="48"/>
      <c r="L11" s="48"/>
      <c r="M11" s="48"/>
      <c r="N11" s="48"/>
      <c r="O11" s="48"/>
      <c r="P11" s="48"/>
      <c r="Q11" s="48"/>
      <c r="R11" s="48"/>
    </row>
    <row r="12" spans="1:18" ht="18.75">
      <c r="A12" s="76"/>
      <c r="B12" s="76"/>
      <c r="C12" s="76"/>
      <c r="D12" s="76"/>
      <c r="E12" s="76"/>
      <c r="F12" s="48"/>
      <c r="G12" s="48"/>
      <c r="H12" s="48"/>
      <c r="I12" s="48"/>
      <c r="J12" s="48"/>
      <c r="K12" s="48"/>
      <c r="L12" s="48"/>
      <c r="M12" s="48"/>
      <c r="N12" s="48"/>
      <c r="O12" s="48"/>
      <c r="P12" s="48"/>
      <c r="Q12" s="48"/>
      <c r="R12" s="48"/>
    </row>
    <row r="13" spans="1:18" ht="15" customHeight="1">
      <c r="A13" s="76"/>
      <c r="B13" s="679" t="s">
        <v>3</v>
      </c>
      <c r="C13" s="679" t="s">
        <v>4</v>
      </c>
      <c r="D13" s="680"/>
      <c r="E13" s="680"/>
      <c r="F13" s="681"/>
      <c r="G13" s="681"/>
      <c r="H13" s="48"/>
      <c r="I13" s="48"/>
      <c r="J13" s="48"/>
      <c r="K13" s="48"/>
      <c r="L13" s="48"/>
      <c r="M13" s="48"/>
      <c r="N13" s="48"/>
      <c r="O13" s="48"/>
      <c r="P13" s="48"/>
      <c r="Q13" s="48"/>
      <c r="R13" s="48"/>
    </row>
    <row r="14" spans="1:18" ht="15" customHeight="1">
      <c r="A14" s="76"/>
      <c r="B14" s="679"/>
      <c r="C14" s="679"/>
      <c r="D14" s="680"/>
      <c r="E14" s="680"/>
      <c r="F14" s="681"/>
      <c r="G14" s="681"/>
      <c r="H14" s="48"/>
      <c r="I14" s="48"/>
      <c r="J14" s="48"/>
      <c r="K14" s="48"/>
      <c r="L14" s="48"/>
      <c r="M14" s="48"/>
      <c r="N14" s="48"/>
      <c r="O14" s="48"/>
      <c r="P14" s="48"/>
      <c r="Q14" s="48"/>
      <c r="R14" s="48"/>
    </row>
    <row r="15" spans="1:18" ht="18.75">
      <c r="A15" s="344" t="s">
        <v>5</v>
      </c>
      <c r="B15" s="346" t="s">
        <v>6</v>
      </c>
      <c r="C15" s="320" t="s">
        <v>7</v>
      </c>
      <c r="D15" s="321"/>
      <c r="E15" s="239"/>
      <c r="F15" s="676"/>
      <c r="G15" s="676"/>
      <c r="H15" s="48"/>
      <c r="I15" s="48"/>
      <c r="J15" s="48"/>
      <c r="K15" s="48"/>
      <c r="L15" s="48"/>
      <c r="M15" s="48"/>
      <c r="N15" s="48"/>
      <c r="O15" s="48"/>
      <c r="P15" s="48"/>
      <c r="Q15" s="48"/>
      <c r="R15" s="48"/>
    </row>
    <row r="16" spans="1:18" ht="18.75">
      <c r="A16" s="344" t="s">
        <v>8</v>
      </c>
      <c r="B16" s="346">
        <v>2</v>
      </c>
      <c r="C16" s="320">
        <v>2</v>
      </c>
      <c r="D16" s="321"/>
      <c r="E16" s="239"/>
      <c r="F16" s="676"/>
      <c r="G16" s="676"/>
      <c r="H16" s="48"/>
      <c r="I16" s="48"/>
      <c r="J16" s="48"/>
      <c r="K16" s="48"/>
      <c r="L16" s="48"/>
      <c r="M16" s="48"/>
      <c r="N16" s="48"/>
      <c r="O16" s="48"/>
      <c r="P16" s="48"/>
      <c r="Q16" s="48"/>
      <c r="R16" s="48"/>
    </row>
    <row r="17" spans="1:18" ht="18.75">
      <c r="A17" s="345" t="s">
        <v>9</v>
      </c>
      <c r="B17" s="347" t="s">
        <v>10</v>
      </c>
      <c r="C17" s="322">
        <v>65597254</v>
      </c>
      <c r="D17" s="323"/>
      <c r="E17" s="324"/>
      <c r="F17" s="52"/>
      <c r="G17" s="53"/>
      <c r="H17" s="49"/>
      <c r="I17" s="49"/>
      <c r="J17" s="48"/>
      <c r="K17" s="48"/>
      <c r="L17" s="48"/>
      <c r="M17" s="48"/>
      <c r="N17" s="48"/>
      <c r="O17" s="48"/>
      <c r="P17" s="48"/>
      <c r="Q17" s="48"/>
      <c r="R17" s="48"/>
    </row>
    <row r="18" spans="1:18" ht="21" customHeight="1">
      <c r="A18" s="345" t="s">
        <v>11</v>
      </c>
      <c r="B18" s="347" t="s">
        <v>10</v>
      </c>
      <c r="C18" s="322">
        <f>D73+D81+D87+D91+D95+D99+D106</f>
        <v>100059.34</v>
      </c>
      <c r="D18" s="321"/>
      <c r="E18" s="239"/>
      <c r="F18" s="677"/>
      <c r="G18" s="677"/>
      <c r="H18" s="48"/>
      <c r="I18" s="48"/>
      <c r="J18" s="48"/>
      <c r="K18" s="48"/>
      <c r="L18" s="48"/>
      <c r="M18" s="48"/>
      <c r="N18" s="48"/>
      <c r="O18" s="48"/>
      <c r="P18" s="48"/>
      <c r="Q18" s="48"/>
      <c r="R18" s="48"/>
    </row>
    <row r="19" spans="1:18" ht="18.75">
      <c r="A19" s="325"/>
      <c r="B19" s="76"/>
      <c r="C19" s="76"/>
      <c r="D19" s="76"/>
      <c r="E19" s="76"/>
      <c r="F19" s="48"/>
      <c r="G19" s="48"/>
      <c r="H19" s="48"/>
      <c r="I19" s="48"/>
      <c r="J19" s="48"/>
      <c r="K19" s="48"/>
      <c r="L19" s="48"/>
      <c r="M19" s="48"/>
      <c r="N19" s="48"/>
      <c r="O19" s="48"/>
      <c r="P19" s="48"/>
      <c r="Q19" s="48"/>
      <c r="R19" s="48"/>
    </row>
    <row r="20" spans="1:18" ht="18.75">
      <c r="A20" s="326" t="s">
        <v>12</v>
      </c>
      <c r="B20" s="76"/>
      <c r="C20" s="76"/>
      <c r="D20" s="76"/>
      <c r="E20" s="76"/>
      <c r="F20" s="48"/>
      <c r="G20" s="48"/>
      <c r="H20" s="48"/>
      <c r="I20" s="48"/>
      <c r="J20" s="48"/>
      <c r="K20" s="48"/>
      <c r="L20" s="48"/>
      <c r="M20" s="48"/>
      <c r="N20" s="50"/>
      <c r="O20" s="50"/>
      <c r="P20" s="50"/>
      <c r="Q20" s="50"/>
      <c r="R20" s="50"/>
    </row>
    <row r="21" spans="1:18" ht="18.75">
      <c r="A21" s="76"/>
      <c r="B21" s="76"/>
      <c r="C21" s="76"/>
      <c r="D21" s="76"/>
      <c r="E21" s="327"/>
      <c r="F21" s="48"/>
      <c r="G21" s="48"/>
      <c r="H21" s="48"/>
      <c r="I21" s="48"/>
      <c r="J21" s="48"/>
      <c r="K21" s="48"/>
      <c r="L21" s="48"/>
      <c r="M21" s="48"/>
      <c r="N21" s="50"/>
      <c r="O21" s="50"/>
      <c r="P21" s="50"/>
      <c r="Q21" s="50"/>
      <c r="R21" s="50"/>
    </row>
    <row r="22" spans="1:18" ht="18.75">
      <c r="A22" s="348" t="s">
        <v>3</v>
      </c>
      <c r="B22" s="678" t="s">
        <v>13</v>
      </c>
      <c r="C22" s="678"/>
      <c r="D22" s="678"/>
      <c r="E22" s="678"/>
      <c r="F22" s="49"/>
      <c r="G22" s="49"/>
      <c r="H22" s="49"/>
      <c r="I22" s="49"/>
      <c r="J22" s="49"/>
      <c r="K22" s="49"/>
      <c r="L22" s="49"/>
      <c r="M22" s="49"/>
      <c r="N22" s="50"/>
      <c r="O22" s="50"/>
      <c r="P22" s="50"/>
      <c r="Q22" s="50"/>
      <c r="R22" s="50"/>
    </row>
    <row r="23" spans="1:18" ht="18.75">
      <c r="A23" s="348" t="s">
        <v>4</v>
      </c>
      <c r="B23" s="678" t="s">
        <v>14</v>
      </c>
      <c r="C23" s="678"/>
      <c r="D23" s="678"/>
      <c r="E23" s="678"/>
      <c r="F23" s="49"/>
      <c r="G23" s="49"/>
      <c r="H23" s="49"/>
      <c r="I23" s="49"/>
      <c r="J23" s="49"/>
      <c r="K23" s="49"/>
      <c r="L23" s="49"/>
      <c r="M23" s="49"/>
      <c r="N23" s="50"/>
      <c r="O23" s="50"/>
      <c r="P23" s="50"/>
      <c r="Q23" s="50"/>
      <c r="R23" s="50"/>
    </row>
    <row r="24" spans="1:18" ht="18.75">
      <c r="A24" s="325"/>
      <c r="B24" s="76"/>
      <c r="C24" s="76"/>
      <c r="D24" s="76"/>
      <c r="E24" s="76"/>
      <c r="F24" s="48"/>
      <c r="G24" s="48"/>
      <c r="H24" s="48"/>
      <c r="I24" s="48"/>
      <c r="J24" s="48"/>
      <c r="K24" s="48"/>
      <c r="L24" s="48"/>
      <c r="M24" s="48"/>
      <c r="N24" s="48"/>
      <c r="O24" s="48"/>
      <c r="P24" s="48"/>
      <c r="Q24" s="48"/>
      <c r="R24" s="48"/>
    </row>
    <row r="25" spans="1:18" ht="18.75">
      <c r="A25" s="76"/>
      <c r="B25" s="76"/>
      <c r="C25" s="76"/>
      <c r="D25" s="76"/>
      <c r="E25" s="76"/>
      <c r="F25" s="48"/>
      <c r="G25" s="48"/>
      <c r="H25" s="48"/>
      <c r="I25" s="48"/>
      <c r="J25" s="48"/>
      <c r="K25" s="48"/>
      <c r="L25" s="48"/>
      <c r="M25" s="48"/>
      <c r="N25" s="48"/>
      <c r="O25" s="48"/>
      <c r="P25" s="48"/>
      <c r="Q25" s="48"/>
      <c r="R25" s="48"/>
    </row>
    <row r="26" spans="1:18">
      <c r="A26" s="672" t="s">
        <v>15</v>
      </c>
      <c r="B26" s="672"/>
      <c r="C26" s="672"/>
      <c r="D26" s="672"/>
      <c r="E26" s="672"/>
      <c r="F26" s="673"/>
      <c r="G26" s="673" t="s">
        <v>16</v>
      </c>
      <c r="H26" s="673"/>
      <c r="I26" s="673"/>
      <c r="J26" s="673"/>
      <c r="K26" s="673"/>
      <c r="L26" s="673"/>
      <c r="M26" s="673"/>
      <c r="N26" s="673"/>
      <c r="O26" s="673"/>
      <c r="P26" s="673"/>
      <c r="Q26" s="673"/>
      <c r="R26" s="673"/>
    </row>
    <row r="27" spans="1:18">
      <c r="A27" s="674"/>
      <c r="B27" s="674"/>
      <c r="C27" s="674"/>
      <c r="D27" s="674"/>
      <c r="E27" s="674"/>
      <c r="F27" s="675"/>
      <c r="G27" s="673"/>
      <c r="H27" s="673"/>
      <c r="I27" s="673"/>
      <c r="J27" s="673"/>
      <c r="K27" s="673"/>
      <c r="L27" s="673"/>
      <c r="M27" s="673"/>
      <c r="N27" s="673"/>
      <c r="O27" s="673"/>
      <c r="P27" s="673"/>
      <c r="Q27" s="673"/>
      <c r="R27" s="673"/>
    </row>
    <row r="28" spans="1:18" ht="15.75">
      <c r="A28" s="687" t="s">
        <v>17</v>
      </c>
      <c r="B28" s="687"/>
      <c r="C28" s="687"/>
      <c r="D28" s="687"/>
      <c r="E28" s="687"/>
      <c r="F28" s="688"/>
      <c r="G28" s="689" t="s">
        <v>18</v>
      </c>
      <c r="H28" s="690"/>
      <c r="I28" s="690"/>
      <c r="J28" s="690"/>
      <c r="K28" s="690"/>
      <c r="L28" s="690"/>
      <c r="M28" s="690"/>
      <c r="N28" s="690"/>
      <c r="O28" s="690"/>
      <c r="P28" s="690"/>
      <c r="Q28" s="690"/>
      <c r="R28" s="690"/>
    </row>
    <row r="29" spans="1:18">
      <c r="A29" s="687"/>
      <c r="B29" s="687"/>
      <c r="C29" s="687"/>
      <c r="D29" s="687"/>
      <c r="E29" s="687"/>
      <c r="F29" s="688"/>
      <c r="G29" s="691" t="s">
        <v>19</v>
      </c>
      <c r="H29" s="692"/>
      <c r="I29" s="692"/>
      <c r="J29" s="692"/>
      <c r="K29" s="692"/>
      <c r="L29" s="692"/>
      <c r="M29" s="692"/>
      <c r="N29" s="692"/>
      <c r="O29" s="692"/>
      <c r="P29" s="692"/>
      <c r="Q29" s="692"/>
      <c r="R29" s="692"/>
    </row>
    <row r="30" spans="1:18" ht="18" customHeight="1">
      <c r="A30" s="687" t="s">
        <v>20</v>
      </c>
      <c r="B30" s="687"/>
      <c r="C30" s="687"/>
      <c r="D30" s="687"/>
      <c r="E30" s="687"/>
      <c r="F30" s="688"/>
      <c r="G30" s="689" t="s">
        <v>21</v>
      </c>
      <c r="H30" s="690"/>
      <c r="I30" s="690"/>
      <c r="J30" s="690"/>
      <c r="K30" s="690"/>
      <c r="L30" s="690"/>
      <c r="M30" s="690"/>
      <c r="N30" s="690"/>
      <c r="O30" s="690"/>
      <c r="P30" s="690"/>
      <c r="Q30" s="690"/>
      <c r="R30" s="690"/>
    </row>
    <row r="31" spans="1:18" ht="19.5" customHeight="1">
      <c r="A31" s="687" t="s">
        <v>22</v>
      </c>
      <c r="B31" s="687"/>
      <c r="C31" s="687"/>
      <c r="D31" s="687"/>
      <c r="E31" s="687"/>
      <c r="F31" s="688"/>
      <c r="G31" s="693" t="s">
        <v>23</v>
      </c>
      <c r="H31" s="694"/>
      <c r="I31" s="694"/>
      <c r="J31" s="694"/>
      <c r="K31" s="694"/>
      <c r="L31" s="694"/>
      <c r="M31" s="694"/>
      <c r="N31" s="694"/>
      <c r="O31" s="694"/>
      <c r="P31" s="694"/>
      <c r="Q31" s="694"/>
      <c r="R31" s="694"/>
    </row>
    <row r="32" spans="1:18" ht="15.75" customHeight="1">
      <c r="A32" s="687" t="s">
        <v>24</v>
      </c>
      <c r="B32" s="687"/>
      <c r="C32" s="687"/>
      <c r="D32" s="687"/>
      <c r="E32" s="687"/>
      <c r="F32" s="688"/>
      <c r="G32" s="695" t="s">
        <v>25</v>
      </c>
      <c r="H32" s="696"/>
      <c r="I32" s="696"/>
      <c r="J32" s="696"/>
      <c r="K32" s="696"/>
      <c r="L32" s="696"/>
      <c r="M32" s="696"/>
      <c r="N32" s="696"/>
      <c r="O32" s="696"/>
      <c r="P32" s="696"/>
      <c r="Q32" s="696"/>
      <c r="R32" s="696"/>
    </row>
    <row r="33" spans="1:18" ht="20.25" customHeight="1">
      <c r="A33" s="687" t="s">
        <v>26</v>
      </c>
      <c r="B33" s="687"/>
      <c r="C33" s="687"/>
      <c r="D33" s="687"/>
      <c r="E33" s="687"/>
      <c r="F33" s="688"/>
      <c r="G33" s="689" t="s">
        <v>27</v>
      </c>
      <c r="H33" s="690"/>
      <c r="I33" s="690"/>
      <c r="J33" s="690"/>
      <c r="K33" s="690"/>
      <c r="L33" s="690"/>
      <c r="M33" s="690"/>
      <c r="N33" s="690"/>
      <c r="O33" s="690"/>
      <c r="P33" s="690"/>
      <c r="Q33" s="690"/>
      <c r="R33" s="690"/>
    </row>
    <row r="34" spans="1:18" ht="18.75">
      <c r="A34" s="698" t="s">
        <v>28</v>
      </c>
      <c r="B34" s="698"/>
      <c r="C34" s="698"/>
      <c r="D34" s="698"/>
      <c r="E34" s="698"/>
      <c r="F34" s="699"/>
      <c r="G34" s="689" t="s">
        <v>29</v>
      </c>
      <c r="H34" s="690"/>
      <c r="I34" s="690"/>
      <c r="J34" s="690"/>
      <c r="K34" s="690"/>
      <c r="L34" s="690"/>
      <c r="M34" s="690"/>
      <c r="N34" s="690"/>
      <c r="O34" s="690"/>
      <c r="P34" s="690"/>
      <c r="Q34" s="690"/>
      <c r="R34" s="690"/>
    </row>
    <row r="35" spans="1:18" ht="18.75">
      <c r="A35" s="687" t="s">
        <v>30</v>
      </c>
      <c r="B35" s="687"/>
      <c r="C35" s="687"/>
      <c r="D35" s="687"/>
      <c r="E35" s="687"/>
      <c r="F35" s="688"/>
      <c r="G35" s="689" t="s">
        <v>31</v>
      </c>
      <c r="H35" s="690"/>
      <c r="I35" s="690"/>
      <c r="J35" s="690"/>
      <c r="K35" s="690"/>
      <c r="L35" s="690"/>
      <c r="M35" s="690"/>
      <c r="N35" s="690"/>
      <c r="O35" s="690"/>
      <c r="P35" s="690"/>
      <c r="Q35" s="690"/>
      <c r="R35" s="690"/>
    </row>
    <row r="36" spans="1:18" ht="18.75">
      <c r="A36" s="76"/>
      <c r="B36" s="76"/>
      <c r="C36" s="700"/>
      <c r="D36" s="700"/>
      <c r="E36" s="700"/>
      <c r="F36" s="701"/>
      <c r="G36" s="701"/>
      <c r="H36" s="48"/>
      <c r="I36" s="48"/>
      <c r="J36" s="48"/>
      <c r="K36" s="48"/>
      <c r="L36" s="48"/>
      <c r="M36" s="48"/>
      <c r="N36" s="48"/>
      <c r="O36" s="48"/>
      <c r="P36" s="48"/>
      <c r="Q36" s="48"/>
      <c r="R36" s="48"/>
    </row>
    <row r="37" spans="1:18" ht="18.75">
      <c r="A37" s="76"/>
      <c r="B37" s="76"/>
      <c r="C37" s="76"/>
      <c r="D37" s="76"/>
      <c r="E37" s="76"/>
      <c r="F37" s="49"/>
      <c r="G37" s="49"/>
      <c r="H37" s="48"/>
      <c r="I37" s="48"/>
      <c r="J37" s="48"/>
      <c r="K37" s="48"/>
      <c r="L37" s="702"/>
      <c r="M37" s="702"/>
      <c r="N37" s="702"/>
      <c r="O37" s="48"/>
      <c r="P37" s="48"/>
      <c r="Q37" s="48"/>
      <c r="R37" s="48"/>
    </row>
    <row r="38" spans="1:18" ht="18">
      <c r="A38" s="672" t="s">
        <v>32</v>
      </c>
      <c r="B38" s="672" t="str">
        <f>A26</f>
        <v>Parts of the Farm</v>
      </c>
      <c r="C38" s="672" t="s">
        <v>33</v>
      </c>
      <c r="D38" s="672"/>
      <c r="E38" s="672" t="str">
        <f>A15</f>
        <v>Location</v>
      </c>
      <c r="F38" s="703"/>
      <c r="G38" s="51"/>
      <c r="H38" s="48"/>
      <c r="I38" s="48"/>
      <c r="J38" s="48"/>
      <c r="K38" s="48"/>
      <c r="L38" s="702"/>
      <c r="M38" s="702"/>
      <c r="N38" s="702"/>
      <c r="O38" s="48"/>
      <c r="P38" s="48"/>
      <c r="Q38" s="48"/>
      <c r="R38" s="48"/>
    </row>
    <row r="39" spans="1:18" ht="18">
      <c r="A39" s="672"/>
      <c r="B39" s="672"/>
      <c r="C39" s="672"/>
      <c r="D39" s="672"/>
      <c r="E39" s="672"/>
      <c r="F39" s="703"/>
      <c r="G39" s="51"/>
      <c r="H39" s="48"/>
      <c r="I39" s="48"/>
      <c r="J39" s="48"/>
      <c r="K39" s="48"/>
      <c r="L39" s="697"/>
      <c r="M39" s="697"/>
      <c r="N39" s="697"/>
      <c r="O39" s="48"/>
      <c r="P39" s="48"/>
      <c r="Q39" s="48"/>
      <c r="R39" s="48"/>
    </row>
    <row r="40" spans="1:18" ht="15" customHeight="1">
      <c r="A40" s="704" t="s">
        <v>34</v>
      </c>
      <c r="B40" s="706" t="str">
        <f>A28</f>
        <v>Energy Supply system (Solar PV power plant,Solar Tracking)</v>
      </c>
      <c r="C40" s="330" t="s">
        <v>35</v>
      </c>
      <c r="D40" s="342" t="s">
        <v>10</v>
      </c>
      <c r="E40" s="709" t="s">
        <v>6</v>
      </c>
      <c r="F40" s="712"/>
      <c r="G40" s="48"/>
      <c r="H40" s="48"/>
      <c r="I40" s="48"/>
      <c r="J40" s="48"/>
      <c r="K40" s="48"/>
      <c r="L40" s="697"/>
      <c r="M40" s="697"/>
      <c r="N40" s="697"/>
      <c r="O40" s="48"/>
      <c r="P40" s="48"/>
      <c r="Q40" s="48"/>
      <c r="R40" s="48"/>
    </row>
    <row r="41" spans="1:18" ht="15" customHeight="1">
      <c r="A41" s="705"/>
      <c r="B41" s="707"/>
      <c r="C41" s="320" t="s">
        <v>36</v>
      </c>
      <c r="D41" s="320" t="s">
        <v>37</v>
      </c>
      <c r="E41" s="710"/>
      <c r="F41" s="712"/>
      <c r="G41" s="48"/>
      <c r="H41" s="48"/>
      <c r="I41" s="48"/>
      <c r="J41" s="48"/>
      <c r="K41" s="48"/>
      <c r="L41" s="697"/>
      <c r="M41" s="697"/>
      <c r="N41" s="697"/>
      <c r="O41" s="48"/>
      <c r="P41" s="48"/>
      <c r="Q41" s="48"/>
      <c r="R41" s="48"/>
    </row>
    <row r="42" spans="1:18" ht="15" customHeight="1">
      <c r="A42" s="705"/>
      <c r="B42" s="707"/>
      <c r="C42" s="320" t="s">
        <v>38</v>
      </c>
      <c r="D42" s="320" t="s">
        <v>39</v>
      </c>
      <c r="E42" s="710"/>
      <c r="F42" s="712"/>
      <c r="G42" s="48"/>
      <c r="H42" s="48"/>
      <c r="I42" s="48"/>
      <c r="J42" s="48"/>
      <c r="K42" s="48"/>
      <c r="L42" s="697"/>
      <c r="M42" s="697"/>
      <c r="N42" s="697"/>
      <c r="O42" s="48"/>
      <c r="P42" s="48"/>
      <c r="Q42" s="48"/>
      <c r="R42" s="48"/>
    </row>
    <row r="43" spans="1:18" ht="18.75">
      <c r="A43" s="705"/>
      <c r="B43" s="707"/>
      <c r="C43" s="708" t="s">
        <v>40</v>
      </c>
      <c r="D43" s="320" t="s">
        <v>41</v>
      </c>
      <c r="E43" s="710"/>
      <c r="F43" s="712"/>
      <c r="G43" s="48"/>
      <c r="H43" s="48"/>
      <c r="I43" s="48"/>
      <c r="J43" s="48"/>
      <c r="K43" s="48"/>
      <c r="L43" s="697"/>
      <c r="M43" s="697"/>
      <c r="N43" s="697"/>
      <c r="O43" s="48"/>
      <c r="P43" s="48"/>
      <c r="Q43" s="48"/>
      <c r="R43" s="48"/>
    </row>
    <row r="44" spans="1:18" ht="18.75">
      <c r="A44" s="705"/>
      <c r="B44" s="707"/>
      <c r="C44" s="708"/>
      <c r="D44" s="320" t="s">
        <v>42</v>
      </c>
      <c r="E44" s="710"/>
      <c r="F44" s="712"/>
      <c r="G44" s="48"/>
      <c r="H44" s="48"/>
      <c r="I44" s="48"/>
      <c r="J44" s="48"/>
      <c r="K44" s="48"/>
      <c r="L44" s="697"/>
      <c r="M44" s="697"/>
      <c r="N44" s="697"/>
      <c r="O44" s="48"/>
      <c r="P44" s="48"/>
      <c r="Q44" s="48"/>
      <c r="R44" s="48"/>
    </row>
    <row r="45" spans="1:18" ht="18.75">
      <c r="A45" s="705"/>
      <c r="B45" s="707"/>
      <c r="C45" s="708"/>
      <c r="D45" s="320" t="s">
        <v>43</v>
      </c>
      <c r="E45" s="710"/>
      <c r="F45" s="712"/>
      <c r="G45" s="48"/>
      <c r="H45" s="48"/>
      <c r="I45" s="48"/>
      <c r="J45" s="48"/>
      <c r="K45" s="48"/>
      <c r="L45" s="697"/>
      <c r="M45" s="697"/>
      <c r="N45" s="697"/>
      <c r="O45" s="48"/>
      <c r="P45" s="48"/>
      <c r="Q45" s="48"/>
      <c r="R45" s="48"/>
    </row>
    <row r="46" spans="1:18" ht="18.75">
      <c r="A46" s="705"/>
      <c r="B46" s="707"/>
      <c r="C46" s="708"/>
      <c r="D46" s="320" t="s">
        <v>44</v>
      </c>
      <c r="E46" s="710"/>
      <c r="F46" s="712"/>
      <c r="G46" s="48"/>
      <c r="H46" s="48"/>
      <c r="I46" s="48"/>
      <c r="J46" s="48"/>
      <c r="K46" s="48"/>
      <c r="L46" s="697"/>
      <c r="M46" s="697"/>
      <c r="N46" s="697"/>
      <c r="O46" s="48"/>
      <c r="P46" s="48"/>
      <c r="Q46" s="48"/>
      <c r="R46" s="48"/>
    </row>
    <row r="47" spans="1:18" ht="18.75">
      <c r="A47" s="705"/>
      <c r="B47" s="707"/>
      <c r="C47" s="708"/>
      <c r="D47" s="320" t="s">
        <v>45</v>
      </c>
      <c r="E47" s="710"/>
      <c r="F47" s="712"/>
      <c r="G47" s="48"/>
      <c r="H47" s="48"/>
      <c r="I47" s="48"/>
      <c r="J47" s="48"/>
      <c r="K47" s="48"/>
      <c r="L47" s="697"/>
      <c r="M47" s="697"/>
      <c r="N47" s="697"/>
      <c r="O47" s="48"/>
      <c r="P47" s="48"/>
      <c r="Q47" s="48"/>
      <c r="R47" s="48"/>
    </row>
    <row r="48" spans="1:18" ht="15" customHeight="1">
      <c r="A48" s="705"/>
      <c r="B48" s="708" t="str">
        <f>A30</f>
        <v>Irrigation system</v>
      </c>
      <c r="C48" s="320" t="s">
        <v>35</v>
      </c>
      <c r="D48" s="328" t="s">
        <v>10</v>
      </c>
      <c r="E48" s="710"/>
      <c r="F48" s="676"/>
      <c r="G48" s="48"/>
      <c r="H48" s="48"/>
      <c r="I48" s="48"/>
      <c r="J48" s="48"/>
      <c r="K48" s="48"/>
      <c r="L48" s="697"/>
      <c r="M48" s="697"/>
      <c r="N48" s="697"/>
      <c r="O48" s="48"/>
      <c r="P48" s="48"/>
      <c r="Q48" s="48"/>
      <c r="R48" s="48"/>
    </row>
    <row r="49" spans="1:18" ht="15" customHeight="1">
      <c r="A49" s="705"/>
      <c r="B49" s="708"/>
      <c r="C49" s="320" t="s">
        <v>36</v>
      </c>
      <c r="D49" s="320" t="s">
        <v>46</v>
      </c>
      <c r="E49" s="710"/>
      <c r="F49" s="676"/>
      <c r="G49" s="48"/>
      <c r="H49" s="48"/>
      <c r="I49" s="48"/>
      <c r="J49" s="48"/>
      <c r="K49" s="48"/>
      <c r="L49" s="48"/>
      <c r="M49" s="48"/>
      <c r="N49" s="48"/>
      <c r="O49" s="48"/>
      <c r="P49" s="48"/>
      <c r="Q49" s="48"/>
      <c r="R49" s="48"/>
    </row>
    <row r="50" spans="1:18" ht="15" customHeight="1">
      <c r="A50" s="705"/>
      <c r="B50" s="708"/>
      <c r="C50" s="320" t="s">
        <v>38</v>
      </c>
      <c r="D50" s="320" t="s">
        <v>47</v>
      </c>
      <c r="E50" s="710"/>
      <c r="F50" s="676"/>
      <c r="G50" s="48"/>
      <c r="H50" s="48"/>
      <c r="I50" s="48"/>
      <c r="J50" s="48"/>
      <c r="K50" s="48"/>
      <c r="L50" s="48"/>
      <c r="M50" s="48"/>
      <c r="N50" s="48"/>
      <c r="O50" s="48"/>
      <c r="P50" s="48"/>
      <c r="Q50" s="48"/>
      <c r="R50" s="48"/>
    </row>
    <row r="51" spans="1:18" ht="15" customHeight="1">
      <c r="A51" s="705"/>
      <c r="B51" s="708"/>
      <c r="C51" s="713" t="s">
        <v>40</v>
      </c>
      <c r="D51" s="320" t="s">
        <v>48</v>
      </c>
      <c r="E51" s="710"/>
      <c r="F51" s="676"/>
      <c r="G51" s="48"/>
      <c r="H51" s="48"/>
      <c r="I51" s="48"/>
      <c r="J51" s="48"/>
      <c r="K51" s="48"/>
      <c r="L51" s="48"/>
      <c r="M51" s="48"/>
      <c r="N51" s="48"/>
      <c r="O51" s="48"/>
      <c r="P51" s="48"/>
      <c r="Q51" s="48"/>
      <c r="R51" s="48"/>
    </row>
    <row r="52" spans="1:18" ht="15" customHeight="1">
      <c r="A52" s="705"/>
      <c r="B52" s="708"/>
      <c r="C52" s="713"/>
      <c r="D52" s="320" t="s">
        <v>49</v>
      </c>
      <c r="E52" s="710"/>
      <c r="F52" s="676"/>
      <c r="G52" s="48"/>
      <c r="H52" s="48"/>
      <c r="I52" s="48"/>
      <c r="J52" s="48"/>
      <c r="K52" s="48"/>
      <c r="L52" s="48"/>
      <c r="M52" s="48"/>
      <c r="N52" s="48"/>
      <c r="O52" s="48"/>
      <c r="P52" s="48"/>
      <c r="Q52" s="48"/>
      <c r="R52" s="48"/>
    </row>
    <row r="53" spans="1:18" ht="15" customHeight="1">
      <c r="A53" s="705"/>
      <c r="B53" s="708"/>
      <c r="C53" s="713"/>
      <c r="D53" s="320" t="s">
        <v>50</v>
      </c>
      <c r="E53" s="710"/>
      <c r="F53" s="676"/>
      <c r="G53" s="48"/>
      <c r="H53" s="48"/>
      <c r="I53" s="48"/>
      <c r="J53" s="48"/>
      <c r="K53" s="48"/>
      <c r="L53" s="48"/>
      <c r="M53" s="48"/>
      <c r="N53" s="48"/>
      <c r="O53" s="48"/>
      <c r="P53" s="48"/>
      <c r="Q53" s="48"/>
      <c r="R53" s="48"/>
    </row>
    <row r="54" spans="1:18" ht="15" customHeight="1">
      <c r="A54" s="705"/>
      <c r="B54" s="708" t="str">
        <f t="shared" ref="B54" si="0">A31</f>
        <v>Crop Storage (Smart Dryer)</v>
      </c>
      <c r="C54" s="320" t="s">
        <v>51</v>
      </c>
      <c r="D54" s="328" t="s">
        <v>10</v>
      </c>
      <c r="E54" s="710"/>
      <c r="F54" s="714"/>
      <c r="G54" s="48"/>
      <c r="H54" s="48"/>
      <c r="I54" s="48"/>
      <c r="J54" s="48"/>
      <c r="K54" s="48"/>
      <c r="L54" s="48"/>
      <c r="M54" s="48"/>
      <c r="N54" s="48"/>
      <c r="O54" s="48"/>
      <c r="P54" s="48"/>
      <c r="Q54" s="48"/>
      <c r="R54" s="48"/>
    </row>
    <row r="55" spans="1:18" ht="15" customHeight="1">
      <c r="A55" s="705"/>
      <c r="B55" s="708"/>
      <c r="C55" s="320" t="s">
        <v>36</v>
      </c>
      <c r="D55" s="320" t="s">
        <v>52</v>
      </c>
      <c r="E55" s="710"/>
      <c r="F55" s="714"/>
      <c r="G55" s="48"/>
      <c r="H55" s="48"/>
      <c r="I55" s="48"/>
      <c r="J55" s="48"/>
      <c r="K55" s="48"/>
      <c r="L55" s="48"/>
      <c r="M55" s="48"/>
      <c r="N55" s="48"/>
      <c r="O55" s="48"/>
      <c r="P55" s="48"/>
      <c r="Q55" s="48"/>
      <c r="R55" s="48"/>
    </row>
    <row r="56" spans="1:18" ht="15" customHeight="1">
      <c r="A56" s="705"/>
      <c r="B56" s="708"/>
      <c r="C56" s="320" t="s">
        <v>38</v>
      </c>
      <c r="D56" s="320" t="s">
        <v>53</v>
      </c>
      <c r="E56" s="710"/>
      <c r="F56" s="714"/>
      <c r="G56" s="48"/>
      <c r="H56" s="48"/>
      <c r="I56" s="48"/>
      <c r="J56" s="48"/>
      <c r="K56" s="48"/>
      <c r="L56" s="48"/>
      <c r="M56" s="48"/>
      <c r="N56" s="48"/>
      <c r="O56" s="48"/>
      <c r="P56" s="48"/>
      <c r="Q56" s="48"/>
      <c r="R56" s="48"/>
    </row>
    <row r="57" spans="1:18" ht="15" customHeight="1">
      <c r="A57" s="705"/>
      <c r="B57" s="708"/>
      <c r="C57" s="320" t="s">
        <v>40</v>
      </c>
      <c r="D57" s="320" t="s">
        <v>10</v>
      </c>
      <c r="E57" s="710"/>
      <c r="F57" s="714"/>
      <c r="G57" s="48"/>
      <c r="H57" s="48"/>
      <c r="I57" s="48"/>
      <c r="J57" s="48"/>
      <c r="K57" s="48"/>
      <c r="L57" s="48"/>
      <c r="M57" s="48"/>
      <c r="N57" s="48"/>
      <c r="O57" s="48"/>
      <c r="P57" s="48"/>
      <c r="Q57" s="48"/>
      <c r="R57" s="48"/>
    </row>
    <row r="58" spans="1:18" ht="15" customHeight="1">
      <c r="A58" s="705"/>
      <c r="B58" s="707" t="str">
        <f>A32</f>
        <v>Fencing and Security (Face Recognition)</v>
      </c>
      <c r="C58" s="320" t="s">
        <v>51</v>
      </c>
      <c r="D58" s="328" t="s">
        <v>10</v>
      </c>
      <c r="E58" s="710"/>
      <c r="F58" s="712"/>
      <c r="G58" s="48"/>
      <c r="H58" s="48"/>
      <c r="I58" s="48"/>
      <c r="J58" s="48"/>
      <c r="K58" s="48"/>
      <c r="L58" s="48"/>
      <c r="M58" s="48"/>
      <c r="N58" s="48"/>
      <c r="O58" s="48"/>
      <c r="P58" s="48"/>
      <c r="Q58" s="48"/>
      <c r="R58" s="48"/>
    </row>
    <row r="59" spans="1:18" ht="15" customHeight="1">
      <c r="A59" s="705"/>
      <c r="B59" s="707"/>
      <c r="C59" s="320" t="s">
        <v>36</v>
      </c>
      <c r="D59" s="320" t="s">
        <v>54</v>
      </c>
      <c r="E59" s="710"/>
      <c r="F59" s="712"/>
      <c r="G59" s="48"/>
      <c r="H59" s="48"/>
      <c r="I59" s="48"/>
      <c r="J59" s="48"/>
      <c r="K59" s="48"/>
      <c r="L59" s="48"/>
      <c r="M59" s="48"/>
      <c r="N59" s="48"/>
      <c r="O59" s="48"/>
      <c r="P59" s="48"/>
      <c r="Q59" s="48"/>
      <c r="R59" s="48"/>
    </row>
    <row r="60" spans="1:18" ht="15" customHeight="1">
      <c r="A60" s="705"/>
      <c r="B60" s="707"/>
      <c r="C60" s="320" t="s">
        <v>38</v>
      </c>
      <c r="D60" s="320" t="s">
        <v>55</v>
      </c>
      <c r="E60" s="710"/>
      <c r="F60" s="712"/>
      <c r="G60" s="48"/>
      <c r="H60" s="48"/>
      <c r="I60" s="48"/>
      <c r="J60" s="48"/>
      <c r="K60" s="48"/>
      <c r="L60" s="48"/>
      <c r="M60" s="48"/>
      <c r="N60" s="48"/>
      <c r="O60" s="48"/>
      <c r="P60" s="48"/>
      <c r="Q60" s="48"/>
      <c r="R60" s="48"/>
    </row>
    <row r="61" spans="1:18" ht="15" customHeight="1">
      <c r="A61" s="705"/>
      <c r="B61" s="707"/>
      <c r="C61" s="320" t="s">
        <v>40</v>
      </c>
      <c r="D61" s="320" t="s">
        <v>56</v>
      </c>
      <c r="E61" s="710"/>
      <c r="F61" s="712"/>
      <c r="G61" s="48"/>
      <c r="H61" s="48"/>
      <c r="I61" s="48"/>
      <c r="J61" s="48"/>
      <c r="K61" s="48"/>
      <c r="L61" s="48"/>
      <c r="M61" s="48"/>
      <c r="N61" s="48"/>
      <c r="O61" s="48"/>
      <c r="P61" s="48"/>
      <c r="Q61" s="48"/>
      <c r="R61" s="48"/>
    </row>
    <row r="62" spans="1:18" ht="15" customHeight="1">
      <c r="A62" s="705"/>
      <c r="B62" s="708" t="str">
        <f>A33</f>
        <v>Visitors Management (No Reesa)</v>
      </c>
      <c r="C62" s="320" t="s">
        <v>51</v>
      </c>
      <c r="D62" s="329" t="s">
        <v>10</v>
      </c>
      <c r="E62" s="710"/>
      <c r="F62" s="712"/>
      <c r="G62" s="48"/>
      <c r="H62" s="48"/>
      <c r="I62" s="48"/>
      <c r="J62" s="48"/>
      <c r="K62" s="48"/>
      <c r="L62" s="48"/>
      <c r="M62" s="48"/>
      <c r="N62" s="48"/>
      <c r="O62" s="48"/>
      <c r="P62" s="48"/>
      <c r="Q62" s="48"/>
      <c r="R62" s="48"/>
    </row>
    <row r="63" spans="1:18" ht="15" customHeight="1">
      <c r="A63" s="705"/>
      <c r="B63" s="708"/>
      <c r="C63" s="320" t="s">
        <v>36</v>
      </c>
      <c r="D63" s="320" t="s">
        <v>57</v>
      </c>
      <c r="E63" s="710"/>
      <c r="F63" s="712"/>
      <c r="G63" s="48"/>
      <c r="H63" s="48"/>
      <c r="I63" s="48"/>
      <c r="J63" s="48"/>
      <c r="K63" s="48"/>
      <c r="L63" s="48"/>
      <c r="M63" s="48"/>
      <c r="N63" s="48"/>
      <c r="O63" s="48"/>
      <c r="P63" s="48"/>
      <c r="Q63" s="48"/>
      <c r="R63" s="48"/>
    </row>
    <row r="64" spans="1:18" ht="15" customHeight="1">
      <c r="A64" s="705"/>
      <c r="B64" s="708"/>
      <c r="C64" s="320" t="s">
        <v>38</v>
      </c>
      <c r="D64" s="320" t="s">
        <v>58</v>
      </c>
      <c r="E64" s="710"/>
      <c r="F64" s="712"/>
      <c r="G64" s="48"/>
      <c r="H64" s="48"/>
      <c r="I64" s="48"/>
      <c r="J64" s="48"/>
      <c r="K64" s="48"/>
      <c r="L64" s="48"/>
      <c r="M64" s="48"/>
      <c r="N64" s="48"/>
      <c r="O64" s="48"/>
      <c r="P64" s="48"/>
      <c r="Q64" s="48"/>
      <c r="R64" s="48"/>
    </row>
    <row r="65" spans="1:18" ht="15" customHeight="1">
      <c r="A65" s="705"/>
      <c r="B65" s="708"/>
      <c r="C65" s="320" t="s">
        <v>40</v>
      </c>
      <c r="D65" s="320" t="s">
        <v>59</v>
      </c>
      <c r="E65" s="710"/>
      <c r="F65" s="712"/>
      <c r="G65" s="48"/>
      <c r="H65" s="48"/>
      <c r="I65" s="48"/>
      <c r="J65" s="48"/>
      <c r="K65" s="48"/>
      <c r="L65" s="48"/>
      <c r="M65" s="48"/>
      <c r="N65" s="48"/>
      <c r="O65" s="48"/>
      <c r="P65" s="48"/>
      <c r="Q65" s="48"/>
      <c r="R65" s="48"/>
    </row>
    <row r="66" spans="1:18" ht="15" customHeight="1">
      <c r="A66" s="705"/>
      <c r="B66" s="707" t="str">
        <f>A34</f>
        <v>Processing Machines</v>
      </c>
      <c r="C66" s="320" t="s">
        <v>51</v>
      </c>
      <c r="D66" s="329" t="s">
        <v>10</v>
      </c>
      <c r="E66" s="710"/>
      <c r="F66" s="712"/>
      <c r="G66" s="48"/>
      <c r="H66" s="48"/>
      <c r="I66" s="48"/>
      <c r="J66" s="48"/>
      <c r="K66" s="48"/>
      <c r="L66" s="48"/>
      <c r="M66" s="48"/>
      <c r="N66" s="48"/>
      <c r="O66" s="48"/>
      <c r="P66" s="48"/>
      <c r="Q66" s="48"/>
      <c r="R66" s="48"/>
    </row>
    <row r="67" spans="1:18" ht="15" customHeight="1">
      <c r="A67" s="705"/>
      <c r="B67" s="707"/>
      <c r="C67" s="320" t="s">
        <v>36</v>
      </c>
      <c r="D67" s="320" t="s">
        <v>52</v>
      </c>
      <c r="E67" s="710"/>
      <c r="F67" s="712"/>
      <c r="G67" s="48"/>
      <c r="H67" s="48"/>
      <c r="I67" s="48"/>
      <c r="J67" s="48"/>
      <c r="K67" s="48"/>
      <c r="L67" s="48"/>
      <c r="M67" s="48"/>
      <c r="N67" s="48"/>
      <c r="O67" s="48"/>
      <c r="P67" s="48"/>
      <c r="Q67" s="48"/>
      <c r="R67" s="48"/>
    </row>
    <row r="68" spans="1:18" ht="15" customHeight="1">
      <c r="A68" s="705"/>
      <c r="B68" s="707"/>
      <c r="C68" s="320" t="s">
        <v>38</v>
      </c>
      <c r="D68" s="320" t="s">
        <v>53</v>
      </c>
      <c r="E68" s="710"/>
      <c r="F68" s="712"/>
      <c r="G68" s="48"/>
      <c r="H68" s="48"/>
      <c r="I68" s="48"/>
      <c r="J68" s="48"/>
      <c r="K68" s="48"/>
      <c r="L68" s="48"/>
      <c r="M68" s="48"/>
      <c r="N68" s="48"/>
      <c r="O68" s="48"/>
      <c r="P68" s="48"/>
      <c r="Q68" s="48"/>
      <c r="R68" s="48"/>
    </row>
    <row r="69" spans="1:18" ht="15" customHeight="1">
      <c r="A69" s="705"/>
      <c r="B69" s="707"/>
      <c r="C69" s="708" t="s">
        <v>40</v>
      </c>
      <c r="D69" s="320" t="s">
        <v>60</v>
      </c>
      <c r="E69" s="710"/>
      <c r="F69" s="712"/>
      <c r="G69" s="48"/>
      <c r="H69" s="48"/>
      <c r="I69" s="48"/>
      <c r="J69" s="48"/>
      <c r="K69" s="48"/>
      <c r="L69" s="48"/>
      <c r="M69" s="48"/>
      <c r="N69" s="48"/>
      <c r="O69" s="48"/>
      <c r="P69" s="48"/>
      <c r="Q69" s="48"/>
      <c r="R69" s="48"/>
    </row>
    <row r="70" spans="1:18" ht="15" customHeight="1">
      <c r="A70" s="705"/>
      <c r="B70" s="707"/>
      <c r="C70" s="708"/>
      <c r="D70" s="320" t="s">
        <v>61</v>
      </c>
      <c r="E70" s="710"/>
      <c r="F70" s="712"/>
      <c r="G70" s="48"/>
      <c r="H70" s="48"/>
      <c r="I70" s="48"/>
      <c r="J70" s="48"/>
      <c r="K70" s="48"/>
      <c r="L70" s="48"/>
      <c r="M70" s="48"/>
      <c r="N70" s="48"/>
      <c r="O70" s="48"/>
      <c r="P70" s="48"/>
      <c r="Q70" s="48"/>
      <c r="R70" s="48"/>
    </row>
    <row r="71" spans="1:18" ht="15" customHeight="1">
      <c r="A71" s="705"/>
      <c r="B71" s="707"/>
      <c r="C71" s="708"/>
      <c r="D71" s="320" t="s">
        <v>62</v>
      </c>
      <c r="E71" s="710"/>
      <c r="F71" s="712"/>
      <c r="G71" s="48"/>
      <c r="H71" s="48"/>
      <c r="I71" s="48"/>
      <c r="J71" s="48"/>
      <c r="K71" s="48"/>
      <c r="L71" s="48"/>
      <c r="M71" s="48"/>
      <c r="N71" s="48"/>
      <c r="O71" s="48"/>
      <c r="P71" s="48"/>
      <c r="Q71" s="48"/>
      <c r="R71" s="48"/>
    </row>
    <row r="72" spans="1:18" ht="15" customHeight="1">
      <c r="A72" s="705"/>
      <c r="B72" s="707"/>
      <c r="C72" s="708"/>
      <c r="D72" s="320" t="s">
        <v>63</v>
      </c>
      <c r="E72" s="711"/>
      <c r="F72" s="712"/>
      <c r="G72" s="48"/>
      <c r="H72" s="48"/>
      <c r="I72" s="48"/>
      <c r="J72" s="48"/>
      <c r="K72" s="48"/>
      <c r="L72" s="48"/>
      <c r="M72" s="48"/>
      <c r="N72" s="48"/>
      <c r="O72" s="48"/>
      <c r="P72" s="48"/>
      <c r="Q72" s="48"/>
      <c r="R72" s="48"/>
    </row>
    <row r="73" spans="1:18" ht="15" customHeight="1">
      <c r="A73" s="719" t="s">
        <v>64</v>
      </c>
      <c r="B73" s="706" t="s">
        <v>17</v>
      </c>
      <c r="C73" s="330" t="s">
        <v>65</v>
      </c>
      <c r="D73" s="331">
        <f>'Solar tracking(Narcisse)'!H73</f>
        <v>42850</v>
      </c>
      <c r="E73" s="716" t="s">
        <v>7</v>
      </c>
      <c r="F73" s="712"/>
      <c r="G73" s="48"/>
      <c r="H73" s="48"/>
      <c r="I73" s="48"/>
      <c r="J73" s="48"/>
      <c r="K73" s="48"/>
      <c r="L73" s="48"/>
      <c r="M73" s="48"/>
      <c r="N73" s="48"/>
      <c r="O73" s="48"/>
      <c r="P73" s="48"/>
      <c r="Q73" s="48"/>
      <c r="R73" s="48"/>
    </row>
    <row r="74" spans="1:18" ht="15" customHeight="1">
      <c r="A74" s="720"/>
      <c r="B74" s="707"/>
      <c r="C74" s="320" t="s">
        <v>36</v>
      </c>
      <c r="D74" s="332" t="s">
        <v>37</v>
      </c>
      <c r="E74" s="717"/>
      <c r="F74" s="712"/>
      <c r="G74" s="48"/>
      <c r="H74" s="48"/>
      <c r="I74" s="48"/>
      <c r="J74" s="48"/>
      <c r="K74" s="48"/>
      <c r="L74" s="48"/>
      <c r="M74" s="48"/>
      <c r="N74" s="48"/>
      <c r="O74" s="48"/>
      <c r="P74" s="48"/>
      <c r="Q74" s="48"/>
      <c r="R74" s="48"/>
    </row>
    <row r="75" spans="1:18" ht="15" customHeight="1">
      <c r="A75" s="720"/>
      <c r="B75" s="707"/>
      <c r="C75" s="320" t="s">
        <v>38</v>
      </c>
      <c r="D75" s="332" t="s">
        <v>39</v>
      </c>
      <c r="E75" s="717"/>
      <c r="F75" s="712"/>
      <c r="G75" s="48"/>
      <c r="H75" s="48"/>
      <c r="I75" s="48"/>
      <c r="J75" s="48"/>
      <c r="K75" s="48"/>
      <c r="L75" s="48"/>
      <c r="M75" s="48"/>
      <c r="N75" s="48"/>
      <c r="O75" s="48"/>
      <c r="P75" s="48"/>
      <c r="Q75" s="48"/>
      <c r="R75" s="48"/>
    </row>
    <row r="76" spans="1:18" ht="15" customHeight="1">
      <c r="A76" s="720"/>
      <c r="B76" s="707"/>
      <c r="C76" s="708" t="s">
        <v>40</v>
      </c>
      <c r="D76" s="332" t="s">
        <v>41</v>
      </c>
      <c r="E76" s="717"/>
      <c r="F76" s="712"/>
      <c r="G76" s="48"/>
      <c r="H76" s="48"/>
      <c r="I76" s="48"/>
      <c r="J76" s="48"/>
      <c r="K76" s="48"/>
      <c r="L76" s="48"/>
      <c r="M76" s="48"/>
      <c r="N76" s="48"/>
      <c r="O76" s="48"/>
      <c r="P76" s="48"/>
      <c r="Q76" s="48"/>
      <c r="R76" s="48"/>
    </row>
    <row r="77" spans="1:18" ht="15" customHeight="1">
      <c r="A77" s="720"/>
      <c r="B77" s="707"/>
      <c r="C77" s="708"/>
      <c r="D77" s="332" t="s">
        <v>42</v>
      </c>
      <c r="E77" s="717"/>
      <c r="F77" s="712"/>
      <c r="G77" s="48"/>
      <c r="H77" s="48"/>
      <c r="I77" s="48"/>
      <c r="J77" s="48"/>
      <c r="K77" s="48"/>
      <c r="L77" s="48"/>
      <c r="M77" s="48"/>
      <c r="N77" s="48"/>
      <c r="O77" s="48"/>
      <c r="P77" s="48"/>
      <c r="Q77" s="48"/>
      <c r="R77" s="48"/>
    </row>
    <row r="78" spans="1:18" ht="15" customHeight="1">
      <c r="A78" s="720"/>
      <c r="B78" s="707"/>
      <c r="C78" s="708"/>
      <c r="D78" s="332" t="s">
        <v>43</v>
      </c>
      <c r="E78" s="717"/>
      <c r="F78" s="712"/>
      <c r="G78" s="48"/>
      <c r="H78" s="48"/>
      <c r="I78" s="48"/>
      <c r="J78" s="48"/>
      <c r="K78" s="48"/>
      <c r="L78" s="48"/>
      <c r="M78" s="48"/>
      <c r="N78" s="48"/>
      <c r="O78" s="48"/>
      <c r="P78" s="48"/>
      <c r="Q78" s="48"/>
      <c r="R78" s="48"/>
    </row>
    <row r="79" spans="1:18" ht="15" customHeight="1">
      <c r="A79" s="720"/>
      <c r="B79" s="707"/>
      <c r="C79" s="708"/>
      <c r="D79" s="332" t="s">
        <v>44</v>
      </c>
      <c r="E79" s="717"/>
      <c r="F79" s="712"/>
      <c r="G79" s="48"/>
      <c r="H79" s="48"/>
      <c r="I79" s="48"/>
      <c r="J79" s="48"/>
      <c r="K79" s="48"/>
      <c r="L79" s="48"/>
      <c r="M79" s="48"/>
      <c r="N79" s="48"/>
      <c r="O79" s="48"/>
      <c r="P79" s="48"/>
      <c r="Q79" s="48"/>
      <c r="R79" s="48"/>
    </row>
    <row r="80" spans="1:18" ht="15" customHeight="1">
      <c r="A80" s="720"/>
      <c r="B80" s="707"/>
      <c r="C80" s="708"/>
      <c r="D80" s="332" t="s">
        <v>45</v>
      </c>
      <c r="E80" s="717"/>
      <c r="F80" s="712"/>
      <c r="G80" s="48"/>
      <c r="H80" s="48"/>
      <c r="I80" s="48"/>
      <c r="J80" s="48"/>
      <c r="K80" s="48"/>
      <c r="L80" s="48"/>
      <c r="M80" s="48"/>
      <c r="N80" s="48"/>
      <c r="O80" s="48"/>
      <c r="P80" s="48"/>
      <c r="Q80" s="48"/>
      <c r="R80" s="48"/>
    </row>
    <row r="81" spans="1:18" ht="15" customHeight="1">
      <c r="A81" s="720"/>
      <c r="B81" s="708" t="s">
        <v>20</v>
      </c>
      <c r="C81" s="320" t="s">
        <v>65</v>
      </c>
      <c r="D81" s="333">
        <f>'Irrigation System(Arcus)'!H38</f>
        <v>9220</v>
      </c>
      <c r="E81" s="717"/>
      <c r="F81" s="676"/>
      <c r="G81" s="48"/>
      <c r="H81" s="48"/>
      <c r="I81" s="48"/>
      <c r="J81" s="48"/>
      <c r="K81" s="48"/>
      <c r="L81" s="48"/>
      <c r="M81" s="48"/>
      <c r="N81" s="48"/>
      <c r="O81" s="48"/>
      <c r="P81" s="48"/>
      <c r="Q81" s="48"/>
      <c r="R81" s="48"/>
    </row>
    <row r="82" spans="1:18" ht="15" customHeight="1">
      <c r="A82" s="720"/>
      <c r="B82" s="708"/>
      <c r="C82" s="320" t="s">
        <v>36</v>
      </c>
      <c r="D82" s="332" t="s">
        <v>46</v>
      </c>
      <c r="E82" s="717"/>
      <c r="F82" s="676"/>
      <c r="G82" s="48"/>
      <c r="H82" s="48"/>
      <c r="I82" s="48"/>
      <c r="J82" s="48"/>
      <c r="K82" s="48"/>
      <c r="L82" s="48"/>
      <c r="M82" s="48"/>
      <c r="N82" s="48"/>
      <c r="O82" s="48"/>
      <c r="P82" s="48"/>
      <c r="Q82" s="48"/>
      <c r="R82" s="48"/>
    </row>
    <row r="83" spans="1:18" ht="15" customHeight="1">
      <c r="A83" s="720"/>
      <c r="B83" s="708"/>
      <c r="C83" s="320" t="s">
        <v>38</v>
      </c>
      <c r="D83" s="332" t="s">
        <v>47</v>
      </c>
      <c r="E83" s="717"/>
      <c r="F83" s="676"/>
      <c r="G83" s="48"/>
      <c r="H83" s="48"/>
      <c r="I83" s="48"/>
      <c r="J83" s="48"/>
      <c r="K83" s="48"/>
      <c r="L83" s="48"/>
      <c r="M83" s="48"/>
      <c r="N83" s="48"/>
      <c r="O83" s="48"/>
      <c r="P83" s="48"/>
      <c r="Q83" s="48"/>
      <c r="R83" s="48"/>
    </row>
    <row r="84" spans="1:18" ht="15" customHeight="1">
      <c r="A84" s="720"/>
      <c r="B84" s="708"/>
      <c r="C84" s="713" t="s">
        <v>40</v>
      </c>
      <c r="D84" s="332" t="s">
        <v>48</v>
      </c>
      <c r="E84" s="717"/>
      <c r="F84" s="676"/>
      <c r="G84" s="48"/>
      <c r="H84" s="48"/>
      <c r="I84" s="48"/>
      <c r="J84" s="48"/>
      <c r="K84" s="48"/>
      <c r="L84" s="48"/>
      <c r="M84" s="48"/>
      <c r="N84" s="48"/>
      <c r="O84" s="48"/>
      <c r="P84" s="48"/>
      <c r="Q84" s="48"/>
      <c r="R84" s="48"/>
    </row>
    <row r="85" spans="1:18" ht="15" customHeight="1">
      <c r="A85" s="720"/>
      <c r="B85" s="708"/>
      <c r="C85" s="713"/>
      <c r="D85" s="332" t="s">
        <v>49</v>
      </c>
      <c r="E85" s="717"/>
      <c r="F85" s="676"/>
      <c r="G85" s="48"/>
      <c r="H85" s="48"/>
      <c r="I85" s="48"/>
      <c r="J85" s="48"/>
      <c r="K85" s="48"/>
      <c r="L85" s="48"/>
      <c r="M85" s="48"/>
      <c r="N85" s="48"/>
      <c r="O85" s="48"/>
      <c r="P85" s="48"/>
      <c r="Q85" s="48"/>
      <c r="R85" s="48"/>
    </row>
    <row r="86" spans="1:18" ht="15" customHeight="1">
      <c r="A86" s="720"/>
      <c r="B86" s="708"/>
      <c r="C86" s="713"/>
      <c r="D86" s="332" t="s">
        <v>50</v>
      </c>
      <c r="E86" s="717"/>
      <c r="F86" s="676"/>
      <c r="G86" s="48"/>
      <c r="H86" s="48"/>
      <c r="I86" s="48"/>
      <c r="J86" s="48"/>
      <c r="K86" s="48"/>
      <c r="L86" s="48"/>
      <c r="M86" s="48"/>
      <c r="N86" s="48"/>
      <c r="O86" s="48"/>
      <c r="P86" s="48"/>
      <c r="Q86" s="48"/>
      <c r="R86" s="48"/>
    </row>
    <row r="87" spans="1:18" ht="15" customHeight="1">
      <c r="A87" s="720"/>
      <c r="B87" s="708" t="s">
        <v>22</v>
      </c>
      <c r="C87" s="320" t="s">
        <v>66</v>
      </c>
      <c r="D87" s="571">
        <f>'Smart Dryer(Cedric)'!B49</f>
        <v>8861</v>
      </c>
      <c r="E87" s="717"/>
      <c r="F87" s="714"/>
      <c r="G87" s="48"/>
      <c r="H87" s="48"/>
      <c r="I87" s="48"/>
      <c r="J87" s="48"/>
      <c r="K87" s="48"/>
      <c r="L87" s="48"/>
      <c r="M87" s="48"/>
      <c r="N87" s="48"/>
      <c r="O87" s="48"/>
      <c r="P87" s="48"/>
      <c r="Q87" s="48"/>
      <c r="R87" s="48"/>
    </row>
    <row r="88" spans="1:18" ht="15" customHeight="1">
      <c r="A88" s="720"/>
      <c r="B88" s="708"/>
      <c r="C88" s="320" t="s">
        <v>36</v>
      </c>
      <c r="D88" s="332" t="s">
        <v>52</v>
      </c>
      <c r="E88" s="717"/>
      <c r="F88" s="714"/>
      <c r="G88" s="48"/>
      <c r="H88" s="48"/>
      <c r="I88" s="48"/>
      <c r="J88" s="48"/>
      <c r="K88" s="48"/>
      <c r="L88" s="48"/>
      <c r="M88" s="48"/>
      <c r="N88" s="48"/>
      <c r="O88" s="48"/>
      <c r="P88" s="48"/>
      <c r="Q88" s="48"/>
      <c r="R88" s="48"/>
    </row>
    <row r="89" spans="1:18" ht="15" customHeight="1">
      <c r="A89" s="720"/>
      <c r="B89" s="708"/>
      <c r="C89" s="320" t="s">
        <v>38</v>
      </c>
      <c r="D89" s="332" t="s">
        <v>53</v>
      </c>
      <c r="E89" s="717"/>
      <c r="F89" s="714"/>
      <c r="G89" s="48"/>
      <c r="H89" s="48"/>
      <c r="I89" s="48"/>
      <c r="J89" s="48"/>
      <c r="K89" s="48"/>
      <c r="L89" s="48"/>
      <c r="M89" s="48"/>
      <c r="N89" s="48"/>
      <c r="O89" s="48"/>
      <c r="P89" s="48"/>
      <c r="Q89" s="48"/>
      <c r="R89" s="48"/>
    </row>
    <row r="90" spans="1:18" ht="15" customHeight="1">
      <c r="A90" s="720"/>
      <c r="B90" s="708"/>
      <c r="C90" s="320" t="s">
        <v>40</v>
      </c>
      <c r="D90" s="332" t="s">
        <v>10</v>
      </c>
      <c r="E90" s="717"/>
      <c r="F90" s="714"/>
      <c r="G90" s="48"/>
      <c r="H90" s="48"/>
      <c r="I90" s="48"/>
      <c r="J90" s="48"/>
      <c r="K90" s="48"/>
      <c r="L90" s="48"/>
      <c r="M90" s="48"/>
      <c r="N90" s="48"/>
      <c r="O90" s="48"/>
      <c r="P90" s="48"/>
      <c r="Q90" s="48"/>
      <c r="R90" s="48"/>
    </row>
    <row r="91" spans="1:18" ht="15" customHeight="1">
      <c r="A91" s="720"/>
      <c r="B91" s="707" t="s">
        <v>24</v>
      </c>
      <c r="C91" s="320" t="s">
        <v>67</v>
      </c>
      <c r="D91" s="574">
        <f>'Face Recognition(Yanick)'!B53</f>
        <v>11770</v>
      </c>
      <c r="E91" s="717"/>
      <c r="F91" s="712"/>
      <c r="G91" s="48"/>
      <c r="H91" s="48"/>
      <c r="I91" s="48"/>
      <c r="J91" s="48"/>
      <c r="K91" s="48"/>
      <c r="L91" s="48"/>
      <c r="M91" s="48"/>
      <c r="N91" s="48"/>
      <c r="O91" s="48"/>
      <c r="P91" s="48"/>
      <c r="Q91" s="48"/>
      <c r="R91" s="48"/>
    </row>
    <row r="92" spans="1:18" ht="15" customHeight="1">
      <c r="A92" s="720"/>
      <c r="B92" s="707"/>
      <c r="C92" s="320" t="s">
        <v>36</v>
      </c>
      <c r="D92" s="332" t="s">
        <v>54</v>
      </c>
      <c r="E92" s="717"/>
      <c r="F92" s="712"/>
      <c r="G92" s="48"/>
      <c r="H92" s="48"/>
      <c r="I92" s="48"/>
      <c r="J92" s="48"/>
      <c r="K92" s="48"/>
      <c r="L92" s="48"/>
      <c r="M92" s="48"/>
      <c r="N92" s="48"/>
      <c r="O92" s="48"/>
      <c r="P92" s="48"/>
      <c r="Q92" s="48"/>
      <c r="R92" s="48"/>
    </row>
    <row r="93" spans="1:18" ht="15" customHeight="1">
      <c r="A93" s="720"/>
      <c r="B93" s="707"/>
      <c r="C93" s="320" t="s">
        <v>38</v>
      </c>
      <c r="D93" s="332" t="s">
        <v>55</v>
      </c>
      <c r="E93" s="717"/>
      <c r="F93" s="712"/>
      <c r="G93" s="48"/>
      <c r="H93" s="48"/>
      <c r="I93" s="48"/>
      <c r="J93" s="48"/>
      <c r="K93" s="48"/>
      <c r="L93" s="48"/>
      <c r="M93" s="48"/>
      <c r="N93" s="48"/>
      <c r="O93" s="48"/>
      <c r="P93" s="48"/>
      <c r="Q93" s="48"/>
      <c r="R93" s="48"/>
    </row>
    <row r="94" spans="1:18" ht="15" customHeight="1">
      <c r="A94" s="720"/>
      <c r="B94" s="707"/>
      <c r="C94" s="320" t="s">
        <v>40</v>
      </c>
      <c r="D94" s="332" t="s">
        <v>56</v>
      </c>
      <c r="E94" s="717"/>
      <c r="F94" s="712"/>
      <c r="G94" s="48"/>
      <c r="H94" s="48"/>
      <c r="I94" s="48"/>
      <c r="J94" s="48"/>
      <c r="K94" s="48"/>
      <c r="L94" s="48"/>
      <c r="M94" s="48"/>
      <c r="N94" s="48"/>
      <c r="O94" s="48"/>
      <c r="P94" s="48"/>
      <c r="Q94" s="48"/>
      <c r="R94" s="48"/>
    </row>
    <row r="95" spans="1:18" ht="15" customHeight="1">
      <c r="A95" s="720"/>
      <c r="B95" s="708" t="s">
        <v>26</v>
      </c>
      <c r="C95" s="320" t="s">
        <v>66</v>
      </c>
      <c r="D95" s="334">
        <f>'No Reesa(Afiatou)'!C26</f>
        <v>8.4730000000000008</v>
      </c>
      <c r="E95" s="717"/>
      <c r="F95" s="712"/>
      <c r="G95" s="48"/>
      <c r="H95" s="48"/>
      <c r="I95" s="48"/>
      <c r="J95" s="48"/>
      <c r="K95" s="48"/>
      <c r="L95" s="48"/>
      <c r="M95" s="48"/>
      <c r="N95" s="48"/>
      <c r="O95" s="48"/>
      <c r="P95" s="48"/>
      <c r="Q95" s="48"/>
      <c r="R95" s="48"/>
    </row>
    <row r="96" spans="1:18" ht="15" customHeight="1">
      <c r="A96" s="720"/>
      <c r="B96" s="708"/>
      <c r="C96" s="320" t="s">
        <v>36</v>
      </c>
      <c r="D96" s="332" t="s">
        <v>68</v>
      </c>
      <c r="E96" s="717"/>
      <c r="F96" s="712"/>
      <c r="G96" s="48"/>
      <c r="H96" s="48"/>
      <c r="I96" s="48"/>
      <c r="J96" s="48"/>
      <c r="K96" s="48"/>
      <c r="L96" s="48"/>
      <c r="M96" s="48"/>
      <c r="N96" s="48"/>
      <c r="O96" s="48"/>
      <c r="P96" s="48"/>
      <c r="Q96" s="48"/>
      <c r="R96" s="48"/>
    </row>
    <row r="97" spans="1:18" ht="15" customHeight="1">
      <c r="A97" s="720"/>
      <c r="B97" s="708"/>
      <c r="C97" s="320" t="s">
        <v>38</v>
      </c>
      <c r="D97" s="332" t="s">
        <v>69</v>
      </c>
      <c r="E97" s="717"/>
      <c r="F97" s="712"/>
      <c r="G97" s="48"/>
      <c r="H97" s="48"/>
      <c r="I97" s="48"/>
      <c r="J97" s="48"/>
      <c r="K97" s="48"/>
      <c r="L97" s="48"/>
      <c r="M97" s="48"/>
      <c r="N97" s="48"/>
      <c r="O97" s="48"/>
      <c r="P97" s="48"/>
      <c r="Q97" s="48"/>
      <c r="R97" s="48"/>
    </row>
    <row r="98" spans="1:18" ht="15" customHeight="1">
      <c r="A98" s="720"/>
      <c r="B98" s="708"/>
      <c r="C98" s="320" t="s">
        <v>40</v>
      </c>
      <c r="D98" s="332" t="s">
        <v>10</v>
      </c>
      <c r="E98" s="717"/>
      <c r="F98" s="712"/>
      <c r="G98" s="48"/>
      <c r="H98" s="48"/>
      <c r="I98" s="48"/>
      <c r="J98" s="48"/>
      <c r="K98" s="48"/>
      <c r="L98" s="48"/>
      <c r="M98" s="48"/>
      <c r="N98" s="48"/>
      <c r="O98" s="48"/>
      <c r="P98" s="48"/>
      <c r="Q98" s="48"/>
      <c r="R98" s="48"/>
    </row>
    <row r="99" spans="1:18" ht="15" customHeight="1">
      <c r="A99" s="720"/>
      <c r="B99" s="707" t="s">
        <v>70</v>
      </c>
      <c r="C99" s="320" t="s">
        <v>66</v>
      </c>
      <c r="D99" s="572">
        <v>27300</v>
      </c>
      <c r="E99" s="717"/>
      <c r="F99" s="712"/>
      <c r="G99" s="48"/>
      <c r="H99" s="48"/>
      <c r="I99" s="48"/>
      <c r="J99" s="48"/>
      <c r="K99" s="48"/>
      <c r="L99" s="48"/>
      <c r="M99" s="48"/>
      <c r="N99" s="48"/>
      <c r="O99" s="48"/>
      <c r="P99" s="48"/>
      <c r="Q99" s="48"/>
      <c r="R99" s="48"/>
    </row>
    <row r="100" spans="1:18" ht="15" customHeight="1">
      <c r="A100" s="720"/>
      <c r="B100" s="707"/>
      <c r="C100" s="320" t="s">
        <v>36</v>
      </c>
      <c r="D100" s="332" t="s">
        <v>52</v>
      </c>
      <c r="E100" s="717"/>
      <c r="F100" s="712"/>
      <c r="G100" s="48"/>
      <c r="H100" s="48"/>
      <c r="I100" s="48"/>
      <c r="J100" s="48"/>
      <c r="K100" s="48"/>
      <c r="L100" s="48"/>
      <c r="M100" s="48"/>
      <c r="N100" s="48"/>
      <c r="O100" s="48"/>
      <c r="P100" s="48"/>
      <c r="Q100" s="48"/>
      <c r="R100" s="48"/>
    </row>
    <row r="101" spans="1:18" ht="15" customHeight="1">
      <c r="A101" s="720"/>
      <c r="B101" s="707"/>
      <c r="C101" s="320" t="s">
        <v>38</v>
      </c>
      <c r="D101" s="332" t="s">
        <v>53</v>
      </c>
      <c r="E101" s="717"/>
      <c r="F101" s="712"/>
      <c r="G101" s="48"/>
      <c r="H101" s="48"/>
      <c r="I101" s="48"/>
      <c r="J101" s="48"/>
      <c r="K101" s="48"/>
      <c r="L101" s="48"/>
      <c r="M101" s="48"/>
      <c r="N101" s="48"/>
      <c r="O101" s="48"/>
      <c r="P101" s="48"/>
      <c r="Q101" s="48"/>
      <c r="R101" s="48"/>
    </row>
    <row r="102" spans="1:18" ht="15" customHeight="1">
      <c r="A102" s="720"/>
      <c r="B102" s="707"/>
      <c r="C102" s="708" t="s">
        <v>40</v>
      </c>
      <c r="D102" s="332" t="s">
        <v>60</v>
      </c>
      <c r="E102" s="717"/>
      <c r="F102" s="712"/>
      <c r="G102" s="48"/>
      <c r="H102" s="48"/>
      <c r="I102" s="48"/>
      <c r="J102" s="48"/>
      <c r="K102" s="48"/>
      <c r="L102" s="48"/>
      <c r="M102" s="48"/>
      <c r="N102" s="48"/>
      <c r="O102" s="48"/>
      <c r="P102" s="48"/>
      <c r="Q102" s="48"/>
      <c r="R102" s="48"/>
    </row>
    <row r="103" spans="1:18" ht="15" customHeight="1">
      <c r="A103" s="720"/>
      <c r="B103" s="707"/>
      <c r="C103" s="708"/>
      <c r="D103" s="332" t="s">
        <v>61</v>
      </c>
      <c r="E103" s="717"/>
      <c r="F103" s="712"/>
      <c r="G103" s="48"/>
      <c r="H103" s="48"/>
      <c r="I103" s="48"/>
      <c r="J103" s="48"/>
      <c r="K103" s="48"/>
      <c r="L103" s="48"/>
      <c r="M103" s="48"/>
      <c r="N103" s="48"/>
      <c r="O103" s="48"/>
      <c r="P103" s="48"/>
      <c r="Q103" s="48"/>
      <c r="R103" s="48"/>
    </row>
    <row r="104" spans="1:18" ht="15" customHeight="1">
      <c r="A104" s="720"/>
      <c r="B104" s="707"/>
      <c r="C104" s="708"/>
      <c r="D104" s="332" t="s">
        <v>62</v>
      </c>
      <c r="E104" s="717"/>
      <c r="F104" s="712"/>
      <c r="G104" s="48"/>
      <c r="H104" s="48"/>
      <c r="I104" s="48"/>
      <c r="J104" s="48"/>
      <c r="K104" s="48"/>
      <c r="L104" s="48"/>
      <c r="M104" s="48"/>
      <c r="N104" s="48"/>
      <c r="O104" s="48"/>
      <c r="P104" s="48"/>
      <c r="Q104" s="48"/>
      <c r="R104" s="48"/>
    </row>
    <row r="105" spans="1:18" ht="15" customHeight="1">
      <c r="A105" s="720"/>
      <c r="B105" s="707"/>
      <c r="C105" s="708"/>
      <c r="D105" s="332" t="s">
        <v>63</v>
      </c>
      <c r="E105" s="717"/>
      <c r="F105" s="712"/>
      <c r="G105" s="48"/>
      <c r="H105" s="48"/>
      <c r="I105" s="48"/>
      <c r="J105" s="48"/>
      <c r="K105" s="48"/>
      <c r="L105" s="48"/>
      <c r="M105" s="48"/>
      <c r="N105" s="48"/>
      <c r="O105" s="48"/>
      <c r="P105" s="48"/>
      <c r="Q105" s="48"/>
      <c r="R105" s="48"/>
    </row>
    <row r="106" spans="1:18" ht="19.5">
      <c r="A106" s="720"/>
      <c r="B106" s="707" t="s">
        <v>30</v>
      </c>
      <c r="C106" s="573" t="s">
        <v>66</v>
      </c>
      <c r="D106" s="594">
        <v>49.866999999999997</v>
      </c>
      <c r="E106" s="717"/>
    </row>
    <row r="107" spans="1:18" ht="18.75">
      <c r="A107" s="720"/>
      <c r="B107" s="707"/>
      <c r="C107" s="320" t="s">
        <v>36</v>
      </c>
      <c r="D107" s="332" t="s">
        <v>71</v>
      </c>
      <c r="E107" s="717"/>
    </row>
    <row r="108" spans="1:18" ht="18.75">
      <c r="A108" s="720"/>
      <c r="B108" s="707"/>
      <c r="C108" s="320" t="s">
        <v>38</v>
      </c>
      <c r="D108" s="332" t="s">
        <v>52</v>
      </c>
      <c r="E108" s="717"/>
    </row>
    <row r="109" spans="1:18" ht="18.75">
      <c r="A109" s="720"/>
      <c r="B109" s="707"/>
      <c r="C109" s="708" t="s">
        <v>40</v>
      </c>
      <c r="D109" s="332" t="s">
        <v>60</v>
      </c>
      <c r="E109" s="717"/>
    </row>
    <row r="110" spans="1:18" ht="18.75">
      <c r="A110" s="720"/>
      <c r="B110" s="707"/>
      <c r="C110" s="708"/>
      <c r="D110" s="332" t="s">
        <v>61</v>
      </c>
      <c r="E110" s="717"/>
    </row>
    <row r="111" spans="1:18" ht="18.75">
      <c r="A111" s="720"/>
      <c r="B111" s="707"/>
      <c r="C111" s="708"/>
      <c r="D111" s="332" t="s">
        <v>72</v>
      </c>
      <c r="E111" s="717"/>
    </row>
    <row r="112" spans="1:18" ht="18.75">
      <c r="A112" s="720"/>
      <c r="B112" s="707"/>
      <c r="C112" s="708"/>
      <c r="D112" s="332" t="s">
        <v>73</v>
      </c>
      <c r="E112" s="718"/>
    </row>
    <row r="113" spans="1:5" ht="18.75">
      <c r="A113" s="76"/>
      <c r="B113" s="76"/>
      <c r="C113" s="76"/>
      <c r="D113" s="76"/>
      <c r="E113" s="76"/>
    </row>
    <row r="114" spans="1:5" ht="18.75">
      <c r="A114" s="76"/>
      <c r="B114" s="76"/>
      <c r="C114" s="76"/>
      <c r="D114" s="76"/>
      <c r="E114" s="76"/>
    </row>
    <row r="115" spans="1:5" ht="18.75">
      <c r="A115" s="76"/>
      <c r="B115" s="76"/>
      <c r="C115" s="76"/>
      <c r="D115" s="76"/>
      <c r="E115" s="76"/>
    </row>
    <row r="116" spans="1:5" ht="18.75">
      <c r="A116" s="76"/>
      <c r="B116" s="76"/>
      <c r="C116" s="76"/>
      <c r="D116" s="76"/>
      <c r="E116" s="76"/>
    </row>
    <row r="117" spans="1:5" ht="18.75">
      <c r="A117" s="76"/>
      <c r="B117" s="76"/>
      <c r="C117" s="76"/>
      <c r="D117" s="76"/>
      <c r="E117" s="76"/>
    </row>
    <row r="118" spans="1:5" ht="36" customHeight="1">
      <c r="A118" s="715" t="s">
        <v>74</v>
      </c>
      <c r="B118" s="715"/>
      <c r="C118" s="715"/>
      <c r="D118" s="715"/>
      <c r="E118" s="715"/>
    </row>
    <row r="119" spans="1:5" ht="18.75">
      <c r="A119" s="341" t="s">
        <v>75</v>
      </c>
      <c r="B119" s="341" t="s">
        <v>76</v>
      </c>
      <c r="C119" s="341" t="s">
        <v>77</v>
      </c>
      <c r="D119" s="341" t="s">
        <v>78</v>
      </c>
      <c r="E119" s="341" t="s">
        <v>79</v>
      </c>
    </row>
    <row r="120" spans="1:5" ht="18.75">
      <c r="A120" s="335" t="s">
        <v>80</v>
      </c>
      <c r="B120" s="335" t="s">
        <v>81</v>
      </c>
      <c r="C120" s="335" t="s">
        <v>82</v>
      </c>
      <c r="D120" s="335" t="s">
        <v>83</v>
      </c>
      <c r="E120" s="335" t="s">
        <v>84</v>
      </c>
    </row>
    <row r="121" spans="1:5" ht="18.75">
      <c r="A121" s="335" t="s">
        <v>85</v>
      </c>
      <c r="B121" s="335" t="s">
        <v>86</v>
      </c>
      <c r="C121" s="335" t="s">
        <v>87</v>
      </c>
      <c r="D121" s="335" t="s">
        <v>87</v>
      </c>
      <c r="E121" s="335" t="s">
        <v>88</v>
      </c>
    </row>
    <row r="122" spans="1:5" ht="18.75">
      <c r="A122" s="335" t="s">
        <v>89</v>
      </c>
      <c r="B122" s="335" t="s">
        <v>90</v>
      </c>
      <c r="C122" s="335" t="s">
        <v>90</v>
      </c>
      <c r="D122" s="335" t="s">
        <v>90</v>
      </c>
      <c r="E122" s="335" t="s">
        <v>91</v>
      </c>
    </row>
    <row r="123" spans="1:5" ht="18.75">
      <c r="A123" s="335" t="s">
        <v>92</v>
      </c>
      <c r="B123" s="335" t="s">
        <v>93</v>
      </c>
      <c r="C123" s="335" t="s">
        <v>94</v>
      </c>
      <c r="D123" s="335" t="s">
        <v>94</v>
      </c>
      <c r="E123" s="335" t="s">
        <v>95</v>
      </c>
    </row>
    <row r="124" spans="1:5" ht="18.75">
      <c r="A124" s="335" t="s">
        <v>96</v>
      </c>
      <c r="B124" s="335" t="s">
        <v>90</v>
      </c>
      <c r="C124" s="335" t="s">
        <v>90</v>
      </c>
      <c r="D124" s="335" t="s">
        <v>90</v>
      </c>
      <c r="E124" s="335" t="s">
        <v>91</v>
      </c>
    </row>
    <row r="125" spans="1:5" ht="18.75">
      <c r="A125" s="335" t="s">
        <v>97</v>
      </c>
      <c r="B125" s="335" t="s">
        <v>87</v>
      </c>
      <c r="C125" s="335" t="s">
        <v>87</v>
      </c>
      <c r="D125" s="335" t="s">
        <v>87</v>
      </c>
      <c r="E125" s="335" t="s">
        <v>91</v>
      </c>
    </row>
    <row r="126" spans="1:5" ht="18.75" hidden="1">
      <c r="A126" s="335" t="s">
        <v>98</v>
      </c>
      <c r="B126" s="335" t="s">
        <v>99</v>
      </c>
      <c r="C126" s="335" t="s">
        <v>86</v>
      </c>
      <c r="D126" s="335" t="s">
        <v>100</v>
      </c>
      <c r="E126" s="335" t="s">
        <v>101</v>
      </c>
    </row>
    <row r="127" spans="1:5" ht="18.75">
      <c r="A127" s="335" t="s">
        <v>102</v>
      </c>
      <c r="B127" s="335" t="s">
        <v>100</v>
      </c>
      <c r="C127" s="335" t="s">
        <v>87</v>
      </c>
      <c r="D127" s="335" t="s">
        <v>87</v>
      </c>
      <c r="E127" s="336" t="s">
        <v>103</v>
      </c>
    </row>
    <row r="128" spans="1:5" ht="19.5" customHeight="1">
      <c r="A128" s="335" t="s">
        <v>104</v>
      </c>
      <c r="B128" s="335" t="s">
        <v>100</v>
      </c>
      <c r="C128" s="335" t="s">
        <v>100</v>
      </c>
      <c r="D128" s="337" t="s">
        <v>100</v>
      </c>
      <c r="E128" s="338" t="s">
        <v>91</v>
      </c>
    </row>
    <row r="129" spans="1:5" ht="37.5">
      <c r="A129" s="339" t="s">
        <v>105</v>
      </c>
      <c r="B129" s="349">
        <v>0.85</v>
      </c>
      <c r="C129" s="340" t="s">
        <v>106</v>
      </c>
      <c r="D129" s="349">
        <v>0.88</v>
      </c>
      <c r="E129" s="445" t="s">
        <v>107</v>
      </c>
    </row>
  </sheetData>
  <mergeCells count="87">
    <mergeCell ref="A118:E118"/>
    <mergeCell ref="E73:E112"/>
    <mergeCell ref="A73:A112"/>
    <mergeCell ref="F91:F94"/>
    <mergeCell ref="F87:F90"/>
    <mergeCell ref="F81:F86"/>
    <mergeCell ref="B81:B86"/>
    <mergeCell ref="C76:C80"/>
    <mergeCell ref="B73:B80"/>
    <mergeCell ref="B106:B112"/>
    <mergeCell ref="C109:C112"/>
    <mergeCell ref="L48:N48"/>
    <mergeCell ref="F66:F72"/>
    <mergeCell ref="F62:F65"/>
    <mergeCell ref="F58:F61"/>
    <mergeCell ref="B99:B105"/>
    <mergeCell ref="C102:C105"/>
    <mergeCell ref="C84:C86"/>
    <mergeCell ref="B87:B90"/>
    <mergeCell ref="B91:B94"/>
    <mergeCell ref="B95:B98"/>
    <mergeCell ref="F99:F105"/>
    <mergeCell ref="F95:F98"/>
    <mergeCell ref="F54:F57"/>
    <mergeCell ref="B66:B72"/>
    <mergeCell ref="C69:C72"/>
    <mergeCell ref="F73:F80"/>
    <mergeCell ref="A40:A72"/>
    <mergeCell ref="B40:B47"/>
    <mergeCell ref="L39:N39"/>
    <mergeCell ref="B54:B57"/>
    <mergeCell ref="B58:B61"/>
    <mergeCell ref="B62:B65"/>
    <mergeCell ref="E40:E72"/>
    <mergeCell ref="F40:F47"/>
    <mergeCell ref="C43:C47"/>
    <mergeCell ref="B48:B53"/>
    <mergeCell ref="F48:F53"/>
    <mergeCell ref="C51:C53"/>
    <mergeCell ref="L44:N44"/>
    <mergeCell ref="L45:N45"/>
    <mergeCell ref="L46:N46"/>
    <mergeCell ref="L47:N47"/>
    <mergeCell ref="L40:N40"/>
    <mergeCell ref="L41:N41"/>
    <mergeCell ref="L42:N42"/>
    <mergeCell ref="L43:N43"/>
    <mergeCell ref="A34:F34"/>
    <mergeCell ref="G34:R34"/>
    <mergeCell ref="C36:E36"/>
    <mergeCell ref="F36:G36"/>
    <mergeCell ref="G35:R35"/>
    <mergeCell ref="A35:F35"/>
    <mergeCell ref="L37:N38"/>
    <mergeCell ref="A38:A39"/>
    <mergeCell ref="B38:B39"/>
    <mergeCell ref="C38:D39"/>
    <mergeCell ref="E38:E39"/>
    <mergeCell ref="F38:F39"/>
    <mergeCell ref="A31:F31"/>
    <mergeCell ref="G31:R31"/>
    <mergeCell ref="A32:F32"/>
    <mergeCell ref="G32:R32"/>
    <mergeCell ref="A33:F33"/>
    <mergeCell ref="G33:R33"/>
    <mergeCell ref="A28:F29"/>
    <mergeCell ref="G28:R28"/>
    <mergeCell ref="G29:R29"/>
    <mergeCell ref="A30:F30"/>
    <mergeCell ref="G30:R30"/>
    <mergeCell ref="A7:B8"/>
    <mergeCell ref="C7:C8"/>
    <mergeCell ref="A9:B9"/>
    <mergeCell ref="H11:I11"/>
    <mergeCell ref="A1:H2"/>
    <mergeCell ref="B13:B14"/>
    <mergeCell ref="C13:C14"/>
    <mergeCell ref="D13:D14"/>
    <mergeCell ref="E13:E14"/>
    <mergeCell ref="F13:G14"/>
    <mergeCell ref="A26:F27"/>
    <mergeCell ref="G26:R27"/>
    <mergeCell ref="F15:G15"/>
    <mergeCell ref="F16:G16"/>
    <mergeCell ref="F18:G18"/>
    <mergeCell ref="B22:E22"/>
    <mergeCell ref="B23:E2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1C921-7FCF-49CE-AD71-D6F3A8AFB092}">
  <dimension ref="A1:S92"/>
  <sheetViews>
    <sheetView tabSelected="1" workbookViewId="0">
      <selection activeCell="B28" sqref="B28"/>
    </sheetView>
  </sheetViews>
  <sheetFormatPr defaultRowHeight="18.75"/>
  <cols>
    <col min="1" max="2" width="37.85546875" style="76" customWidth="1"/>
    <col min="3" max="3" width="40.85546875" style="76" customWidth="1"/>
    <col min="4" max="4" width="33.5703125" style="77" customWidth="1"/>
    <col min="5" max="5" width="66" style="77" customWidth="1"/>
    <col min="6" max="6" width="26.28515625" style="76" customWidth="1"/>
    <col min="7" max="7" width="44.140625" style="76" customWidth="1"/>
    <col min="8" max="8" width="28.5703125" style="76" customWidth="1"/>
    <col min="9" max="9" width="23.28515625" style="76" customWidth="1"/>
    <col min="10" max="10" width="15.42578125" style="76" customWidth="1"/>
    <col min="11" max="11" width="39.42578125" style="76" customWidth="1"/>
    <col min="12" max="12" width="32.28515625" style="76" customWidth="1"/>
    <col min="13" max="13" width="21" style="76" customWidth="1"/>
    <col min="14" max="14" width="17.140625" style="76" customWidth="1"/>
    <col min="15" max="15" width="22.140625" style="76" customWidth="1"/>
    <col min="16" max="16" width="19.140625" style="76" customWidth="1"/>
    <col min="17" max="17" width="36.85546875" style="76" customWidth="1"/>
    <col min="18" max="18" width="31.5703125" style="76" customWidth="1"/>
    <col min="19" max="19" width="31.140625" style="76" customWidth="1"/>
    <col min="20" max="16384" width="9.140625" style="76"/>
  </cols>
  <sheetData>
    <row r="1" spans="1:19" ht="26.25" customHeight="1">
      <c r="A1" s="611" t="s">
        <v>108</v>
      </c>
      <c r="B1" s="612"/>
      <c r="C1" s="612"/>
      <c r="D1" s="613"/>
      <c r="E1" s="594"/>
      <c r="P1" s="595" t="s">
        <v>109</v>
      </c>
      <c r="Q1" s="595"/>
      <c r="R1" s="595"/>
      <c r="S1" s="595"/>
    </row>
    <row r="2" spans="1:19" ht="36" customHeight="1">
      <c r="A2" s="174" t="s">
        <v>110</v>
      </c>
      <c r="B2" s="174" t="s">
        <v>111</v>
      </c>
      <c r="C2" s="174" t="s">
        <v>112</v>
      </c>
      <c r="D2" s="174" t="s">
        <v>113</v>
      </c>
      <c r="E2" s="594"/>
      <c r="P2" s="175" t="s">
        <v>114</v>
      </c>
      <c r="Q2" s="176" t="s">
        <v>115</v>
      </c>
      <c r="R2" s="176" t="s">
        <v>116</v>
      </c>
      <c r="S2" s="177" t="s">
        <v>117</v>
      </c>
    </row>
    <row r="3" spans="1:19" ht="26.25" customHeight="1">
      <c r="A3" s="178" t="s">
        <v>118</v>
      </c>
      <c r="B3" s="178">
        <v>200</v>
      </c>
      <c r="C3" s="178" t="s">
        <v>119</v>
      </c>
      <c r="D3" s="179">
        <v>40000</v>
      </c>
      <c r="E3" s="594"/>
      <c r="P3" s="180">
        <v>1</v>
      </c>
      <c r="Q3" s="181">
        <f>$R$20</f>
        <v>33210.800000000003</v>
      </c>
      <c r="R3" s="182">
        <f>1/(1+$R$21)^P3</f>
        <v>0.92592592592592582</v>
      </c>
      <c r="S3" s="183">
        <f>Q3*R3</f>
        <v>30750.740740740741</v>
      </c>
    </row>
    <row r="4" spans="1:19" ht="20.25" customHeight="1">
      <c r="A4" s="184" t="s">
        <v>120</v>
      </c>
      <c r="B4" s="184">
        <v>200</v>
      </c>
      <c r="C4" s="184" t="s">
        <v>119</v>
      </c>
      <c r="D4" s="185">
        <v>44000</v>
      </c>
      <c r="E4" s="594"/>
      <c r="P4" s="180">
        <v>2</v>
      </c>
      <c r="Q4" s="181">
        <f>$R$20</f>
        <v>33210.800000000003</v>
      </c>
      <c r="R4" s="182">
        <f>1/(1+$R$21)^P4</f>
        <v>0.85733882030178321</v>
      </c>
      <c r="S4" s="183">
        <f>Q4*R4</f>
        <v>28472.908093278464</v>
      </c>
    </row>
    <row r="5" spans="1:19" ht="15" customHeight="1">
      <c r="A5" s="186" t="s">
        <v>121</v>
      </c>
      <c r="B5" s="186">
        <v>200</v>
      </c>
      <c r="C5" s="186" t="s">
        <v>119</v>
      </c>
      <c r="D5" s="187">
        <v>32000</v>
      </c>
      <c r="E5" s="594"/>
      <c r="P5" s="180">
        <v>3</v>
      </c>
      <c r="Q5" s="181">
        <f>$R$20</f>
        <v>33210.800000000003</v>
      </c>
      <c r="R5" s="182">
        <f>1/(1+$R$21)^P5</f>
        <v>0.79383224102016958</v>
      </c>
      <c r="S5" s="183">
        <f>Q5*R5</f>
        <v>26363.803790072649</v>
      </c>
    </row>
    <row r="6" spans="1:19" ht="19.5" customHeight="1">
      <c r="A6" s="188"/>
      <c r="B6" s="188"/>
      <c r="C6" s="188"/>
      <c r="D6" s="189"/>
      <c r="E6" s="594"/>
      <c r="P6" s="180">
        <v>4</v>
      </c>
      <c r="Q6" s="181">
        <f>$R$20</f>
        <v>33210.800000000003</v>
      </c>
      <c r="R6" s="182">
        <f>1/(1+$R$21)^P6</f>
        <v>0.73502985279645328</v>
      </c>
      <c r="S6" s="183">
        <f>Q6*R6</f>
        <v>24410.929435252452</v>
      </c>
    </row>
    <row r="7" spans="1:19" ht="20.25" customHeight="1">
      <c r="A7" s="190"/>
      <c r="B7" s="190"/>
      <c r="C7" s="190"/>
      <c r="D7" s="189"/>
      <c r="E7" s="594"/>
      <c r="O7" s="76" t="s">
        <v>122</v>
      </c>
      <c r="P7" s="180">
        <v>5</v>
      </c>
      <c r="Q7" s="181">
        <f>$R$20</f>
        <v>33210.800000000003</v>
      </c>
      <c r="R7" s="182">
        <f>1/(1+$R$21)^P7</f>
        <v>0.68058319703375303</v>
      </c>
      <c r="S7" s="183">
        <f>Q7*R7</f>
        <v>22602.712440048566</v>
      </c>
    </row>
    <row r="8" spans="1:19" ht="22.5" customHeight="1">
      <c r="A8" s="191"/>
      <c r="B8" s="192"/>
      <c r="C8" s="192"/>
      <c r="D8" s="189"/>
      <c r="E8" s="594"/>
      <c r="F8" s="596" t="s">
        <v>123</v>
      </c>
      <c r="G8" s="598"/>
      <c r="H8" s="599"/>
      <c r="I8" s="193"/>
      <c r="P8" s="180">
        <v>6</v>
      </c>
      <c r="Q8" s="181">
        <f>$R$20</f>
        <v>33210.800000000003</v>
      </c>
      <c r="R8" s="182">
        <f>1/(1+$R$21)^P8</f>
        <v>0.63016962688310452</v>
      </c>
      <c r="S8" s="183">
        <f>Q8*R8</f>
        <v>20928.437444489409</v>
      </c>
    </row>
    <row r="9" spans="1:19" ht="27" customHeight="1">
      <c r="A9" s="191"/>
      <c r="B9" s="190"/>
      <c r="C9" s="190"/>
      <c r="D9" s="189"/>
      <c r="E9" s="594"/>
      <c r="F9" s="194" t="s">
        <v>124</v>
      </c>
      <c r="G9" s="602" t="s">
        <v>125</v>
      </c>
      <c r="H9" s="603"/>
      <c r="I9" s="193"/>
      <c r="P9" s="180">
        <v>7</v>
      </c>
      <c r="Q9" s="181">
        <f>$R$20</f>
        <v>33210.800000000003</v>
      </c>
      <c r="R9" s="182">
        <f>1/(1+$R$21)^P9</f>
        <v>0.58349039526213387</v>
      </c>
      <c r="S9" s="183">
        <f>Q9*R9</f>
        <v>19378.182818971676</v>
      </c>
    </row>
    <row r="10" spans="1:19" ht="30.75" customHeight="1">
      <c r="A10" s="191"/>
      <c r="B10" s="608" t="s">
        <v>126</v>
      </c>
      <c r="C10" s="609"/>
      <c r="D10" s="610"/>
      <c r="E10" s="594"/>
      <c r="F10" s="195" t="s">
        <v>127</v>
      </c>
      <c r="G10" s="600" t="s">
        <v>128</v>
      </c>
      <c r="H10" s="601"/>
      <c r="I10" s="193"/>
      <c r="P10" s="180">
        <v>8</v>
      </c>
      <c r="Q10" s="181">
        <f>$R$20</f>
        <v>33210.800000000003</v>
      </c>
      <c r="R10" s="182">
        <f>1/(1+$R$21)^P10</f>
        <v>0.54026888450197574</v>
      </c>
      <c r="S10" s="183">
        <f>Q10*R10</f>
        <v>17942.761869418217</v>
      </c>
    </row>
    <row r="11" spans="1:19" ht="30.75" customHeight="1">
      <c r="B11" s="196" t="s">
        <v>129</v>
      </c>
      <c r="C11" s="197" t="s">
        <v>130</v>
      </c>
      <c r="D11" s="198"/>
      <c r="E11" s="594"/>
      <c r="F11" s="199" t="s">
        <v>131</v>
      </c>
      <c r="G11" s="600" t="s">
        <v>132</v>
      </c>
      <c r="H11" s="601"/>
      <c r="I11" s="193"/>
      <c r="P11" s="180">
        <v>9</v>
      </c>
      <c r="Q11" s="181">
        <f>$R$20</f>
        <v>33210.800000000003</v>
      </c>
      <c r="R11" s="182">
        <f>1/(1+$R$21)^P11</f>
        <v>0.50024896713145905</v>
      </c>
      <c r="S11" s="183">
        <f>Q11*R11</f>
        <v>16613.668397609461</v>
      </c>
    </row>
    <row r="12" spans="1:19" s="200" customFormat="1" ht="24.75" customHeight="1">
      <c r="B12" s="207" t="s">
        <v>133</v>
      </c>
      <c r="C12" s="293" t="s">
        <v>134</v>
      </c>
      <c r="D12" s="208"/>
      <c r="F12" s="201" t="s">
        <v>135</v>
      </c>
      <c r="G12" s="604" t="s">
        <v>136</v>
      </c>
      <c r="H12" s="605"/>
      <c r="I12" s="202"/>
      <c r="P12" s="203">
        <v>10</v>
      </c>
      <c r="Q12" s="204">
        <f>$R$20</f>
        <v>33210.800000000003</v>
      </c>
      <c r="R12" s="205">
        <f>1/(1+$R$21)^P12</f>
        <v>0.46319348808468425</v>
      </c>
      <c r="S12" s="206">
        <f>Q12*R12</f>
        <v>15383.026294082832</v>
      </c>
    </row>
    <row r="13" spans="1:19" s="200" customFormat="1" ht="29.25" customHeight="1">
      <c r="B13" s="290"/>
      <c r="C13" s="291"/>
      <c r="D13" s="292"/>
      <c r="F13" s="209" t="s">
        <v>137</v>
      </c>
      <c r="G13" s="606" t="s">
        <v>138</v>
      </c>
      <c r="H13" s="607"/>
    </row>
    <row r="14" spans="1:19" s="211" customFormat="1">
      <c r="A14" s="193"/>
      <c r="B14" s="193"/>
      <c r="C14" s="193"/>
      <c r="D14" s="193"/>
      <c r="E14" s="193"/>
      <c r="F14" s="210" t="s">
        <v>139</v>
      </c>
      <c r="G14" s="606" t="s">
        <v>140</v>
      </c>
      <c r="H14" s="665"/>
    </row>
    <row r="16" spans="1:19">
      <c r="D16" s="594"/>
      <c r="E16" s="594"/>
      <c r="F16" s="212"/>
      <c r="G16" s="212"/>
      <c r="H16" s="212"/>
    </row>
    <row r="18" spans="1:18">
      <c r="D18" s="594"/>
      <c r="E18" s="594"/>
      <c r="Q18" s="596" t="s">
        <v>141</v>
      </c>
      <c r="R18" s="597"/>
    </row>
    <row r="19" spans="1:18" ht="33.75" customHeight="1">
      <c r="D19" s="594"/>
      <c r="E19" s="594"/>
      <c r="Q19" s="213" t="s">
        <v>142</v>
      </c>
      <c r="R19" s="214">
        <f>L26/5</f>
        <v>39917.800000000003</v>
      </c>
    </row>
    <row r="20" spans="1:18" ht="23.25" customHeight="1">
      <c r="D20" s="594"/>
      <c r="E20" s="594"/>
      <c r="Q20" s="215" t="s">
        <v>143</v>
      </c>
      <c r="R20" s="216">
        <f>R19-L23</f>
        <v>33210.800000000003</v>
      </c>
    </row>
    <row r="21" spans="1:18" ht="28.5" customHeight="1">
      <c r="A21" s="637" t="s">
        <v>144</v>
      </c>
      <c r="B21" s="638"/>
      <c r="D21" s="635" t="s">
        <v>145</v>
      </c>
      <c r="E21" s="636"/>
      <c r="K21" s="658" t="s">
        <v>146</v>
      </c>
      <c r="L21" s="664"/>
      <c r="Q21" s="217" t="s">
        <v>147</v>
      </c>
      <c r="R21" s="218">
        <v>0.08</v>
      </c>
    </row>
    <row r="22" spans="1:18" ht="33.75" customHeight="1">
      <c r="A22" s="219" t="s">
        <v>148</v>
      </c>
      <c r="B22" s="220" t="s">
        <v>149</v>
      </c>
      <c r="D22" s="221" t="s">
        <v>148</v>
      </c>
      <c r="E22" s="222" t="s">
        <v>150</v>
      </c>
      <c r="G22" s="596" t="s">
        <v>151</v>
      </c>
      <c r="H22" s="597"/>
      <c r="K22" s="223" t="s">
        <v>152</v>
      </c>
      <c r="L22" s="224">
        <v>22865</v>
      </c>
    </row>
    <row r="23" spans="1:18" ht="27.75" customHeight="1">
      <c r="A23" s="225" t="s">
        <v>153</v>
      </c>
      <c r="B23" s="226">
        <v>6860</v>
      </c>
      <c r="D23" s="227" t="s">
        <v>154</v>
      </c>
      <c r="E23" s="228" t="s">
        <v>155</v>
      </c>
      <c r="G23" s="229" t="s">
        <v>156</v>
      </c>
      <c r="H23" s="230" t="s">
        <v>149</v>
      </c>
      <c r="K23" s="201" t="s">
        <v>157</v>
      </c>
      <c r="L23" s="224">
        <v>6707</v>
      </c>
    </row>
    <row r="24" spans="1:18" ht="27.75" customHeight="1">
      <c r="A24" s="231" t="s">
        <v>158</v>
      </c>
      <c r="B24" s="232">
        <v>4573</v>
      </c>
      <c r="D24" s="227" t="s">
        <v>159</v>
      </c>
      <c r="E24" s="233" t="s">
        <v>160</v>
      </c>
      <c r="G24" s="195" t="s">
        <v>161</v>
      </c>
      <c r="H24" s="234">
        <v>115867</v>
      </c>
      <c r="K24" s="223" t="s">
        <v>162</v>
      </c>
      <c r="L24" s="224">
        <v>33534</v>
      </c>
    </row>
    <row r="25" spans="1:18" ht="30.75" customHeight="1">
      <c r="A25" s="231" t="s">
        <v>163</v>
      </c>
      <c r="B25" s="232">
        <v>1829</v>
      </c>
      <c r="D25" s="227" t="s">
        <v>164</v>
      </c>
      <c r="E25" s="233" t="s">
        <v>165</v>
      </c>
      <c r="G25" s="195" t="s">
        <v>166</v>
      </c>
      <c r="H25" s="234">
        <v>5793</v>
      </c>
      <c r="J25" s="211"/>
      <c r="K25" s="223" t="s">
        <v>167</v>
      </c>
      <c r="L25" s="224">
        <v>56399</v>
      </c>
    </row>
    <row r="26" spans="1:18" ht="27.75" customHeight="1">
      <c r="A26" s="231" t="s">
        <v>168</v>
      </c>
      <c r="B26" s="232">
        <v>2286</v>
      </c>
      <c r="C26" s="235"/>
      <c r="D26" s="227" t="s">
        <v>169</v>
      </c>
      <c r="E26" s="233" t="s">
        <v>170</v>
      </c>
      <c r="G26" s="195" t="s">
        <v>171</v>
      </c>
      <c r="H26" s="234">
        <v>30490</v>
      </c>
      <c r="J26" s="236"/>
      <c r="K26" s="201" t="s">
        <v>172</v>
      </c>
      <c r="L26" s="224">
        <v>199589</v>
      </c>
    </row>
    <row r="27" spans="1:18" ht="27.75" customHeight="1">
      <c r="A27" s="237" t="s">
        <v>173</v>
      </c>
      <c r="B27" s="238">
        <v>3814</v>
      </c>
      <c r="C27" s="239"/>
      <c r="D27" s="227" t="s">
        <v>174</v>
      </c>
      <c r="E27" s="233" t="s">
        <v>175</v>
      </c>
      <c r="G27" s="240" t="s">
        <v>176</v>
      </c>
      <c r="H27" s="234">
        <v>19362</v>
      </c>
      <c r="J27" s="241"/>
      <c r="K27" s="201" t="s">
        <v>177</v>
      </c>
      <c r="L27" s="224">
        <v>171445.03</v>
      </c>
    </row>
    <row r="28" spans="1:18" ht="26.25" customHeight="1">
      <c r="A28" s="242" t="s">
        <v>178</v>
      </c>
      <c r="B28" s="243">
        <v>15548</v>
      </c>
      <c r="D28" s="244" t="s">
        <v>179</v>
      </c>
      <c r="E28" s="245" t="s">
        <v>180</v>
      </c>
      <c r="G28" s="246" t="s">
        <v>181</v>
      </c>
      <c r="H28" s="247">
        <v>171512</v>
      </c>
      <c r="J28" s="241"/>
      <c r="K28" s="248" t="s">
        <v>182</v>
      </c>
      <c r="L28" s="249" t="s">
        <v>183</v>
      </c>
    </row>
    <row r="29" spans="1:18" ht="30" customHeight="1">
      <c r="D29" s="594"/>
      <c r="E29" s="594"/>
      <c r="J29" s="241"/>
      <c r="K29" s="250" t="s">
        <v>184</v>
      </c>
      <c r="L29" s="251">
        <v>4.3</v>
      </c>
    </row>
    <row r="30" spans="1:18">
      <c r="D30" s="594"/>
      <c r="E30" s="594"/>
      <c r="J30" s="241"/>
      <c r="K30" s="241"/>
      <c r="L30" s="241"/>
    </row>
    <row r="31" spans="1:18">
      <c r="D31" s="594"/>
      <c r="E31" s="594"/>
      <c r="J31" s="241"/>
      <c r="K31" s="241"/>
      <c r="L31" s="241"/>
      <c r="M31" s="76" t="s">
        <v>185</v>
      </c>
    </row>
    <row r="32" spans="1:18">
      <c r="D32" s="594"/>
      <c r="E32" s="594"/>
      <c r="J32" s="241"/>
      <c r="K32" s="241"/>
      <c r="L32" s="241"/>
    </row>
    <row r="33" spans="1:12">
      <c r="A33" s="648" t="s">
        <v>186</v>
      </c>
      <c r="B33" s="649"/>
      <c r="C33" s="649"/>
      <c r="D33" s="650"/>
      <c r="E33" s="252"/>
      <c r="F33" s="669" t="s">
        <v>187</v>
      </c>
      <c r="G33" s="670"/>
      <c r="H33" s="671"/>
      <c r="J33" s="211"/>
      <c r="K33" s="211"/>
      <c r="L33" s="211"/>
    </row>
    <row r="34" spans="1:12">
      <c r="A34" s="253" t="s">
        <v>188</v>
      </c>
      <c r="B34" s="253" t="s">
        <v>189</v>
      </c>
      <c r="C34" s="254" t="s">
        <v>190</v>
      </c>
      <c r="D34" s="255" t="s">
        <v>191</v>
      </c>
      <c r="E34" s="163"/>
      <c r="F34" s="164" t="s">
        <v>192</v>
      </c>
      <c r="G34" s="165" t="s">
        <v>193</v>
      </c>
      <c r="H34" s="166" t="s">
        <v>194</v>
      </c>
    </row>
    <row r="35" spans="1:12" ht="19.5">
      <c r="A35" s="256" t="s">
        <v>195</v>
      </c>
      <c r="B35" s="257">
        <v>15548</v>
      </c>
      <c r="C35" s="258">
        <v>5</v>
      </c>
      <c r="D35" s="259">
        <f>B35/C35</f>
        <v>3109.6</v>
      </c>
      <c r="E35" s="260"/>
      <c r="F35" s="167" t="s">
        <v>120</v>
      </c>
      <c r="G35" s="168">
        <v>67.06</v>
      </c>
      <c r="H35" s="169">
        <f>D37/G35</f>
        <v>146.38532657321801</v>
      </c>
      <c r="I35" s="260"/>
    </row>
    <row r="36" spans="1:12" s="265" customFormat="1">
      <c r="A36" s="261" t="s">
        <v>196</v>
      </c>
      <c r="B36" s="262">
        <v>6707</v>
      </c>
      <c r="C36" s="165">
        <v>1</v>
      </c>
      <c r="D36" s="168">
        <f>B36/C36</f>
        <v>6707</v>
      </c>
      <c r="E36" s="263"/>
      <c r="F36" s="264"/>
      <c r="G36" s="264"/>
      <c r="H36" s="263"/>
      <c r="I36" s="263"/>
    </row>
    <row r="37" spans="1:12">
      <c r="A37" s="266" t="s">
        <v>197</v>
      </c>
      <c r="B37" s="267" t="s">
        <v>198</v>
      </c>
      <c r="C37" s="268" t="s">
        <v>198</v>
      </c>
      <c r="D37" s="169">
        <f>D36+D35</f>
        <v>9816.6</v>
      </c>
      <c r="E37" s="594"/>
      <c r="F37" s="76" t="s">
        <v>185</v>
      </c>
    </row>
    <row r="38" spans="1:12">
      <c r="D38" s="594"/>
      <c r="E38" s="594"/>
      <c r="F38" s="666" t="s">
        <v>199</v>
      </c>
      <c r="G38" s="667"/>
      <c r="H38" s="668"/>
    </row>
    <row r="39" spans="1:12" ht="28.5" customHeight="1">
      <c r="A39" s="617"/>
      <c r="B39" s="617"/>
      <c r="C39" s="617"/>
      <c r="D39" s="594"/>
      <c r="E39" s="594" t="s">
        <v>200</v>
      </c>
      <c r="F39" s="167" t="s">
        <v>201</v>
      </c>
      <c r="G39" s="170" t="s">
        <v>202</v>
      </c>
      <c r="H39" s="171" t="s">
        <v>199</v>
      </c>
    </row>
    <row r="40" spans="1:12" ht="28.5" customHeight="1">
      <c r="A40" s="630" t="s">
        <v>203</v>
      </c>
      <c r="B40" s="631"/>
      <c r="C40" s="632"/>
      <c r="D40" s="594"/>
      <c r="E40" s="594"/>
      <c r="F40" s="167">
        <v>0.25</v>
      </c>
      <c r="G40" s="172">
        <f>G35/F40</f>
        <v>268.24</v>
      </c>
      <c r="H40" s="166" t="s">
        <v>204</v>
      </c>
    </row>
    <row r="41" spans="1:12" ht="15.75" customHeight="1">
      <c r="A41" s="633"/>
      <c r="B41" s="595"/>
      <c r="C41" s="634"/>
      <c r="D41" s="594"/>
      <c r="E41" s="594"/>
      <c r="F41" s="173">
        <v>0.3</v>
      </c>
      <c r="G41" s="168">
        <v>224</v>
      </c>
      <c r="H41" s="173" t="s">
        <v>205</v>
      </c>
    </row>
    <row r="42" spans="1:12" s="265" customFormat="1">
      <c r="A42" s="269" t="s">
        <v>206</v>
      </c>
      <c r="B42" s="269" t="s">
        <v>150</v>
      </c>
      <c r="C42" s="269" t="s">
        <v>207</v>
      </c>
      <c r="D42" s="270"/>
      <c r="E42" s="270"/>
    </row>
    <row r="43" spans="1:12" ht="19.5">
      <c r="A43" s="621" t="s">
        <v>208</v>
      </c>
      <c r="B43" s="271" t="s">
        <v>209</v>
      </c>
      <c r="C43" s="272" t="s">
        <v>210</v>
      </c>
      <c r="D43" s="594"/>
      <c r="E43" s="594"/>
    </row>
    <row r="44" spans="1:12" ht="19.5">
      <c r="A44" s="622"/>
      <c r="B44" s="273" t="s">
        <v>211</v>
      </c>
      <c r="C44" s="273" t="s">
        <v>212</v>
      </c>
      <c r="D44" s="594"/>
      <c r="E44" s="594"/>
    </row>
    <row r="45" spans="1:12" ht="19.5">
      <c r="A45" s="621" t="s">
        <v>213</v>
      </c>
      <c r="B45" s="273" t="s">
        <v>214</v>
      </c>
      <c r="C45" s="273" t="s">
        <v>215</v>
      </c>
      <c r="D45" s="594"/>
      <c r="E45" s="594"/>
    </row>
    <row r="46" spans="1:12" ht="56.25">
      <c r="A46" s="622"/>
      <c r="B46" s="273" t="s">
        <v>216</v>
      </c>
      <c r="C46" s="274" t="s">
        <v>217</v>
      </c>
      <c r="D46" s="594"/>
      <c r="E46" s="594"/>
    </row>
    <row r="47" spans="1:12" ht="39">
      <c r="A47" s="621" t="s">
        <v>218</v>
      </c>
      <c r="B47" s="273" t="s">
        <v>219</v>
      </c>
      <c r="C47" s="271"/>
      <c r="D47" s="594"/>
      <c r="E47" s="594"/>
    </row>
    <row r="48" spans="1:12" ht="19.5">
      <c r="A48" s="622"/>
      <c r="B48" s="273" t="s">
        <v>220</v>
      </c>
      <c r="C48" s="271" t="s">
        <v>221</v>
      </c>
      <c r="D48" s="594"/>
      <c r="E48" s="594"/>
    </row>
    <row r="49" spans="1:15" ht="19.5">
      <c r="A49" s="621" t="s">
        <v>222</v>
      </c>
      <c r="B49" s="273" t="s">
        <v>223</v>
      </c>
      <c r="C49" s="271" t="s">
        <v>224</v>
      </c>
      <c r="D49" s="594"/>
      <c r="E49" s="594"/>
    </row>
    <row r="50" spans="1:15" ht="19.5">
      <c r="A50" s="629"/>
      <c r="B50" s="273" t="s">
        <v>225</v>
      </c>
      <c r="C50" s="271" t="s">
        <v>226</v>
      </c>
      <c r="D50" s="594"/>
      <c r="E50" s="594"/>
    </row>
    <row r="51" spans="1:15" ht="19.5">
      <c r="A51" s="622"/>
      <c r="B51" s="273" t="s">
        <v>227</v>
      </c>
      <c r="C51" s="271" t="s">
        <v>228</v>
      </c>
      <c r="D51" s="594"/>
      <c r="E51" s="594"/>
    </row>
    <row r="52" spans="1:15">
      <c r="A52" s="621" t="s">
        <v>229</v>
      </c>
      <c r="B52" s="275" t="s">
        <v>230</v>
      </c>
      <c r="C52" s="275" t="s">
        <v>231</v>
      </c>
      <c r="D52" s="594"/>
      <c r="E52" s="594"/>
    </row>
    <row r="53" spans="1:15">
      <c r="A53" s="622"/>
      <c r="B53" s="276" t="s">
        <v>232</v>
      </c>
      <c r="C53" s="276" t="s">
        <v>233</v>
      </c>
      <c r="D53" s="594"/>
      <c r="E53" s="594"/>
      <c r="G53" s="76" t="s">
        <v>185</v>
      </c>
    </row>
    <row r="54" spans="1:15">
      <c r="A54" s="277"/>
      <c r="B54" s="277"/>
      <c r="C54" s="277"/>
      <c r="D54" s="594"/>
      <c r="E54" s="594"/>
    </row>
    <row r="56" spans="1:15" ht="15" customHeight="1">
      <c r="A56" s="278"/>
      <c r="B56" s="279"/>
      <c r="C56" s="279"/>
      <c r="D56" s="279"/>
      <c r="E56" s="279"/>
      <c r="F56" s="279"/>
    </row>
    <row r="57" spans="1:15" ht="24.75" customHeight="1">
      <c r="A57" s="279"/>
      <c r="B57" s="279"/>
      <c r="C57" s="279"/>
      <c r="D57" s="279"/>
      <c r="E57" s="279"/>
      <c r="F57" s="279"/>
    </row>
    <row r="58" spans="1:15" ht="27" customHeight="1">
      <c r="A58" s="623" t="s">
        <v>234</v>
      </c>
      <c r="B58" s="624"/>
      <c r="C58" s="624"/>
      <c r="D58" s="624"/>
      <c r="E58" s="625"/>
      <c r="F58" s="279"/>
      <c r="G58" s="658" t="s">
        <v>235</v>
      </c>
      <c r="H58" s="659"/>
      <c r="I58" s="659"/>
      <c r="J58" s="660"/>
      <c r="L58" s="661" t="s">
        <v>236</v>
      </c>
      <c r="M58" s="662"/>
      <c r="N58" s="662"/>
      <c r="O58" s="663"/>
    </row>
    <row r="59" spans="1:15" ht="24.75" customHeight="1">
      <c r="A59" s="626" t="s">
        <v>237</v>
      </c>
      <c r="B59" s="627"/>
      <c r="C59" s="627"/>
      <c r="D59" s="627"/>
      <c r="E59" s="628"/>
      <c r="F59" s="279"/>
      <c r="G59" s="283" t="s">
        <v>148</v>
      </c>
      <c r="H59" s="162" t="s">
        <v>238</v>
      </c>
      <c r="I59" s="162" t="s">
        <v>239</v>
      </c>
      <c r="J59" s="284" t="s">
        <v>240</v>
      </c>
      <c r="L59" s="283" t="s">
        <v>148</v>
      </c>
      <c r="M59" s="289" t="s">
        <v>238</v>
      </c>
      <c r="N59" s="162" t="s">
        <v>241</v>
      </c>
      <c r="O59" s="284" t="s">
        <v>240</v>
      </c>
    </row>
    <row r="60" spans="1:15" ht="18.75" customHeight="1">
      <c r="A60" s="618" t="s">
        <v>242</v>
      </c>
      <c r="B60" s="619"/>
      <c r="C60" s="619"/>
      <c r="D60" s="619"/>
      <c r="E60" s="620"/>
      <c r="F60" s="280"/>
      <c r="G60" s="201" t="s">
        <v>243</v>
      </c>
      <c r="H60" s="576">
        <v>10</v>
      </c>
      <c r="I60" s="576">
        <v>12</v>
      </c>
      <c r="J60" s="285">
        <f>I60*H60</f>
        <v>120</v>
      </c>
      <c r="L60" s="201" t="s">
        <v>244</v>
      </c>
      <c r="M60" s="576">
        <v>2</v>
      </c>
      <c r="N60" s="576">
        <v>180</v>
      </c>
      <c r="O60" s="285">
        <f>N60*M60</f>
        <v>360</v>
      </c>
    </row>
    <row r="61" spans="1:15" ht="21.75" customHeight="1">
      <c r="A61" s="618" t="s">
        <v>245</v>
      </c>
      <c r="B61" s="619"/>
      <c r="C61" s="619"/>
      <c r="D61" s="619"/>
      <c r="E61" s="620"/>
      <c r="F61" s="279"/>
      <c r="G61" s="201" t="s">
        <v>246</v>
      </c>
      <c r="H61" s="576">
        <v>5</v>
      </c>
      <c r="I61" s="576">
        <v>8</v>
      </c>
      <c r="J61" s="285">
        <f>I61*H61</f>
        <v>40</v>
      </c>
      <c r="L61" s="201" t="s">
        <v>247</v>
      </c>
      <c r="M61" s="576">
        <v>1</v>
      </c>
      <c r="N61" s="576">
        <v>1200</v>
      </c>
      <c r="O61" s="285">
        <f>N61*M61</f>
        <v>1200</v>
      </c>
    </row>
    <row r="62" spans="1:15" ht="18.75" customHeight="1">
      <c r="A62" s="281"/>
      <c r="B62" s="239"/>
      <c r="C62" s="239"/>
      <c r="D62" s="252"/>
      <c r="E62" s="282"/>
      <c r="F62" s="279"/>
      <c r="G62" s="201" t="s">
        <v>248</v>
      </c>
      <c r="H62" s="576">
        <v>4</v>
      </c>
      <c r="I62" s="576">
        <v>25</v>
      </c>
      <c r="J62" s="285">
        <f>H62*I62</f>
        <v>100</v>
      </c>
      <c r="L62" s="201" t="s">
        <v>249</v>
      </c>
      <c r="M62" s="576">
        <v>1</v>
      </c>
      <c r="N62" s="576">
        <v>800</v>
      </c>
      <c r="O62" s="285">
        <f>N62*M62</f>
        <v>800</v>
      </c>
    </row>
    <row r="63" spans="1:15" ht="21" customHeight="1">
      <c r="A63" s="626" t="s">
        <v>250</v>
      </c>
      <c r="B63" s="653"/>
      <c r="C63" s="653"/>
      <c r="D63" s="653"/>
      <c r="E63" s="654"/>
      <c r="F63" s="279"/>
      <c r="G63" s="201" t="s">
        <v>251</v>
      </c>
      <c r="H63" s="576">
        <v>4</v>
      </c>
      <c r="I63" s="576">
        <v>45</v>
      </c>
      <c r="J63" s="285">
        <f>I63</f>
        <v>45</v>
      </c>
      <c r="L63" s="201" t="s">
        <v>252</v>
      </c>
      <c r="M63" s="576">
        <v>1</v>
      </c>
      <c r="N63" s="576">
        <v>120</v>
      </c>
      <c r="O63" s="285">
        <f>N63*M63</f>
        <v>120</v>
      </c>
    </row>
    <row r="64" spans="1:15" ht="18" customHeight="1">
      <c r="A64" s="614" t="s">
        <v>253</v>
      </c>
      <c r="B64" s="615"/>
      <c r="C64" s="615"/>
      <c r="D64" s="615"/>
      <c r="E64" s="616"/>
      <c r="F64" s="279"/>
      <c r="G64" s="201" t="s">
        <v>254</v>
      </c>
      <c r="H64" s="576">
        <v>1</v>
      </c>
      <c r="I64" s="576">
        <v>120</v>
      </c>
      <c r="J64" s="285">
        <f>I64</f>
        <v>120</v>
      </c>
      <c r="L64" s="201" t="s">
        <v>255</v>
      </c>
      <c r="M64" s="576">
        <v>1</v>
      </c>
      <c r="N64" s="576">
        <v>1500</v>
      </c>
      <c r="O64" s="285">
        <f>N64*M64</f>
        <v>1500</v>
      </c>
    </row>
    <row r="65" spans="1:15" ht="18" customHeight="1">
      <c r="A65" s="626" t="s">
        <v>256</v>
      </c>
      <c r="B65" s="653"/>
      <c r="C65" s="653"/>
      <c r="D65" s="653"/>
      <c r="E65" s="654"/>
      <c r="F65" s="279"/>
      <c r="G65" s="201" t="s">
        <v>257</v>
      </c>
      <c r="H65" s="576">
        <v>4</v>
      </c>
      <c r="I65" s="576">
        <v>75</v>
      </c>
      <c r="J65" s="285">
        <f>I65*H65</f>
        <v>300</v>
      </c>
      <c r="L65" s="201" t="s">
        <v>258</v>
      </c>
      <c r="M65" s="576">
        <v>2</v>
      </c>
      <c r="N65" s="576">
        <v>90</v>
      </c>
      <c r="O65" s="285">
        <f>N65*M65</f>
        <v>180</v>
      </c>
    </row>
    <row r="66" spans="1:15" ht="27" customHeight="1">
      <c r="A66" s="614" t="s">
        <v>253</v>
      </c>
      <c r="B66" s="615"/>
      <c r="C66" s="615"/>
      <c r="D66" s="615"/>
      <c r="E66" s="616"/>
      <c r="F66" s="279"/>
      <c r="G66" s="201" t="s">
        <v>259</v>
      </c>
      <c r="H66" s="576">
        <v>2</v>
      </c>
      <c r="I66" s="576">
        <v>350</v>
      </c>
      <c r="J66" s="285">
        <f>I66*H66</f>
        <v>700</v>
      </c>
      <c r="L66" s="201" t="s">
        <v>260</v>
      </c>
      <c r="M66" s="576">
        <v>1</v>
      </c>
      <c r="N66" s="576">
        <v>180</v>
      </c>
      <c r="O66" s="285">
        <f>N66*M66</f>
        <v>180</v>
      </c>
    </row>
    <row r="67" spans="1:15" ht="32.25" customHeight="1">
      <c r="A67" s="655" t="s">
        <v>261</v>
      </c>
      <c r="B67" s="656"/>
      <c r="C67" s="656"/>
      <c r="D67" s="656"/>
      <c r="E67" s="657"/>
      <c r="F67" s="279"/>
      <c r="G67" s="201" t="s">
        <v>262</v>
      </c>
      <c r="H67" s="576">
        <v>1</v>
      </c>
      <c r="I67" s="576">
        <v>6860</v>
      </c>
      <c r="J67" s="285">
        <f>I67</f>
        <v>6860</v>
      </c>
      <c r="L67" s="286" t="s">
        <v>263</v>
      </c>
      <c r="M67" s="287">
        <v>100</v>
      </c>
      <c r="N67" s="287">
        <v>4.5</v>
      </c>
      <c r="O67" s="288">
        <f>N67*M67</f>
        <v>450</v>
      </c>
    </row>
    <row r="68" spans="1:15" ht="17.25" customHeight="1">
      <c r="A68" s="626" t="s">
        <v>264</v>
      </c>
      <c r="B68" s="651"/>
      <c r="C68" s="651"/>
      <c r="D68" s="651"/>
      <c r="E68" s="652"/>
      <c r="F68" s="279"/>
      <c r="G68" s="201" t="s">
        <v>265</v>
      </c>
      <c r="H68" s="576">
        <v>1</v>
      </c>
      <c r="I68" s="576">
        <v>4573</v>
      </c>
      <c r="J68" s="285">
        <f>I68</f>
        <v>4573</v>
      </c>
    </row>
    <row r="69" spans="1:15" ht="23.25" customHeight="1">
      <c r="A69" s="614" t="s">
        <v>266</v>
      </c>
      <c r="B69" s="615"/>
      <c r="C69" s="615"/>
      <c r="D69" s="615"/>
      <c r="E69" s="616"/>
      <c r="F69" s="279"/>
      <c r="G69" s="286" t="s">
        <v>267</v>
      </c>
      <c r="H69" s="287">
        <v>1</v>
      </c>
      <c r="I69" s="287">
        <v>900</v>
      </c>
      <c r="J69" s="288">
        <f>I69</f>
        <v>900</v>
      </c>
    </row>
    <row r="70" spans="1:15" ht="17.25" customHeight="1">
      <c r="A70" s="626" t="s">
        <v>268</v>
      </c>
      <c r="B70" s="651"/>
      <c r="C70" s="651"/>
      <c r="D70" s="651"/>
      <c r="E70" s="652"/>
      <c r="F70" s="279"/>
    </row>
    <row r="71" spans="1:15" ht="16.5" customHeight="1">
      <c r="A71" s="614" t="s">
        <v>269</v>
      </c>
      <c r="B71" s="615"/>
      <c r="C71" s="615"/>
      <c r="D71" s="615"/>
      <c r="E71" s="616"/>
      <c r="F71" s="279"/>
    </row>
    <row r="72" spans="1:15" ht="15" customHeight="1">
      <c r="A72" s="626" t="s">
        <v>270</v>
      </c>
      <c r="B72" s="651"/>
      <c r="C72" s="651"/>
      <c r="D72" s="651"/>
      <c r="E72" s="652"/>
      <c r="F72" s="279"/>
    </row>
    <row r="73" spans="1:15" ht="21" customHeight="1">
      <c r="A73" s="614" t="s">
        <v>271</v>
      </c>
      <c r="B73" s="615"/>
      <c r="C73" s="615"/>
      <c r="D73" s="615"/>
      <c r="E73" s="616"/>
      <c r="F73" s="279"/>
    </row>
    <row r="74" spans="1:15" ht="15.75" customHeight="1">
      <c r="A74" s="626" t="s">
        <v>272</v>
      </c>
      <c r="B74" s="642"/>
      <c r="C74" s="642"/>
      <c r="D74" s="642"/>
      <c r="E74" s="643"/>
      <c r="F74" s="279"/>
    </row>
    <row r="75" spans="1:15" ht="21" customHeight="1">
      <c r="A75" s="614" t="s">
        <v>273</v>
      </c>
      <c r="B75" s="615"/>
      <c r="C75" s="615"/>
      <c r="D75" s="615"/>
      <c r="E75" s="616"/>
      <c r="F75" s="279"/>
    </row>
    <row r="76" spans="1:15">
      <c r="A76" s="644" t="s">
        <v>274</v>
      </c>
      <c r="B76" s="645"/>
      <c r="C76" s="645"/>
      <c r="D76" s="645"/>
      <c r="E76" s="646"/>
      <c r="F76" s="279"/>
    </row>
    <row r="77" spans="1:15" ht="20.25" customHeight="1">
      <c r="A77" s="614" t="s">
        <v>275</v>
      </c>
      <c r="B77" s="615"/>
      <c r="C77" s="615"/>
      <c r="D77" s="615"/>
      <c r="E77" s="616"/>
      <c r="F77" s="279"/>
    </row>
    <row r="78" spans="1:15" ht="16.5" customHeight="1">
      <c r="A78" s="647" t="s">
        <v>276</v>
      </c>
      <c r="B78" s="642"/>
      <c r="C78" s="642"/>
      <c r="D78" s="642"/>
      <c r="E78" s="643"/>
      <c r="F78" s="279"/>
    </row>
    <row r="79" spans="1:15">
      <c r="A79" s="639" t="s">
        <v>277</v>
      </c>
      <c r="B79" s="640"/>
      <c r="C79" s="640"/>
      <c r="D79" s="640"/>
      <c r="E79" s="641"/>
      <c r="F79" s="279"/>
    </row>
    <row r="80" spans="1:15">
      <c r="A80" s="279"/>
      <c r="B80" s="279"/>
      <c r="C80" s="279"/>
      <c r="D80" s="279"/>
      <c r="E80" s="279"/>
      <c r="F80" s="279"/>
    </row>
    <row r="81" spans="1:6">
      <c r="A81" s="279"/>
      <c r="B81" s="279"/>
      <c r="C81" s="279"/>
      <c r="D81" s="279"/>
      <c r="E81" s="279"/>
      <c r="F81" s="279"/>
    </row>
    <row r="82" spans="1:6">
      <c r="A82" s="279"/>
      <c r="B82" s="279"/>
      <c r="C82" s="279"/>
      <c r="D82" s="279"/>
      <c r="E82" s="279"/>
      <c r="F82" s="279"/>
    </row>
    <row r="83" spans="1:6">
      <c r="A83" s="279"/>
      <c r="B83" s="279"/>
      <c r="C83" s="279"/>
      <c r="D83" s="279"/>
      <c r="E83" s="279"/>
      <c r="F83" s="279"/>
    </row>
    <row r="84" spans="1:6">
      <c r="A84" s="279"/>
      <c r="B84" s="279"/>
      <c r="C84" s="279"/>
      <c r="D84" s="279"/>
      <c r="E84" s="279"/>
      <c r="F84" s="279"/>
    </row>
    <row r="85" spans="1:6">
      <c r="A85" s="279"/>
      <c r="B85" s="279"/>
      <c r="C85" s="279"/>
      <c r="D85" s="279"/>
      <c r="E85" s="279"/>
      <c r="F85" s="279"/>
    </row>
    <row r="86" spans="1:6">
      <c r="A86" s="279"/>
      <c r="B86" s="279"/>
      <c r="C86" s="279"/>
      <c r="D86" s="279"/>
      <c r="E86" s="279"/>
      <c r="F86" s="279"/>
    </row>
    <row r="87" spans="1:6">
      <c r="A87" s="279"/>
      <c r="B87" s="279"/>
      <c r="C87" s="279"/>
      <c r="D87" s="279"/>
      <c r="E87" s="279"/>
      <c r="F87" s="279"/>
    </row>
    <row r="88" spans="1:6">
      <c r="A88" s="279"/>
      <c r="B88" s="279"/>
      <c r="C88" s="279"/>
      <c r="D88" s="279"/>
      <c r="E88" s="279"/>
      <c r="F88" s="279"/>
    </row>
    <row r="89" spans="1:6">
      <c r="A89" s="279"/>
      <c r="B89" s="279"/>
      <c r="C89" s="279"/>
      <c r="D89" s="279"/>
      <c r="E89" s="279"/>
      <c r="F89" s="279"/>
    </row>
    <row r="90" spans="1:6">
      <c r="A90" s="279"/>
      <c r="B90" s="279"/>
      <c r="C90" s="279"/>
      <c r="D90" s="279"/>
      <c r="E90" s="279"/>
      <c r="F90" s="279"/>
    </row>
    <row r="91" spans="1:6">
      <c r="A91" s="279"/>
      <c r="B91" s="279"/>
      <c r="C91" s="279"/>
      <c r="D91" s="279"/>
      <c r="E91" s="279"/>
      <c r="F91" s="279"/>
    </row>
    <row r="92" spans="1:6">
      <c r="A92" s="279"/>
      <c r="B92" s="279"/>
      <c r="C92" s="279"/>
      <c r="D92" s="279"/>
      <c r="E92" s="279"/>
      <c r="F92" s="279"/>
    </row>
  </sheetData>
  <mergeCells count="48">
    <mergeCell ref="L58:O58"/>
    <mergeCell ref="K21:L21"/>
    <mergeCell ref="G14:H14"/>
    <mergeCell ref="F38:H38"/>
    <mergeCell ref="F33:H33"/>
    <mergeCell ref="A33:D33"/>
    <mergeCell ref="G22:H22"/>
    <mergeCell ref="A72:E72"/>
    <mergeCell ref="A63:E63"/>
    <mergeCell ref="A65:E65"/>
    <mergeCell ref="A66:E66"/>
    <mergeCell ref="A64:E64"/>
    <mergeCell ref="A70:E70"/>
    <mergeCell ref="A71:E71"/>
    <mergeCell ref="A68:E68"/>
    <mergeCell ref="A67:E67"/>
    <mergeCell ref="G58:J58"/>
    <mergeCell ref="A79:E79"/>
    <mergeCell ref="A77:E77"/>
    <mergeCell ref="A73:E73"/>
    <mergeCell ref="A74:E74"/>
    <mergeCell ref="A75:E75"/>
    <mergeCell ref="A76:E76"/>
    <mergeCell ref="A78:E78"/>
    <mergeCell ref="B10:D10"/>
    <mergeCell ref="A1:D1"/>
    <mergeCell ref="A69:E69"/>
    <mergeCell ref="A39:C39"/>
    <mergeCell ref="A60:E60"/>
    <mergeCell ref="A45:A46"/>
    <mergeCell ref="A58:E58"/>
    <mergeCell ref="A61:E61"/>
    <mergeCell ref="A59:E59"/>
    <mergeCell ref="A49:A51"/>
    <mergeCell ref="A52:A53"/>
    <mergeCell ref="A40:C41"/>
    <mergeCell ref="A43:A44"/>
    <mergeCell ref="A47:A48"/>
    <mergeCell ref="D21:E21"/>
    <mergeCell ref="A21:B21"/>
    <mergeCell ref="P1:S1"/>
    <mergeCell ref="Q18:R18"/>
    <mergeCell ref="F8:H8"/>
    <mergeCell ref="G10:H10"/>
    <mergeCell ref="G9:H9"/>
    <mergeCell ref="G11:H11"/>
    <mergeCell ref="G12:H12"/>
    <mergeCell ref="G13:H13"/>
  </mergeCells>
  <hyperlinks>
    <hyperlink ref="A61" r:id="rId1" xr:uid="{720959A0-D5A2-4D27-AC4F-59A9E5CF84FB}"/>
    <hyperlink ref="A66" r:id="rId2" xr:uid="{18E5ADCD-D2A2-4986-ACC4-99CE9699130B}"/>
    <hyperlink ref="A64" r:id="rId3" xr:uid="{9729D0C0-3B5C-40AA-AA68-3239188EA9F2}"/>
    <hyperlink ref="A60" r:id="rId4" xr:uid="{3C5C16B1-E33A-478E-A708-CD30AC41EAB0}"/>
    <hyperlink ref="A69" r:id="rId5" xr:uid="{0D6AD0AC-C889-4C68-8F8D-720956A953A7}"/>
    <hyperlink ref="A61:E61" r:id="rId6" display="https://wikifarmer.com/library/en/article/mango-yield-harvest-and-post-harvest-handling" xr:uid="{70DC8ABB-F9AB-4738-8DC1-87159AAC4CA3}"/>
    <hyperlink ref="A64:E64" r:id="rId7" display="https://www.jains.com/Company/news/blog/HOWMUCHWATERDOESMYCROPNEEDPart2PerennialCrops1Mango.htm" xr:uid="{0D7889DD-EF7C-4ED2-A659-5CEE2FF28A14}"/>
    <hyperlink ref="A66:E66" r:id="rId8" display="https://www.jains.com/Company/news/blog/HOWMUCHWATERDOESMYCROPNEEDPart2PerennialCrops1Mango.htm" xr:uid="{05C6116D-9838-42CB-9065-70D4D9DBC5F8}"/>
    <hyperlink ref="A71" r:id="rId9" xr:uid="{985E5EFB-3A7E-4C8B-AB53-40F362BBE8C8}"/>
    <hyperlink ref="A73" r:id="rId10" xr:uid="{FB5BBA12-A64F-4F47-B874-5BC80F037897}"/>
    <hyperlink ref="A75" r:id="rId11" xr:uid="{46DF3114-3E5D-4CA0-8AF5-C10BDB873FD0}"/>
    <hyperlink ref="A77" r:id="rId12" xr:uid="{8910C724-7027-47AC-911D-A6F0F25D6C59}"/>
    <hyperlink ref="A79" r:id="rId13" xr:uid="{29B63216-701D-4B05-8981-621FBF7B750B}"/>
    <hyperlink ref="A69:E69" r:id="rId14" display="https://resources.colead.link/en/system/files/file_fields/2023/10/04/02-driedmangostudyweb.pdf" xr:uid="{71F63CD4-B4FB-46DE-B234-0D223EB05919}"/>
  </hyperlinks>
  <pageMargins left="0.7" right="0.7" top="0.75" bottom="0.75" header="0.3" footer="0.3"/>
  <drawing r:id="rId15"/>
  <legacyDrawing r:id="rId16"/>
  <tableParts count="2">
    <tablePart r:id="rId17"/>
    <tablePart r:id="rId18"/>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EFB5-7FE4-443C-BDFE-33AAFF1BB1E2}">
  <dimension ref="A1:AD63"/>
  <sheetViews>
    <sheetView topLeftCell="A3" workbookViewId="0">
      <selection activeCell="H31" sqref="H31"/>
    </sheetView>
  </sheetViews>
  <sheetFormatPr defaultRowHeight="15"/>
  <cols>
    <col min="1" max="1" width="43.140625" customWidth="1"/>
    <col min="2" max="2" width="18.28515625" customWidth="1"/>
    <col min="3" max="3" width="17.140625" customWidth="1"/>
    <col min="4" max="4" width="37.5703125" customWidth="1"/>
    <col min="5" max="5" width="24.5703125" customWidth="1"/>
    <col min="6" max="6" width="19.140625" customWidth="1"/>
    <col min="7" max="7" width="48.7109375" customWidth="1"/>
    <col min="8" max="8" width="33.42578125" customWidth="1"/>
    <col min="9" max="9" width="18" customWidth="1"/>
    <col min="10" max="10" width="42.140625" customWidth="1"/>
    <col min="11" max="11" width="19" customWidth="1"/>
    <col min="12" max="12" width="18" customWidth="1"/>
    <col min="13" max="13" width="21.140625" customWidth="1"/>
    <col min="14" max="14" width="34.42578125" customWidth="1"/>
    <col min="15" max="15" width="38.85546875" customWidth="1"/>
    <col min="16" max="16" width="38.7109375" customWidth="1"/>
    <col min="17" max="17" width="37" customWidth="1"/>
    <col min="18" max="18" width="35.42578125" customWidth="1"/>
    <col min="19" max="19" width="36.5703125" bestFit="1" customWidth="1"/>
    <col min="20" max="20" width="23.7109375" customWidth="1"/>
    <col min="21" max="21" width="30.28515625" customWidth="1"/>
    <col min="22" max="22" width="23.7109375" customWidth="1"/>
    <col min="23" max="23" width="30.7109375" customWidth="1"/>
    <col min="24" max="24" width="26.42578125" customWidth="1"/>
    <col min="25" max="25" width="34" customWidth="1"/>
    <col min="26" max="26" width="23.85546875" customWidth="1"/>
    <col min="27" max="27" width="28.7109375" customWidth="1"/>
    <col min="28" max="28" width="26" customWidth="1"/>
    <col min="29" max="29" width="24.7109375" customWidth="1"/>
    <col min="30" max="30" width="22.85546875" customWidth="1"/>
    <col min="31" max="31" width="21.28515625" customWidth="1"/>
    <col min="32" max="32" width="16.85546875" bestFit="1" customWidth="1"/>
    <col min="33" max="33" width="18.42578125" bestFit="1" customWidth="1"/>
  </cols>
  <sheetData>
    <row r="1" spans="1:27">
      <c r="A1" s="450"/>
      <c r="B1" s="450"/>
      <c r="C1" s="450"/>
      <c r="D1" s="450"/>
      <c r="E1" s="450"/>
      <c r="F1" s="450"/>
      <c r="G1" s="450"/>
      <c r="H1" s="450"/>
      <c r="I1" s="450"/>
      <c r="J1" s="450"/>
      <c r="K1" s="450"/>
      <c r="L1" s="450"/>
      <c r="M1" s="450"/>
      <c r="N1" s="456"/>
    </row>
    <row r="2" spans="1:27" ht="39.75" customHeight="1">
      <c r="A2" s="739" t="s">
        <v>278</v>
      </c>
      <c r="B2" s="739"/>
      <c r="C2" s="739"/>
      <c r="D2" s="739"/>
      <c r="E2" s="450"/>
      <c r="F2" s="450"/>
      <c r="G2" s="450"/>
      <c r="H2" s="450"/>
      <c r="I2" s="450"/>
      <c r="J2" s="450"/>
      <c r="K2" s="450"/>
      <c r="L2" s="450"/>
      <c r="M2" s="450"/>
      <c r="N2" s="456"/>
    </row>
    <row r="3" spans="1:27" ht="36.75" customHeight="1">
      <c r="A3" s="585" t="s">
        <v>279</v>
      </c>
      <c r="B3" s="451" t="s">
        <v>280</v>
      </c>
      <c r="C3" s="585" t="s">
        <v>281</v>
      </c>
      <c r="D3" s="451" t="s">
        <v>282</v>
      </c>
      <c r="E3" s="450"/>
      <c r="F3" s="758" t="s">
        <v>283</v>
      </c>
      <c r="G3" s="759"/>
      <c r="H3" s="450"/>
      <c r="I3" s="760" t="s">
        <v>284</v>
      </c>
      <c r="J3" s="761"/>
      <c r="K3" s="761"/>
      <c r="L3" s="761"/>
      <c r="M3" s="762"/>
      <c r="P3" s="756" t="s">
        <v>285</v>
      </c>
      <c r="Q3" s="756"/>
      <c r="R3" s="756"/>
      <c r="S3" s="756"/>
      <c r="T3" s="756"/>
      <c r="U3" s="756"/>
    </row>
    <row r="4" spans="1:27" ht="35.25" customHeight="1">
      <c r="A4" s="457" t="s">
        <v>286</v>
      </c>
      <c r="B4" s="458" t="s">
        <v>287</v>
      </c>
      <c r="C4" s="457">
        <v>2</v>
      </c>
      <c r="D4" s="457" t="s">
        <v>288</v>
      </c>
      <c r="E4" s="450"/>
      <c r="F4" s="460" t="s">
        <v>289</v>
      </c>
      <c r="G4" s="461" t="s">
        <v>290</v>
      </c>
      <c r="H4" s="450"/>
      <c r="I4" s="461" t="s">
        <v>291</v>
      </c>
      <c r="J4" s="461" t="s">
        <v>292</v>
      </c>
      <c r="K4" s="461" t="s">
        <v>293</v>
      </c>
      <c r="L4" s="461" t="s">
        <v>281</v>
      </c>
      <c r="M4" s="461" t="s">
        <v>150</v>
      </c>
      <c r="P4" s="526" t="s">
        <v>294</v>
      </c>
      <c r="Q4" s="526" t="s">
        <v>295</v>
      </c>
      <c r="R4" s="526" t="s">
        <v>296</v>
      </c>
      <c r="S4" s="526" t="s">
        <v>297</v>
      </c>
      <c r="T4" s="526" t="s">
        <v>298</v>
      </c>
      <c r="U4" s="526" t="s">
        <v>299</v>
      </c>
    </row>
    <row r="5" spans="1:27" ht="39">
      <c r="A5" s="457" t="s">
        <v>111</v>
      </c>
      <c r="B5" s="457" t="s">
        <v>300</v>
      </c>
      <c r="C5" s="457">
        <v>200</v>
      </c>
      <c r="D5" s="457" t="s">
        <v>301</v>
      </c>
      <c r="E5" s="450"/>
      <c r="F5" s="462" t="s">
        <v>302</v>
      </c>
      <c r="G5" s="463" t="s">
        <v>303</v>
      </c>
      <c r="H5" s="450"/>
      <c r="I5" s="462" t="s">
        <v>304</v>
      </c>
      <c r="J5" s="462" t="s">
        <v>305</v>
      </c>
      <c r="K5" s="462" t="s">
        <v>306</v>
      </c>
      <c r="L5" s="462">
        <v>2</v>
      </c>
      <c r="M5" s="463" t="s">
        <v>307</v>
      </c>
      <c r="P5" s="454" t="s">
        <v>308</v>
      </c>
      <c r="Q5" s="525">
        <v>20</v>
      </c>
      <c r="R5" s="525">
        <v>2.2000000000000002</v>
      </c>
      <c r="S5" s="525">
        <f>R5*U5</f>
        <v>539</v>
      </c>
      <c r="T5" s="454">
        <f>S5*150</f>
        <v>80850</v>
      </c>
      <c r="U5" s="525">
        <v>245</v>
      </c>
    </row>
    <row r="6" spans="1:27" ht="39">
      <c r="A6" s="457" t="s">
        <v>309</v>
      </c>
      <c r="B6" s="458" t="s">
        <v>310</v>
      </c>
      <c r="C6" s="457">
        <v>100</v>
      </c>
      <c r="D6" s="457" t="s">
        <v>311</v>
      </c>
      <c r="E6" s="450"/>
      <c r="F6" s="462" t="s">
        <v>312</v>
      </c>
      <c r="G6" s="463" t="s">
        <v>313</v>
      </c>
      <c r="H6" s="450"/>
      <c r="I6" s="464" t="s">
        <v>211</v>
      </c>
      <c r="J6" s="462" t="s">
        <v>314</v>
      </c>
      <c r="K6" s="462" t="s">
        <v>315</v>
      </c>
      <c r="L6" s="462">
        <v>8</v>
      </c>
      <c r="M6" s="463" t="s">
        <v>316</v>
      </c>
      <c r="P6" s="454" t="s">
        <v>317</v>
      </c>
      <c r="Q6" s="525">
        <v>14</v>
      </c>
      <c r="R6" s="525">
        <v>1.54</v>
      </c>
      <c r="S6" s="525">
        <f t="shared" ref="S6:S9" si="0">R6*U6</f>
        <v>331.1</v>
      </c>
      <c r="T6" s="454">
        <f>S6*150</f>
        <v>49665</v>
      </c>
      <c r="U6" s="525">
        <v>215</v>
      </c>
    </row>
    <row r="7" spans="1:27" ht="59.25">
      <c r="A7" s="457" t="s">
        <v>318</v>
      </c>
      <c r="B7" s="457" t="s">
        <v>319</v>
      </c>
      <c r="C7" s="457">
        <v>20</v>
      </c>
      <c r="D7" s="457" t="s">
        <v>320</v>
      </c>
      <c r="E7" s="450"/>
      <c r="F7" s="463" t="s">
        <v>321</v>
      </c>
      <c r="G7" s="463" t="s">
        <v>322</v>
      </c>
      <c r="H7" s="450"/>
      <c r="I7" s="462" t="s">
        <v>111</v>
      </c>
      <c r="J7" s="466" t="s">
        <v>323</v>
      </c>
      <c r="K7" s="462" t="s">
        <v>324</v>
      </c>
      <c r="L7" s="462">
        <v>200</v>
      </c>
      <c r="M7" s="463" t="s">
        <v>325</v>
      </c>
      <c r="P7" s="454" t="s">
        <v>7</v>
      </c>
      <c r="Q7" s="525">
        <v>12</v>
      </c>
      <c r="R7" s="525">
        <v>1.32</v>
      </c>
      <c r="S7" s="525">
        <f t="shared" si="0"/>
        <v>244.20000000000002</v>
      </c>
      <c r="T7" s="454">
        <f>S7*150</f>
        <v>36630</v>
      </c>
      <c r="U7" s="525">
        <v>185</v>
      </c>
    </row>
    <row r="8" spans="1:27" ht="59.25">
      <c r="A8" s="457" t="s">
        <v>326</v>
      </c>
      <c r="B8" s="457" t="s">
        <v>327</v>
      </c>
      <c r="C8" s="457">
        <v>5</v>
      </c>
      <c r="D8" s="458" t="s">
        <v>328</v>
      </c>
      <c r="E8" s="450"/>
      <c r="F8" s="462" t="s">
        <v>329</v>
      </c>
      <c r="G8" s="463" t="s">
        <v>330</v>
      </c>
      <c r="H8" s="450"/>
      <c r="I8" s="467" t="s">
        <v>309</v>
      </c>
      <c r="J8" s="462" t="s">
        <v>331</v>
      </c>
      <c r="K8" s="462" t="s">
        <v>332</v>
      </c>
      <c r="L8" s="462">
        <v>100</v>
      </c>
      <c r="M8" s="463" t="s">
        <v>333</v>
      </c>
      <c r="P8" s="454" t="s">
        <v>334</v>
      </c>
      <c r="Q8" s="525">
        <v>26</v>
      </c>
      <c r="R8" s="525">
        <v>2.86</v>
      </c>
      <c r="S8" s="525">
        <f>R8*U8</f>
        <v>786.5</v>
      </c>
      <c r="T8" s="454">
        <f>S8*150</f>
        <v>117975</v>
      </c>
      <c r="U8" s="525">
        <v>275</v>
      </c>
    </row>
    <row r="9" spans="1:27" ht="39">
      <c r="A9" s="457" t="s">
        <v>335</v>
      </c>
      <c r="B9" s="457" t="s">
        <v>329</v>
      </c>
      <c r="C9" s="457">
        <v>4</v>
      </c>
      <c r="D9" s="457" t="s">
        <v>336</v>
      </c>
      <c r="E9" s="450"/>
      <c r="F9" s="462" t="s">
        <v>337</v>
      </c>
      <c r="G9" s="463" t="s">
        <v>338</v>
      </c>
      <c r="H9" s="450"/>
      <c r="I9" s="463" t="s">
        <v>339</v>
      </c>
      <c r="J9" s="462" t="s">
        <v>91</v>
      </c>
      <c r="K9" s="462" t="s">
        <v>91</v>
      </c>
      <c r="L9" s="462">
        <v>1000</v>
      </c>
      <c r="M9" s="463" t="s">
        <v>340</v>
      </c>
      <c r="P9" s="454" t="s">
        <v>341</v>
      </c>
      <c r="Q9" s="525">
        <v>30</v>
      </c>
      <c r="R9" s="525">
        <v>3.3</v>
      </c>
      <c r="S9" s="525">
        <f t="shared" si="0"/>
        <v>907.5</v>
      </c>
      <c r="T9" s="454">
        <f>S9*150</f>
        <v>136125</v>
      </c>
      <c r="U9" s="525">
        <v>275</v>
      </c>
    </row>
    <row r="10" spans="1:27" ht="39">
      <c r="A10" s="457" t="s">
        <v>342</v>
      </c>
      <c r="B10" s="457" t="s">
        <v>343</v>
      </c>
      <c r="C10" s="457" t="s">
        <v>344</v>
      </c>
      <c r="D10" s="457" t="s">
        <v>345</v>
      </c>
      <c r="E10" s="450"/>
      <c r="F10" s="462" t="s">
        <v>346</v>
      </c>
      <c r="G10" s="463" t="s">
        <v>347</v>
      </c>
      <c r="H10" s="450"/>
      <c r="I10" s="463" t="s">
        <v>326</v>
      </c>
      <c r="J10" s="462" t="s">
        <v>348</v>
      </c>
      <c r="K10" s="462" t="s">
        <v>349</v>
      </c>
      <c r="L10" s="462">
        <v>5</v>
      </c>
      <c r="M10" s="463" t="s">
        <v>328</v>
      </c>
      <c r="P10" s="455"/>
      <c r="Q10" s="455"/>
      <c r="R10" s="455"/>
      <c r="S10" s="455"/>
      <c r="T10" s="455"/>
      <c r="U10" s="455"/>
    </row>
    <row r="11" spans="1:27" ht="39">
      <c r="A11" s="457" t="s">
        <v>350</v>
      </c>
      <c r="B11" s="457" t="s">
        <v>351</v>
      </c>
      <c r="C11" s="457" t="s">
        <v>352</v>
      </c>
      <c r="D11" s="458" t="s">
        <v>353</v>
      </c>
      <c r="E11" s="450"/>
      <c r="F11" s="462" t="s">
        <v>354</v>
      </c>
      <c r="G11" s="463" t="s">
        <v>355</v>
      </c>
      <c r="H11" s="450"/>
      <c r="I11" s="463" t="s">
        <v>356</v>
      </c>
      <c r="J11" s="462" t="s">
        <v>357</v>
      </c>
      <c r="K11" s="462" t="s">
        <v>358</v>
      </c>
      <c r="L11" s="462">
        <v>85</v>
      </c>
      <c r="M11" s="463" t="s">
        <v>359</v>
      </c>
      <c r="P11" s="757" t="s">
        <v>360</v>
      </c>
      <c r="Q11" s="757"/>
      <c r="R11" s="757"/>
      <c r="S11" s="757"/>
      <c r="T11" s="455"/>
      <c r="U11" s="455"/>
      <c r="Y11" s="447" t="s">
        <v>361</v>
      </c>
      <c r="Z11" s="448" t="s">
        <v>362</v>
      </c>
      <c r="AA11" s="447" t="s">
        <v>363</v>
      </c>
    </row>
    <row r="12" spans="1:27" ht="39">
      <c r="A12" s="457" t="s">
        <v>364</v>
      </c>
      <c r="B12" s="457" t="s">
        <v>365</v>
      </c>
      <c r="C12" s="457" t="s">
        <v>366</v>
      </c>
      <c r="D12" s="457" t="s">
        <v>367</v>
      </c>
      <c r="E12" s="450"/>
      <c r="F12" s="462" t="s">
        <v>368</v>
      </c>
      <c r="G12" s="463" t="s">
        <v>369</v>
      </c>
      <c r="H12" s="450"/>
      <c r="I12" s="462" t="s">
        <v>370</v>
      </c>
      <c r="J12" s="462" t="s">
        <v>371</v>
      </c>
      <c r="K12" s="462" t="s">
        <v>372</v>
      </c>
      <c r="L12" s="462">
        <v>20</v>
      </c>
      <c r="M12" s="463" t="s">
        <v>373</v>
      </c>
      <c r="P12" s="526" t="s">
        <v>294</v>
      </c>
      <c r="Q12" s="526" t="s">
        <v>374</v>
      </c>
      <c r="R12" s="526" t="s">
        <v>375</v>
      </c>
      <c r="S12" s="526" t="s">
        <v>376</v>
      </c>
      <c r="T12" s="455"/>
      <c r="U12" s="455"/>
      <c r="Y12" s="452" t="s">
        <v>377</v>
      </c>
      <c r="Z12" s="448" t="s">
        <v>378</v>
      </c>
      <c r="AA12" s="453" t="s">
        <v>379</v>
      </c>
    </row>
    <row r="13" spans="1:27" ht="59.25">
      <c r="A13" s="457" t="s">
        <v>380</v>
      </c>
      <c r="B13" s="457" t="s">
        <v>381</v>
      </c>
      <c r="C13" s="457">
        <v>4</v>
      </c>
      <c r="D13" s="457" t="s">
        <v>382</v>
      </c>
      <c r="E13" s="450"/>
      <c r="F13" s="464" t="s">
        <v>383</v>
      </c>
      <c r="G13" s="518" t="s">
        <v>384</v>
      </c>
      <c r="H13" s="450"/>
      <c r="I13" s="462" t="s">
        <v>385</v>
      </c>
      <c r="J13" s="462" t="s">
        <v>91</v>
      </c>
      <c r="K13" s="462" t="s">
        <v>386</v>
      </c>
      <c r="L13" s="462">
        <v>30</v>
      </c>
      <c r="M13" s="463" t="s">
        <v>387</v>
      </c>
      <c r="P13" s="454" t="s">
        <v>308</v>
      </c>
      <c r="Q13" s="525">
        <f>T5</f>
        <v>80850</v>
      </c>
      <c r="R13" s="525">
        <v>32750</v>
      </c>
      <c r="S13" s="454">
        <f>Q13-R13</f>
        <v>48100</v>
      </c>
      <c r="T13" s="455"/>
      <c r="U13" s="455"/>
      <c r="Y13" s="452" t="s">
        <v>388</v>
      </c>
      <c r="Z13" s="448" t="s">
        <v>389</v>
      </c>
      <c r="AA13" s="453" t="s">
        <v>390</v>
      </c>
    </row>
    <row r="14" spans="1:27" ht="114" customHeight="1">
      <c r="A14" s="457" t="s">
        <v>385</v>
      </c>
      <c r="B14" s="457" t="s">
        <v>391</v>
      </c>
      <c r="C14" s="457">
        <v>30</v>
      </c>
      <c r="D14" s="457" t="s">
        <v>392</v>
      </c>
      <c r="E14" s="450"/>
      <c r="F14" s="465" t="s">
        <v>393</v>
      </c>
      <c r="G14" s="463" t="s">
        <v>394</v>
      </c>
      <c r="H14" s="450"/>
      <c r="I14" s="462" t="s">
        <v>395</v>
      </c>
      <c r="J14" s="462" t="s">
        <v>396</v>
      </c>
      <c r="K14" s="462" t="s">
        <v>397</v>
      </c>
      <c r="L14" s="462">
        <v>1000</v>
      </c>
      <c r="M14" s="463" t="s">
        <v>398</v>
      </c>
      <c r="P14" s="454" t="s">
        <v>317</v>
      </c>
      <c r="Q14" s="525">
        <f>T6</f>
        <v>49665</v>
      </c>
      <c r="R14" s="525">
        <v>32750</v>
      </c>
      <c r="S14" s="454">
        <f>Q14-R14</f>
        <v>16915</v>
      </c>
      <c r="T14" s="455"/>
      <c r="U14" s="455"/>
      <c r="Y14" s="452" t="s">
        <v>399</v>
      </c>
      <c r="Z14" s="448" t="s">
        <v>400</v>
      </c>
      <c r="AA14" s="453" t="s">
        <v>401</v>
      </c>
    </row>
    <row r="15" spans="1:27" ht="48.75" customHeight="1">
      <c r="A15" s="457" t="s">
        <v>402</v>
      </c>
      <c r="B15" s="457" t="s">
        <v>403</v>
      </c>
      <c r="C15" s="457">
        <f>E33</f>
        <v>5420</v>
      </c>
      <c r="D15" s="458" t="s">
        <v>404</v>
      </c>
      <c r="E15" s="450"/>
      <c r="F15" s="450"/>
      <c r="G15" s="450"/>
      <c r="H15" s="450"/>
      <c r="I15" s="462" t="s">
        <v>405</v>
      </c>
      <c r="J15" s="462" t="s">
        <v>406</v>
      </c>
      <c r="K15" s="462" t="s">
        <v>407</v>
      </c>
      <c r="L15" s="462">
        <v>9.81</v>
      </c>
      <c r="M15" s="463" t="s">
        <v>408</v>
      </c>
      <c r="P15" s="454" t="s">
        <v>7</v>
      </c>
      <c r="Q15" s="525">
        <f>T7</f>
        <v>36630</v>
      </c>
      <c r="R15" s="525">
        <v>32750</v>
      </c>
      <c r="S15" s="454">
        <f>Q15-R15</f>
        <v>3880</v>
      </c>
      <c r="T15" s="455"/>
      <c r="U15" s="455"/>
      <c r="Y15" s="452" t="s">
        <v>409</v>
      </c>
      <c r="Z15" s="448" t="s">
        <v>410</v>
      </c>
      <c r="AA15" s="453" t="s">
        <v>411</v>
      </c>
    </row>
    <row r="16" spans="1:27" ht="59.25">
      <c r="A16" s="457" t="s">
        <v>232</v>
      </c>
      <c r="B16" s="457" t="s">
        <v>412</v>
      </c>
      <c r="C16" s="459">
        <f>H30</f>
        <v>7.2266666666666666</v>
      </c>
      <c r="D16" s="457"/>
      <c r="E16" s="450"/>
      <c r="F16" s="450"/>
      <c r="G16" s="450"/>
      <c r="H16" s="450"/>
      <c r="I16" s="462" t="s">
        <v>335</v>
      </c>
      <c r="J16" s="462" t="s">
        <v>413</v>
      </c>
      <c r="K16" s="462" t="s">
        <v>414</v>
      </c>
      <c r="L16" s="462" t="s">
        <v>91</v>
      </c>
      <c r="M16" s="463" t="s">
        <v>415</v>
      </c>
      <c r="P16" s="454" t="s">
        <v>334</v>
      </c>
      <c r="Q16" s="525">
        <f>T8</f>
        <v>117975</v>
      </c>
      <c r="R16" s="525">
        <v>32750</v>
      </c>
      <c r="S16" s="454">
        <f>Q16-R16</f>
        <v>85225</v>
      </c>
      <c r="T16" s="455"/>
      <c r="U16" s="455"/>
      <c r="Y16" s="452" t="s">
        <v>416</v>
      </c>
      <c r="Z16" s="448" t="s">
        <v>417</v>
      </c>
      <c r="AA16" s="453" t="s">
        <v>418</v>
      </c>
    </row>
    <row r="17" spans="1:30" ht="19.5">
      <c r="A17" s="457" t="s">
        <v>419</v>
      </c>
      <c r="B17" s="457" t="s">
        <v>403</v>
      </c>
      <c r="C17" s="457">
        <v>800</v>
      </c>
      <c r="D17" s="458" t="s">
        <v>420</v>
      </c>
      <c r="E17" s="450"/>
      <c r="F17" s="450"/>
      <c r="G17" s="450"/>
      <c r="H17" s="450"/>
      <c r="I17" s="450"/>
      <c r="J17" s="450"/>
      <c r="K17" s="450"/>
      <c r="L17" s="450"/>
      <c r="M17" s="450"/>
      <c r="N17" s="456"/>
      <c r="P17" s="454" t="s">
        <v>341</v>
      </c>
      <c r="Q17" s="525">
        <f>T9</f>
        <v>136125</v>
      </c>
      <c r="R17" s="525">
        <v>32750</v>
      </c>
      <c r="S17" s="454">
        <f>Q17-R17</f>
        <v>103375</v>
      </c>
      <c r="T17" s="455"/>
      <c r="U17" s="455"/>
      <c r="Y17" s="452" t="s">
        <v>421</v>
      </c>
      <c r="Z17" s="448" t="s">
        <v>422</v>
      </c>
      <c r="AA17" s="453" t="s">
        <v>423</v>
      </c>
    </row>
    <row r="18" spans="1:30" ht="30.75" customHeight="1">
      <c r="A18" s="457" t="s">
        <v>424</v>
      </c>
      <c r="B18" s="457" t="s">
        <v>412</v>
      </c>
      <c r="C18" s="457">
        <v>25</v>
      </c>
      <c r="D18" s="458" t="s">
        <v>425</v>
      </c>
      <c r="E18" s="450"/>
      <c r="F18" s="450"/>
      <c r="G18" s="450"/>
      <c r="H18" s="450"/>
      <c r="I18" s="450"/>
      <c r="J18" s="450"/>
      <c r="K18" s="450"/>
      <c r="L18" s="450"/>
      <c r="M18" s="450"/>
      <c r="N18" s="456"/>
    </row>
    <row r="20" spans="1:30" ht="45" customHeight="1">
      <c r="A20" s="740" t="s">
        <v>426</v>
      </c>
      <c r="B20" s="741"/>
      <c r="C20" s="741"/>
      <c r="D20" s="741"/>
      <c r="E20" s="741"/>
      <c r="F20" s="741"/>
      <c r="G20" s="741"/>
      <c r="H20" s="741"/>
      <c r="I20" s="741"/>
      <c r="J20" s="741"/>
      <c r="K20" s="741"/>
      <c r="L20" s="741"/>
      <c r="M20" s="741"/>
      <c r="N20" s="742"/>
    </row>
    <row r="21" spans="1:30" ht="42" customHeight="1">
      <c r="A21" s="468" t="s">
        <v>427</v>
      </c>
      <c r="B21" s="469" t="s">
        <v>304</v>
      </c>
      <c r="C21" s="469" t="s">
        <v>312</v>
      </c>
      <c r="D21" s="470" t="s">
        <v>428</v>
      </c>
      <c r="E21" s="469" t="s">
        <v>429</v>
      </c>
      <c r="F21" s="469" t="s">
        <v>430</v>
      </c>
      <c r="G21" s="469" t="s">
        <v>431</v>
      </c>
      <c r="H21" s="469" t="s">
        <v>432</v>
      </c>
      <c r="I21" s="470" t="s">
        <v>433</v>
      </c>
      <c r="J21" s="470" t="s">
        <v>434</v>
      </c>
      <c r="K21" s="471" t="s">
        <v>435</v>
      </c>
      <c r="L21" s="472" t="s">
        <v>436</v>
      </c>
      <c r="M21" s="473" t="s">
        <v>437</v>
      </c>
      <c r="N21" s="473" t="s">
        <v>232</v>
      </c>
    </row>
    <row r="22" spans="1:30" ht="37.5" customHeight="1">
      <c r="A22" s="474" t="s">
        <v>438</v>
      </c>
      <c r="B22" s="475">
        <v>2</v>
      </c>
      <c r="C22" s="475">
        <f>B22*100</f>
        <v>200</v>
      </c>
      <c r="D22" s="475">
        <f>(C22*100)/1000</f>
        <v>20</v>
      </c>
      <c r="E22" s="475">
        <f>D22*7</f>
        <v>140</v>
      </c>
      <c r="F22" s="475">
        <f>D22/5</f>
        <v>4</v>
      </c>
      <c r="G22" s="476">
        <f>(F22*L9)/60</f>
        <v>66.666666666666671</v>
      </c>
      <c r="H22" s="475">
        <f>0.0027*F22*35</f>
        <v>0.378</v>
      </c>
      <c r="I22" s="477">
        <f>H22/0.85</f>
        <v>0.44470588235294117</v>
      </c>
      <c r="J22" s="478">
        <f>I22</f>
        <v>0.44470588235294117</v>
      </c>
      <c r="K22" s="477">
        <f>J22/0.85</f>
        <v>0.52318339100346023</v>
      </c>
      <c r="L22" s="479">
        <v>4</v>
      </c>
      <c r="M22" s="480">
        <f>E33</f>
        <v>5420</v>
      </c>
      <c r="N22" s="481">
        <f>H30</f>
        <v>7.2266666666666666</v>
      </c>
    </row>
    <row r="23" spans="1:30" ht="18.75">
      <c r="A23" s="124"/>
      <c r="B23" s="6"/>
      <c r="C23" s="6"/>
      <c r="D23" s="6"/>
      <c r="E23" s="6"/>
      <c r="F23" s="6"/>
      <c r="G23" s="125"/>
      <c r="H23" s="6"/>
      <c r="I23" s="126"/>
      <c r="J23" s="127"/>
      <c r="K23" s="126"/>
      <c r="L23" s="6"/>
      <c r="M23" s="128"/>
      <c r="N23" s="129"/>
    </row>
    <row r="25" spans="1:30" ht="56.25" customHeight="1">
      <c r="A25" s="753" t="s">
        <v>439</v>
      </c>
      <c r="B25" s="754"/>
      <c r="C25" s="754"/>
      <c r="D25" s="754"/>
      <c r="E25" s="755"/>
      <c r="F25" s="482"/>
      <c r="G25" s="721" t="s">
        <v>440</v>
      </c>
      <c r="H25" s="722"/>
      <c r="I25" s="722"/>
      <c r="J25" s="723"/>
      <c r="L25" s="449"/>
      <c r="M25" s="763" t="s">
        <v>441</v>
      </c>
      <c r="N25" s="764"/>
      <c r="O25" s="764"/>
      <c r="P25" s="764"/>
      <c r="Q25" s="764"/>
      <c r="R25" s="764"/>
      <c r="S25" s="764"/>
      <c r="T25" s="765"/>
      <c r="U25" s="504"/>
      <c r="V25" s="772" t="s">
        <v>442</v>
      </c>
      <c r="W25" s="772"/>
      <c r="X25" s="772"/>
      <c r="Y25" s="772"/>
      <c r="AA25" s="744" t="s">
        <v>443</v>
      </c>
      <c r="AB25" s="745"/>
      <c r="AC25" s="745"/>
      <c r="AD25" s="746"/>
    </row>
    <row r="26" spans="1:30" ht="36" customHeight="1">
      <c r="A26" s="483" t="s">
        <v>444</v>
      </c>
      <c r="B26" s="484" t="s">
        <v>293</v>
      </c>
      <c r="C26" s="484" t="s">
        <v>445</v>
      </c>
      <c r="D26" s="484" t="s">
        <v>446</v>
      </c>
      <c r="E26" s="484" t="s">
        <v>447</v>
      </c>
      <c r="F26" s="482"/>
      <c r="G26" s="484" t="s">
        <v>291</v>
      </c>
      <c r="H26" s="484" t="s">
        <v>281</v>
      </c>
      <c r="I26" s="484" t="s">
        <v>448</v>
      </c>
      <c r="J26" s="484" t="s">
        <v>449</v>
      </c>
      <c r="L26" s="449"/>
      <c r="M26" s="505" t="s">
        <v>450</v>
      </c>
      <c r="N26" s="506" t="s">
        <v>451</v>
      </c>
      <c r="O26" s="506" t="s">
        <v>452</v>
      </c>
      <c r="P26" s="506" t="s">
        <v>453</v>
      </c>
      <c r="Q26" s="506" t="s">
        <v>454</v>
      </c>
      <c r="R26" s="506" t="s">
        <v>455</v>
      </c>
      <c r="S26" s="505" t="s">
        <v>456</v>
      </c>
      <c r="T26" s="505" t="s">
        <v>457</v>
      </c>
      <c r="U26" s="504"/>
      <c r="V26" s="507" t="s">
        <v>450</v>
      </c>
      <c r="W26" s="507" t="s">
        <v>458</v>
      </c>
      <c r="X26" s="507" t="s">
        <v>459</v>
      </c>
      <c r="Y26" s="507" t="s">
        <v>460</v>
      </c>
      <c r="AA26" s="747"/>
      <c r="AB26" s="748"/>
      <c r="AC26" s="748"/>
      <c r="AD26" s="749"/>
    </row>
    <row r="27" spans="1:30" ht="62.25" customHeight="1">
      <c r="A27" s="485" t="s">
        <v>461</v>
      </c>
      <c r="B27" s="486" t="s">
        <v>462</v>
      </c>
      <c r="C27" s="486">
        <v>1</v>
      </c>
      <c r="D27" s="486">
        <v>1800</v>
      </c>
      <c r="E27" s="486">
        <f>D27*C27</f>
        <v>1800</v>
      </c>
      <c r="F27" s="482"/>
      <c r="G27" s="486" t="s">
        <v>463</v>
      </c>
      <c r="H27" s="486">
        <v>800</v>
      </c>
      <c r="I27" s="486" t="s">
        <v>464</v>
      </c>
      <c r="J27" s="487" t="s">
        <v>465</v>
      </c>
      <c r="L27" s="449"/>
      <c r="M27" s="508" t="s">
        <v>466</v>
      </c>
      <c r="N27" s="507" t="s">
        <v>467</v>
      </c>
      <c r="O27" s="509" t="s">
        <v>468</v>
      </c>
      <c r="P27" s="509">
        <v>1</v>
      </c>
      <c r="Q27" s="509" t="s">
        <v>469</v>
      </c>
      <c r="R27" s="509" t="s">
        <v>470</v>
      </c>
      <c r="S27" s="510" t="s">
        <v>471</v>
      </c>
      <c r="T27" s="510" t="s">
        <v>472</v>
      </c>
      <c r="U27" s="504"/>
      <c r="V27" s="509" t="s">
        <v>473</v>
      </c>
      <c r="W27" s="509">
        <v>0.5</v>
      </c>
      <c r="X27" s="511" t="s">
        <v>474</v>
      </c>
      <c r="Y27" s="509">
        <v>70</v>
      </c>
      <c r="AA27" s="724" t="s">
        <v>475</v>
      </c>
      <c r="AB27" s="41" t="s">
        <v>476</v>
      </c>
      <c r="AC27" s="734" t="s">
        <v>477</v>
      </c>
      <c r="AD27" s="43" t="s">
        <v>478</v>
      </c>
    </row>
    <row r="28" spans="1:30" ht="49.5" customHeight="1">
      <c r="A28" s="488" t="s">
        <v>479</v>
      </c>
      <c r="B28" s="486" t="s">
        <v>372</v>
      </c>
      <c r="C28" s="486">
        <v>2000</v>
      </c>
      <c r="D28" s="486">
        <v>0.25</v>
      </c>
      <c r="E28" s="486">
        <f>D28*C28</f>
        <v>500</v>
      </c>
      <c r="F28" s="482"/>
      <c r="G28" s="486" t="s">
        <v>480</v>
      </c>
      <c r="H28" s="486">
        <f>E33</f>
        <v>5420</v>
      </c>
      <c r="I28" s="486" t="s">
        <v>481</v>
      </c>
      <c r="J28" s="486" t="s">
        <v>482</v>
      </c>
      <c r="L28" s="449"/>
      <c r="M28" s="508" t="s">
        <v>483</v>
      </c>
      <c r="N28" s="507" t="s">
        <v>484</v>
      </c>
      <c r="O28" s="509" t="s">
        <v>485</v>
      </c>
      <c r="P28" s="509" t="s">
        <v>486</v>
      </c>
      <c r="Q28" s="509" t="s">
        <v>487</v>
      </c>
      <c r="R28" s="509" t="s">
        <v>488</v>
      </c>
      <c r="S28" s="510" t="s">
        <v>489</v>
      </c>
      <c r="T28" s="510" t="s">
        <v>410</v>
      </c>
      <c r="U28" s="504"/>
      <c r="V28" s="509" t="s">
        <v>490</v>
      </c>
      <c r="W28" s="509">
        <v>0.8</v>
      </c>
      <c r="X28" s="511" t="s">
        <v>491</v>
      </c>
      <c r="Y28" s="509">
        <v>112</v>
      </c>
      <c r="AA28" s="725"/>
      <c r="AB28" s="41" t="s">
        <v>492</v>
      </c>
      <c r="AC28" s="735"/>
      <c r="AD28" s="43" t="s">
        <v>493</v>
      </c>
    </row>
    <row r="29" spans="1:30" ht="54" customHeight="1">
      <c r="A29" s="486" t="s">
        <v>494</v>
      </c>
      <c r="B29" s="489" t="s">
        <v>462</v>
      </c>
      <c r="C29" s="486">
        <v>4</v>
      </c>
      <c r="D29" s="486">
        <v>105</v>
      </c>
      <c r="E29" s="486">
        <f t="shared" ref="E28:E32" si="1">D29*C29</f>
        <v>420</v>
      </c>
      <c r="F29" s="482"/>
      <c r="G29" s="486" t="s">
        <v>495</v>
      </c>
      <c r="H29" s="486">
        <v>50</v>
      </c>
      <c r="I29" s="486" t="s">
        <v>464</v>
      </c>
      <c r="J29" s="487" t="s">
        <v>496</v>
      </c>
      <c r="L29" s="449"/>
      <c r="M29" s="508" t="s">
        <v>497</v>
      </c>
      <c r="N29" s="507" t="s">
        <v>498</v>
      </c>
      <c r="O29" s="509" t="s">
        <v>499</v>
      </c>
      <c r="P29" s="509" t="s">
        <v>500</v>
      </c>
      <c r="Q29" s="509" t="s">
        <v>501</v>
      </c>
      <c r="R29" s="509" t="s">
        <v>502</v>
      </c>
      <c r="S29" s="510" t="s">
        <v>503</v>
      </c>
      <c r="T29" s="510" t="s">
        <v>504</v>
      </c>
      <c r="U29" s="504"/>
      <c r="V29" s="509" t="s">
        <v>505</v>
      </c>
      <c r="W29" s="509">
        <v>0.9</v>
      </c>
      <c r="X29" s="511" t="s">
        <v>506</v>
      </c>
      <c r="Y29" s="509">
        <v>126</v>
      </c>
      <c r="AA29" s="725"/>
      <c r="AB29" s="41" t="s">
        <v>507</v>
      </c>
      <c r="AC29" s="735"/>
      <c r="AD29" s="43" t="s">
        <v>508</v>
      </c>
    </row>
    <row r="30" spans="1:30" ht="81.75" customHeight="1">
      <c r="A30" s="490" t="s">
        <v>509</v>
      </c>
      <c r="B30" s="486" t="s">
        <v>462</v>
      </c>
      <c r="C30" s="486">
        <v>1</v>
      </c>
      <c r="D30" s="486">
        <v>650</v>
      </c>
      <c r="E30" s="486">
        <f t="shared" si="1"/>
        <v>650</v>
      </c>
      <c r="F30" s="482"/>
      <c r="G30" s="491" t="s">
        <v>232</v>
      </c>
      <c r="H30" s="492">
        <f>H28/(H27-H29)</f>
        <v>7.2266666666666666</v>
      </c>
      <c r="I30" s="491" t="s">
        <v>114</v>
      </c>
      <c r="J30" s="493" t="s">
        <v>510</v>
      </c>
      <c r="L30" s="449"/>
      <c r="M30" s="508" t="s">
        <v>511</v>
      </c>
      <c r="N30" s="507" t="s">
        <v>512</v>
      </c>
      <c r="O30" s="509">
        <v>0</v>
      </c>
      <c r="P30" s="509" t="s">
        <v>513</v>
      </c>
      <c r="Q30" s="509" t="s">
        <v>514</v>
      </c>
      <c r="R30" s="509" t="s">
        <v>515</v>
      </c>
      <c r="S30" s="510" t="s">
        <v>516</v>
      </c>
      <c r="T30" s="510" t="s">
        <v>517</v>
      </c>
      <c r="U30" s="504"/>
      <c r="V30" s="509" t="s">
        <v>518</v>
      </c>
      <c r="W30" s="509">
        <v>1</v>
      </c>
      <c r="X30" s="511" t="s">
        <v>519</v>
      </c>
      <c r="Y30" s="509">
        <v>140</v>
      </c>
      <c r="AA30" s="725"/>
      <c r="AB30" s="41" t="s">
        <v>520</v>
      </c>
      <c r="AC30" s="735"/>
      <c r="AD30" s="44" t="s">
        <v>521</v>
      </c>
    </row>
    <row r="31" spans="1:30" ht="36.75" customHeight="1">
      <c r="A31" s="485" t="s">
        <v>522</v>
      </c>
      <c r="B31" s="486" t="s">
        <v>523</v>
      </c>
      <c r="C31" s="486">
        <v>1</v>
      </c>
      <c r="D31" s="486">
        <v>250</v>
      </c>
      <c r="E31" s="486">
        <f t="shared" si="1"/>
        <v>250</v>
      </c>
      <c r="F31" s="482"/>
      <c r="G31" s="486" t="s">
        <v>524</v>
      </c>
      <c r="H31" s="486">
        <f>H27-H29</f>
        <v>750</v>
      </c>
      <c r="I31" s="494" t="s">
        <v>481</v>
      </c>
      <c r="J31" s="495"/>
      <c r="L31" s="449"/>
      <c r="M31" s="504"/>
      <c r="N31" s="504"/>
      <c r="O31" s="504"/>
      <c r="P31" s="504"/>
      <c r="Q31" s="504"/>
      <c r="R31" s="504"/>
      <c r="S31" s="504"/>
      <c r="T31" s="504"/>
      <c r="U31" s="504"/>
      <c r="V31" s="504"/>
      <c r="W31" s="504"/>
      <c r="X31" s="504"/>
      <c r="Y31" s="504"/>
      <c r="AA31" s="725"/>
      <c r="AB31" s="42" t="s">
        <v>525</v>
      </c>
      <c r="AC31" s="750" t="s">
        <v>526</v>
      </c>
      <c r="AD31" s="45" t="s">
        <v>527</v>
      </c>
    </row>
    <row r="32" spans="1:30" ht="38.25" customHeight="1">
      <c r="A32" s="485" t="s">
        <v>393</v>
      </c>
      <c r="B32" s="486" t="s">
        <v>523</v>
      </c>
      <c r="C32" s="486">
        <v>1</v>
      </c>
      <c r="D32" s="486">
        <v>1800</v>
      </c>
      <c r="E32" s="486">
        <f t="shared" si="1"/>
        <v>1800</v>
      </c>
      <c r="F32" s="482"/>
      <c r="G32" s="486" t="s">
        <v>424</v>
      </c>
      <c r="H32" s="486">
        <v>25</v>
      </c>
      <c r="I32" s="486" t="s">
        <v>528</v>
      </c>
      <c r="J32" s="495"/>
      <c r="L32" s="449"/>
      <c r="M32" s="504"/>
      <c r="N32" s="504"/>
      <c r="O32" s="504"/>
      <c r="P32" s="504"/>
      <c r="Q32" s="504"/>
      <c r="R32" s="504"/>
      <c r="S32" s="504"/>
      <c r="T32" s="512"/>
      <c r="U32" s="504"/>
      <c r="V32" s="504"/>
      <c r="W32" s="504"/>
      <c r="X32" s="504"/>
      <c r="Y32" s="504"/>
      <c r="AA32" s="736" t="s">
        <v>529</v>
      </c>
      <c r="AB32" s="41" t="s">
        <v>530</v>
      </c>
      <c r="AC32" s="751"/>
      <c r="AD32" s="45" t="s">
        <v>531</v>
      </c>
    </row>
    <row r="33" spans="1:30" ht="45.75" customHeight="1">
      <c r="A33" s="496" t="s">
        <v>532</v>
      </c>
      <c r="B33" s="497" t="s">
        <v>533</v>
      </c>
      <c r="C33" s="497" t="s">
        <v>533</v>
      </c>
      <c r="D33" s="497" t="s">
        <v>533</v>
      </c>
      <c r="E33" s="498">
        <f>E27+E28+E29+E30+E31+E32</f>
        <v>5420</v>
      </c>
      <c r="F33" s="482"/>
      <c r="G33" s="486" t="s">
        <v>534</v>
      </c>
      <c r="H33" s="486">
        <v>650</v>
      </c>
      <c r="I33" s="494" t="s">
        <v>481</v>
      </c>
      <c r="J33" s="495"/>
      <c r="L33" s="449"/>
      <c r="M33" s="766" t="s">
        <v>535</v>
      </c>
      <c r="N33" s="767"/>
      <c r="O33" s="767"/>
      <c r="P33" s="767"/>
      <c r="Q33" s="768"/>
      <c r="R33" s="504"/>
      <c r="S33" s="769" t="s">
        <v>536</v>
      </c>
      <c r="T33" s="770"/>
      <c r="U33" s="770"/>
      <c r="V33" s="770"/>
      <c r="W33" s="770"/>
      <c r="X33" s="770"/>
      <c r="Y33" s="771"/>
      <c r="AA33" s="737"/>
      <c r="AB33" s="41" t="s">
        <v>537</v>
      </c>
      <c r="AC33" s="751"/>
      <c r="AD33" s="45" t="s">
        <v>538</v>
      </c>
    </row>
    <row r="34" spans="1:30" ht="46.5" customHeight="1">
      <c r="A34" s="482"/>
      <c r="B34" s="482"/>
      <c r="C34" s="482"/>
      <c r="D34" s="482"/>
      <c r="E34" s="482"/>
      <c r="F34" s="482"/>
      <c r="G34" s="486" t="s">
        <v>539</v>
      </c>
      <c r="H34" s="486">
        <v>250</v>
      </c>
      <c r="I34" s="494" t="s">
        <v>481</v>
      </c>
      <c r="J34" s="495"/>
      <c r="L34" s="449"/>
      <c r="M34" s="507" t="s">
        <v>540</v>
      </c>
      <c r="N34" s="507" t="s">
        <v>541</v>
      </c>
      <c r="O34" s="508" t="s">
        <v>542</v>
      </c>
      <c r="P34" s="507" t="s">
        <v>543</v>
      </c>
      <c r="Q34" s="507" t="s">
        <v>12</v>
      </c>
      <c r="R34" s="504"/>
      <c r="S34" s="513" t="s">
        <v>536</v>
      </c>
      <c r="T34" s="513" t="s">
        <v>544</v>
      </c>
      <c r="U34" s="513" t="s">
        <v>545</v>
      </c>
      <c r="V34" s="513" t="s">
        <v>546</v>
      </c>
      <c r="W34" s="513" t="s">
        <v>547</v>
      </c>
      <c r="X34" s="513" t="s">
        <v>548</v>
      </c>
      <c r="Y34" s="513" t="s">
        <v>549</v>
      </c>
      <c r="AA34" s="737"/>
      <c r="AB34" s="41" t="s">
        <v>550</v>
      </c>
      <c r="AC34" s="751"/>
      <c r="AD34" s="45" t="s">
        <v>551</v>
      </c>
    </row>
    <row r="35" spans="1:30" ht="36.75" customHeight="1">
      <c r="A35" s="482"/>
      <c r="B35" s="482"/>
      <c r="C35" s="482"/>
      <c r="D35" s="482"/>
      <c r="E35" s="482"/>
      <c r="F35" s="482"/>
      <c r="G35" s="486" t="s">
        <v>552</v>
      </c>
      <c r="H35" s="486">
        <v>1000</v>
      </c>
      <c r="I35" s="494" t="s">
        <v>481</v>
      </c>
      <c r="J35" s="495"/>
      <c r="L35" s="449"/>
      <c r="M35" s="509" t="s">
        <v>553</v>
      </c>
      <c r="N35" s="509" t="s">
        <v>554</v>
      </c>
      <c r="O35" s="509" t="s">
        <v>555</v>
      </c>
      <c r="P35" s="509" t="s">
        <v>556</v>
      </c>
      <c r="Q35" s="510" t="s">
        <v>557</v>
      </c>
      <c r="R35" s="504"/>
      <c r="S35" s="513" t="s">
        <v>558</v>
      </c>
      <c r="T35" s="514">
        <v>1</v>
      </c>
      <c r="U35" s="514">
        <f>100*T35</f>
        <v>100</v>
      </c>
      <c r="V35" s="514">
        <f>(C22*U35)/1000</f>
        <v>20</v>
      </c>
      <c r="W35" s="514">
        <f>V35/F22</f>
        <v>5</v>
      </c>
      <c r="X35" s="514">
        <f>W35/T35</f>
        <v>5</v>
      </c>
      <c r="Y35" s="514">
        <f>30/D22</f>
        <v>1.5</v>
      </c>
      <c r="AA35" s="738"/>
      <c r="AB35" s="41" t="s">
        <v>559</v>
      </c>
      <c r="AC35" s="752"/>
      <c r="AD35" s="46"/>
    </row>
    <row r="36" spans="1:30" ht="36.75" customHeight="1">
      <c r="A36" s="727" t="s">
        <v>560</v>
      </c>
      <c r="B36" s="728"/>
      <c r="C36" s="728"/>
      <c r="D36" s="728"/>
      <c r="E36" s="729"/>
      <c r="F36" s="482"/>
      <c r="G36" s="486" t="s">
        <v>561</v>
      </c>
      <c r="H36" s="486">
        <f>(H33*2)+(H34*2)+(H35*2)</f>
        <v>3800</v>
      </c>
      <c r="I36" s="494" t="s">
        <v>481</v>
      </c>
      <c r="J36" s="495"/>
      <c r="L36" s="449"/>
      <c r="M36" s="509" t="s">
        <v>562</v>
      </c>
      <c r="N36" s="509" t="s">
        <v>563</v>
      </c>
      <c r="O36" s="509" t="s">
        <v>564</v>
      </c>
      <c r="P36" s="509" t="s">
        <v>565</v>
      </c>
      <c r="Q36" s="510" t="s">
        <v>566</v>
      </c>
      <c r="R36" s="504"/>
      <c r="S36" s="513" t="s">
        <v>567</v>
      </c>
      <c r="T36" s="514">
        <v>2</v>
      </c>
      <c r="U36" s="514">
        <f t="shared" ref="U36:U37" si="2">100*T36</f>
        <v>200</v>
      </c>
      <c r="V36" s="515">
        <f>(C22*U36)/1000</f>
        <v>40</v>
      </c>
      <c r="W36" s="514">
        <f>V36/F22</f>
        <v>10</v>
      </c>
      <c r="X36" s="514">
        <f t="shared" ref="X36:X37" si="3">W36/T36</f>
        <v>5</v>
      </c>
      <c r="Y36" s="514">
        <f>30/D22</f>
        <v>1.5</v>
      </c>
    </row>
    <row r="37" spans="1:30" ht="45.75" customHeight="1">
      <c r="A37" s="484" t="s">
        <v>291</v>
      </c>
      <c r="B37" s="484" t="s">
        <v>281</v>
      </c>
      <c r="C37" s="484" t="s">
        <v>293</v>
      </c>
      <c r="D37" s="484" t="s">
        <v>568</v>
      </c>
      <c r="E37" s="499" t="s">
        <v>449</v>
      </c>
      <c r="F37" s="482"/>
      <c r="G37" s="487" t="s">
        <v>569</v>
      </c>
      <c r="H37" s="486">
        <f>H31*25</f>
        <v>18750</v>
      </c>
      <c r="I37" s="494" t="s">
        <v>481</v>
      </c>
      <c r="J37" s="495"/>
      <c r="L37" s="449"/>
      <c r="M37" s="509" t="s">
        <v>570</v>
      </c>
      <c r="N37" s="509" t="s">
        <v>571</v>
      </c>
      <c r="O37" s="509" t="s">
        <v>572</v>
      </c>
      <c r="P37" s="509" t="s">
        <v>573</v>
      </c>
      <c r="Q37" s="510" t="s">
        <v>574</v>
      </c>
      <c r="R37" s="504"/>
      <c r="S37" s="513" t="s">
        <v>575</v>
      </c>
      <c r="T37" s="514">
        <v>5</v>
      </c>
      <c r="U37" s="514">
        <f t="shared" si="2"/>
        <v>500</v>
      </c>
      <c r="V37" s="515">
        <f>(C22*U37)/1000</f>
        <v>100</v>
      </c>
      <c r="W37" s="514">
        <f>V37/F22</f>
        <v>25</v>
      </c>
      <c r="X37" s="514">
        <f t="shared" si="3"/>
        <v>5</v>
      </c>
      <c r="Y37" s="514">
        <f>30/D22</f>
        <v>1.5</v>
      </c>
    </row>
    <row r="38" spans="1:30" ht="41.25" customHeight="1">
      <c r="A38" s="486" t="s">
        <v>576</v>
      </c>
      <c r="B38" s="486">
        <v>2.2000000000000002</v>
      </c>
      <c r="C38" s="486" t="s">
        <v>577</v>
      </c>
      <c r="D38" s="500" t="s">
        <v>578</v>
      </c>
      <c r="E38" s="487" t="s">
        <v>579</v>
      </c>
      <c r="F38" s="482"/>
      <c r="G38" s="486" t="s">
        <v>580</v>
      </c>
      <c r="H38" s="486">
        <f>H28+H36</f>
        <v>9220</v>
      </c>
      <c r="I38" s="494" t="s">
        <v>481</v>
      </c>
      <c r="J38" s="495"/>
      <c r="L38" s="449"/>
      <c r="M38" s="509" t="s">
        <v>581</v>
      </c>
      <c r="N38" s="509" t="s">
        <v>582</v>
      </c>
      <c r="O38" s="509" t="s">
        <v>583</v>
      </c>
      <c r="P38" s="509" t="s">
        <v>573</v>
      </c>
      <c r="Q38" s="510" t="s">
        <v>584</v>
      </c>
      <c r="R38" s="504"/>
      <c r="S38" s="504"/>
      <c r="T38" s="504"/>
      <c r="U38" s="504"/>
      <c r="V38" s="504"/>
      <c r="W38" s="504"/>
      <c r="X38" s="504"/>
      <c r="Y38" s="504"/>
    </row>
    <row r="39" spans="1:30" ht="31.5" customHeight="1">
      <c r="A39" s="486" t="s">
        <v>585</v>
      </c>
      <c r="B39" s="486">
        <v>803</v>
      </c>
      <c r="C39" s="486" t="s">
        <v>586</v>
      </c>
      <c r="D39" s="500" t="s">
        <v>587</v>
      </c>
      <c r="E39" s="487" t="s">
        <v>588</v>
      </c>
      <c r="F39" s="482"/>
      <c r="G39" s="482"/>
      <c r="H39" s="482"/>
      <c r="I39" s="482"/>
      <c r="J39" s="482"/>
      <c r="L39" s="449"/>
      <c r="M39" s="504"/>
      <c r="N39" s="504"/>
      <c r="O39" s="504"/>
      <c r="P39" s="504"/>
      <c r="Q39" s="504"/>
      <c r="R39" s="504"/>
      <c r="S39" s="504"/>
      <c r="T39" s="504"/>
      <c r="U39" s="504"/>
      <c r="V39" s="504"/>
      <c r="W39" s="504"/>
      <c r="X39" s="504"/>
      <c r="Y39" s="504"/>
    </row>
    <row r="40" spans="1:30" ht="34.5" customHeight="1">
      <c r="A40" s="486" t="s">
        <v>589</v>
      </c>
      <c r="B40" s="486">
        <v>469</v>
      </c>
      <c r="C40" s="486" t="s">
        <v>586</v>
      </c>
      <c r="D40" s="501" t="s">
        <v>590</v>
      </c>
      <c r="E40" s="487" t="s">
        <v>591</v>
      </c>
      <c r="F40" s="482"/>
      <c r="G40" s="482"/>
      <c r="H40" s="482"/>
      <c r="I40" s="482"/>
      <c r="J40" s="482"/>
      <c r="L40" s="449"/>
      <c r="M40" s="504"/>
      <c r="N40" s="743" t="s">
        <v>592</v>
      </c>
      <c r="O40" s="726"/>
      <c r="P40" s="726"/>
      <c r="Q40" s="726"/>
      <c r="R40" s="504"/>
      <c r="S40" s="726" t="s">
        <v>593</v>
      </c>
      <c r="T40" s="726"/>
      <c r="U40" s="726"/>
      <c r="V40" s="726"/>
      <c r="W40" s="726"/>
      <c r="X40" s="726"/>
      <c r="Y40" s="726"/>
    </row>
    <row r="41" spans="1:30" ht="39" customHeight="1">
      <c r="A41" s="486" t="s">
        <v>594</v>
      </c>
      <c r="B41" s="486">
        <v>0.8</v>
      </c>
      <c r="C41" s="486" t="s">
        <v>595</v>
      </c>
      <c r="D41" s="500" t="s">
        <v>596</v>
      </c>
      <c r="E41" s="487" t="s">
        <v>597</v>
      </c>
      <c r="F41" s="482"/>
      <c r="G41" s="727" t="s">
        <v>598</v>
      </c>
      <c r="H41" s="728"/>
      <c r="I41" s="728"/>
      <c r="J41" s="729"/>
      <c r="L41" s="449"/>
      <c r="M41" s="504"/>
      <c r="N41" s="507" t="s">
        <v>599</v>
      </c>
      <c r="O41" s="507" t="s">
        <v>600</v>
      </c>
      <c r="P41" s="507" t="s">
        <v>601</v>
      </c>
      <c r="Q41" s="507" t="s">
        <v>602</v>
      </c>
      <c r="R41" s="504"/>
      <c r="S41" s="517" t="s">
        <v>294</v>
      </c>
      <c r="T41" s="516" t="s">
        <v>80</v>
      </c>
      <c r="U41" s="516" t="s">
        <v>603</v>
      </c>
      <c r="V41" s="516" t="s">
        <v>604</v>
      </c>
      <c r="W41" s="517" t="s">
        <v>605</v>
      </c>
      <c r="X41" s="516" t="s">
        <v>606</v>
      </c>
      <c r="Y41" s="516" t="s">
        <v>607</v>
      </c>
    </row>
    <row r="42" spans="1:30" ht="36" customHeight="1">
      <c r="A42" s="486" t="s">
        <v>608</v>
      </c>
      <c r="B42" s="486">
        <v>281</v>
      </c>
      <c r="C42" s="486" t="s">
        <v>586</v>
      </c>
      <c r="D42" s="500" t="s">
        <v>609</v>
      </c>
      <c r="E42" s="487" t="s">
        <v>610</v>
      </c>
      <c r="F42" s="482"/>
      <c r="G42" s="484" t="s">
        <v>291</v>
      </c>
      <c r="H42" s="484" t="s">
        <v>281</v>
      </c>
      <c r="I42" s="522" t="s">
        <v>448</v>
      </c>
      <c r="J42" s="499" t="s">
        <v>449</v>
      </c>
      <c r="L42" s="449"/>
      <c r="M42" s="504"/>
      <c r="N42" s="507" t="s">
        <v>611</v>
      </c>
      <c r="O42" s="509" t="s">
        <v>612</v>
      </c>
      <c r="P42" s="511" t="s">
        <v>613</v>
      </c>
      <c r="Q42" s="509">
        <f>20*245</f>
        <v>4900</v>
      </c>
      <c r="R42" s="504"/>
      <c r="S42" s="508" t="s">
        <v>614</v>
      </c>
      <c r="T42" s="509" t="s">
        <v>615</v>
      </c>
      <c r="U42" s="509" t="s">
        <v>86</v>
      </c>
      <c r="V42" s="509">
        <v>1</v>
      </c>
      <c r="W42" s="510">
        <v>20</v>
      </c>
      <c r="X42" s="509">
        <f>W42*7</f>
        <v>140</v>
      </c>
      <c r="Y42" s="509" t="s">
        <v>616</v>
      </c>
    </row>
    <row r="43" spans="1:30" ht="36" customHeight="1">
      <c r="A43" s="486" t="s">
        <v>463</v>
      </c>
      <c r="B43" s="486">
        <v>800</v>
      </c>
      <c r="C43" s="486" t="s">
        <v>464</v>
      </c>
      <c r="D43" s="501" t="s">
        <v>590</v>
      </c>
      <c r="E43" s="487" t="s">
        <v>617</v>
      </c>
      <c r="F43" s="482"/>
      <c r="G43" s="486" t="s">
        <v>480</v>
      </c>
      <c r="H43" s="485">
        <v>5420</v>
      </c>
      <c r="I43" s="494" t="s">
        <v>481</v>
      </c>
      <c r="J43" s="502" t="s">
        <v>618</v>
      </c>
      <c r="L43" s="449"/>
      <c r="M43" s="504"/>
      <c r="N43" s="507" t="s">
        <v>619</v>
      </c>
      <c r="O43" s="509" t="s">
        <v>620</v>
      </c>
      <c r="P43" s="509" t="s">
        <v>621</v>
      </c>
      <c r="Q43" s="509">
        <f>3*10</f>
        <v>30</v>
      </c>
      <c r="R43" s="504"/>
      <c r="S43" s="508" t="s">
        <v>77</v>
      </c>
      <c r="T43" s="509" t="s">
        <v>622</v>
      </c>
      <c r="U43" s="509" t="s">
        <v>100</v>
      </c>
      <c r="V43" s="509">
        <v>0.7</v>
      </c>
      <c r="W43" s="510">
        <f>V43*20</f>
        <v>14</v>
      </c>
      <c r="X43" s="509">
        <f>W43*7</f>
        <v>98</v>
      </c>
      <c r="Y43" s="509" t="s">
        <v>623</v>
      </c>
    </row>
    <row r="44" spans="1:30" ht="39" customHeight="1">
      <c r="A44" s="486" t="s">
        <v>624</v>
      </c>
      <c r="B44" s="486">
        <v>50</v>
      </c>
      <c r="C44" s="486" t="s">
        <v>464</v>
      </c>
      <c r="D44" s="500" t="s">
        <v>625</v>
      </c>
      <c r="E44" s="487" t="s">
        <v>626</v>
      </c>
      <c r="F44" s="482"/>
      <c r="G44" s="486" t="s">
        <v>627</v>
      </c>
      <c r="H44" s="485">
        <v>50</v>
      </c>
      <c r="I44" s="494" t="s">
        <v>464</v>
      </c>
      <c r="J44" s="502" t="s">
        <v>628</v>
      </c>
      <c r="L44" s="449"/>
      <c r="M44" s="504"/>
      <c r="N44" s="507" t="s">
        <v>629</v>
      </c>
      <c r="O44" s="509" t="s">
        <v>630</v>
      </c>
      <c r="P44" s="511" t="s">
        <v>631</v>
      </c>
      <c r="Q44" s="509">
        <f>1.5*10</f>
        <v>15</v>
      </c>
      <c r="R44" s="504"/>
      <c r="S44" s="508" t="s">
        <v>78</v>
      </c>
      <c r="T44" s="509" t="s">
        <v>632</v>
      </c>
      <c r="U44" s="509" t="s">
        <v>100</v>
      </c>
      <c r="V44" s="509">
        <v>0.6</v>
      </c>
      <c r="W44" s="510">
        <f>V44*20</f>
        <v>12</v>
      </c>
      <c r="X44" s="509">
        <f>W44*7</f>
        <v>84</v>
      </c>
      <c r="Y44" s="509" t="s">
        <v>633</v>
      </c>
    </row>
    <row r="45" spans="1:30" ht="37.5" customHeight="1">
      <c r="A45" s="486" t="s">
        <v>634</v>
      </c>
      <c r="B45" s="486">
        <v>850</v>
      </c>
      <c r="C45" s="486" t="s">
        <v>464</v>
      </c>
      <c r="D45" s="500" t="s">
        <v>635</v>
      </c>
      <c r="E45" s="487" t="s">
        <v>636</v>
      </c>
      <c r="F45" s="482"/>
      <c r="G45" s="486" t="s">
        <v>637</v>
      </c>
      <c r="H45" s="485">
        <v>800</v>
      </c>
      <c r="I45" s="494" t="s">
        <v>464</v>
      </c>
      <c r="J45" s="502" t="s">
        <v>638</v>
      </c>
      <c r="L45" s="449"/>
      <c r="M45" s="504"/>
      <c r="N45" s="507" t="s">
        <v>639</v>
      </c>
      <c r="O45" s="509" t="s">
        <v>640</v>
      </c>
      <c r="P45" s="509" t="s">
        <v>641</v>
      </c>
      <c r="Q45" s="509">
        <f>5*10</f>
        <v>50</v>
      </c>
      <c r="R45" s="504"/>
      <c r="S45" s="508" t="s">
        <v>642</v>
      </c>
      <c r="T45" s="509" t="s">
        <v>643</v>
      </c>
      <c r="U45" s="509" t="s">
        <v>87</v>
      </c>
      <c r="V45" s="509">
        <v>1.3</v>
      </c>
      <c r="W45" s="510">
        <f>V45*20</f>
        <v>26</v>
      </c>
      <c r="X45" s="509">
        <f>W45*7</f>
        <v>182</v>
      </c>
      <c r="Y45" s="509" t="s">
        <v>417</v>
      </c>
    </row>
    <row r="46" spans="1:30" ht="43.5" customHeight="1">
      <c r="A46" s="486" t="s">
        <v>480</v>
      </c>
      <c r="B46" s="486">
        <v>5420</v>
      </c>
      <c r="C46" s="486" t="s">
        <v>481</v>
      </c>
      <c r="D46" s="501" t="s">
        <v>644</v>
      </c>
      <c r="E46" s="487" t="s">
        <v>645</v>
      </c>
      <c r="F46" s="482"/>
      <c r="G46" s="486" t="s">
        <v>646</v>
      </c>
      <c r="H46" s="523" t="s">
        <v>647</v>
      </c>
      <c r="I46" s="486"/>
      <c r="J46" s="502" t="s">
        <v>648</v>
      </c>
      <c r="L46" s="449"/>
      <c r="M46" s="504"/>
      <c r="N46" s="507" t="s">
        <v>649</v>
      </c>
      <c r="O46" s="509" t="s">
        <v>91</v>
      </c>
      <c r="P46" s="509" t="s">
        <v>650</v>
      </c>
      <c r="Q46" s="507">
        <f>Q42+Q43+Q44+Q45</f>
        <v>4995</v>
      </c>
      <c r="R46" s="504"/>
      <c r="S46" s="508" t="s">
        <v>651</v>
      </c>
      <c r="T46" s="509" t="s">
        <v>652</v>
      </c>
      <c r="U46" s="509" t="s">
        <v>653</v>
      </c>
      <c r="V46" s="509">
        <v>1.5</v>
      </c>
      <c r="W46" s="510">
        <f>V46*20</f>
        <v>30</v>
      </c>
      <c r="X46" s="509">
        <f>W46*7</f>
        <v>210</v>
      </c>
      <c r="Y46" s="509" t="s">
        <v>654</v>
      </c>
    </row>
    <row r="47" spans="1:30" ht="35.25" customHeight="1">
      <c r="A47" s="486" t="s">
        <v>655</v>
      </c>
      <c r="B47" s="486">
        <v>6.37</v>
      </c>
      <c r="C47" s="486" t="s">
        <v>528</v>
      </c>
      <c r="D47" s="500" t="s">
        <v>656</v>
      </c>
      <c r="E47" s="487" t="s">
        <v>657</v>
      </c>
      <c r="F47" s="482"/>
      <c r="G47" s="486" t="s">
        <v>232</v>
      </c>
      <c r="H47" s="485" t="s">
        <v>658</v>
      </c>
      <c r="I47" s="494" t="s">
        <v>528</v>
      </c>
      <c r="J47" s="502" t="s">
        <v>659</v>
      </c>
      <c r="L47" s="449"/>
      <c r="M47" s="449"/>
      <c r="N47" s="449"/>
      <c r="O47" s="449"/>
      <c r="P47" s="449"/>
      <c r="Q47" s="449"/>
      <c r="R47" s="449"/>
      <c r="S47" s="449"/>
      <c r="T47" s="449"/>
      <c r="U47" s="449"/>
      <c r="V47" s="449"/>
      <c r="W47" s="449"/>
      <c r="X47" s="449"/>
      <c r="Y47" s="449"/>
    </row>
    <row r="48" spans="1:30" ht="36" customHeight="1">
      <c r="A48" s="486" t="s">
        <v>424</v>
      </c>
      <c r="B48" s="486">
        <v>25</v>
      </c>
      <c r="C48" s="486" t="s">
        <v>528</v>
      </c>
      <c r="D48" s="501" t="s">
        <v>660</v>
      </c>
      <c r="E48" s="487" t="s">
        <v>661</v>
      </c>
      <c r="F48" s="482"/>
      <c r="G48" s="486" t="s">
        <v>662</v>
      </c>
      <c r="H48" s="485" t="s">
        <v>663</v>
      </c>
      <c r="I48" s="494" t="s">
        <v>528</v>
      </c>
      <c r="J48" s="502" t="s">
        <v>664</v>
      </c>
    </row>
    <row r="49" spans="1:10" ht="37.5" customHeight="1">
      <c r="A49" s="486" t="s">
        <v>665</v>
      </c>
      <c r="B49" s="503">
        <v>14240</v>
      </c>
      <c r="C49" s="486" t="s">
        <v>481</v>
      </c>
      <c r="D49" s="500" t="s">
        <v>666</v>
      </c>
      <c r="E49" s="487" t="s">
        <v>667</v>
      </c>
      <c r="F49" s="482"/>
      <c r="G49" s="486" t="s">
        <v>424</v>
      </c>
      <c r="H49" s="485" t="s">
        <v>668</v>
      </c>
      <c r="I49" s="494" t="s">
        <v>528</v>
      </c>
      <c r="J49" s="502" t="s">
        <v>380</v>
      </c>
    </row>
    <row r="50" spans="1:10" ht="40.5" customHeight="1">
      <c r="A50" s="486" t="s">
        <v>669</v>
      </c>
      <c r="B50" s="503">
        <v>15961</v>
      </c>
      <c r="C50" s="486" t="s">
        <v>481</v>
      </c>
      <c r="D50" s="500" t="s">
        <v>670</v>
      </c>
      <c r="E50" s="487" t="s">
        <v>671</v>
      </c>
      <c r="F50" s="482"/>
      <c r="G50" s="486" t="s">
        <v>672</v>
      </c>
      <c r="H50" s="524">
        <v>18750</v>
      </c>
      <c r="I50" s="494" t="s">
        <v>481</v>
      </c>
      <c r="J50" s="502" t="s">
        <v>673</v>
      </c>
    </row>
    <row r="51" spans="1:10" ht="29.25" customHeight="1">
      <c r="A51" s="446"/>
      <c r="B51" s="446"/>
      <c r="C51" s="446"/>
      <c r="D51" s="446"/>
      <c r="E51" s="446"/>
      <c r="F51" s="446"/>
      <c r="G51" s="446"/>
      <c r="H51" s="446"/>
      <c r="I51" s="446"/>
      <c r="J51" s="446"/>
    </row>
    <row r="52" spans="1:10" ht="31.5" customHeight="1"/>
    <row r="53" spans="1:10" ht="28.5" customHeight="1"/>
    <row r="54" spans="1:10" ht="27.75" customHeight="1">
      <c r="D54" s="731" t="s">
        <v>674</v>
      </c>
      <c r="E54" s="732"/>
      <c r="F54" s="732"/>
      <c r="G54" s="732"/>
      <c r="H54" s="733"/>
    </row>
    <row r="55" spans="1:10" ht="21">
      <c r="D55" s="730" t="s">
        <v>675</v>
      </c>
      <c r="E55" s="730"/>
      <c r="F55" s="730"/>
      <c r="G55" s="730" t="s">
        <v>676</v>
      </c>
      <c r="H55" s="730"/>
    </row>
    <row r="56" spans="1:10" ht="21">
      <c r="D56" s="520" t="s">
        <v>291</v>
      </c>
      <c r="E56" s="519" t="s">
        <v>601</v>
      </c>
      <c r="F56" s="519" t="s">
        <v>281</v>
      </c>
      <c r="G56" s="521" t="s">
        <v>291</v>
      </c>
      <c r="H56" s="519" t="s">
        <v>677</v>
      </c>
    </row>
    <row r="57" spans="1:10" ht="36">
      <c r="D57" s="14" t="s">
        <v>459</v>
      </c>
      <c r="E57" s="13" t="s">
        <v>678</v>
      </c>
      <c r="F57" s="7" t="s">
        <v>679</v>
      </c>
      <c r="G57" s="130" t="s">
        <v>680</v>
      </c>
      <c r="H57" s="7" t="s">
        <v>681</v>
      </c>
    </row>
    <row r="58" spans="1:10" ht="18.75">
      <c r="D58" s="14" t="s">
        <v>430</v>
      </c>
      <c r="E58" s="13" t="s">
        <v>336</v>
      </c>
      <c r="F58" s="7" t="s">
        <v>682</v>
      </c>
      <c r="G58" s="130" t="s">
        <v>683</v>
      </c>
      <c r="H58" s="131" t="s">
        <v>684</v>
      </c>
    </row>
    <row r="59" spans="1:10" ht="18.75">
      <c r="D59" s="14" t="s">
        <v>431</v>
      </c>
      <c r="E59" s="13" t="s">
        <v>685</v>
      </c>
      <c r="F59" s="7" t="s">
        <v>686</v>
      </c>
      <c r="G59" s="130" t="s">
        <v>687</v>
      </c>
      <c r="H59" s="7" t="s">
        <v>688</v>
      </c>
    </row>
    <row r="60" spans="1:10" ht="20.25">
      <c r="D60" s="14" t="s">
        <v>689</v>
      </c>
      <c r="E60" s="13" t="s">
        <v>690</v>
      </c>
      <c r="F60" s="7" t="s">
        <v>691</v>
      </c>
      <c r="G60" s="130" t="s">
        <v>692</v>
      </c>
      <c r="H60" s="7" t="s">
        <v>693</v>
      </c>
    </row>
    <row r="61" spans="1:10" ht="20.25">
      <c r="D61" s="14" t="s">
        <v>694</v>
      </c>
      <c r="E61" s="13" t="s">
        <v>695</v>
      </c>
      <c r="F61" s="7" t="s">
        <v>696</v>
      </c>
    </row>
    <row r="62" spans="1:10" ht="18.75">
      <c r="D62" s="14" t="s">
        <v>364</v>
      </c>
      <c r="E62" s="13" t="s">
        <v>697</v>
      </c>
      <c r="F62" s="7" t="s">
        <v>698</v>
      </c>
    </row>
    <row r="63" spans="1:10" ht="18.75">
      <c r="D63" s="14" t="s">
        <v>380</v>
      </c>
      <c r="E63" s="13" t="s">
        <v>699</v>
      </c>
      <c r="F63" s="7" t="s">
        <v>700</v>
      </c>
    </row>
  </sheetData>
  <mergeCells count="24">
    <mergeCell ref="AC27:AC30"/>
    <mergeCell ref="AA32:AA35"/>
    <mergeCell ref="A2:D2"/>
    <mergeCell ref="A20:N20"/>
    <mergeCell ref="N40:Q40"/>
    <mergeCell ref="AA25:AD26"/>
    <mergeCell ref="AC31:AC35"/>
    <mergeCell ref="A25:E25"/>
    <mergeCell ref="P3:U3"/>
    <mergeCell ref="P11:S11"/>
    <mergeCell ref="F3:G3"/>
    <mergeCell ref="I3:M3"/>
    <mergeCell ref="M25:T25"/>
    <mergeCell ref="M33:Q33"/>
    <mergeCell ref="S33:Y33"/>
    <mergeCell ref="V25:Y25"/>
    <mergeCell ref="G25:J25"/>
    <mergeCell ref="AA27:AA31"/>
    <mergeCell ref="S40:Y40"/>
    <mergeCell ref="A36:E36"/>
    <mergeCell ref="D55:F55"/>
    <mergeCell ref="G55:H55"/>
    <mergeCell ref="D54:H54"/>
    <mergeCell ref="G41:J41"/>
  </mergeCells>
  <hyperlinks>
    <hyperlink ref="AA12" r:id="rId1" xr:uid="{C1A55CD2-FC0C-4FF8-AE60-6AE9F5224F20}"/>
    <hyperlink ref="AA13" r:id="rId2" xr:uid="{71639EE4-B855-457F-89A2-3B38DE98D505}"/>
    <hyperlink ref="AA14" r:id="rId3" xr:uid="{FAEAE566-283B-4AB7-991E-D5458221BC4C}"/>
    <hyperlink ref="AA15" r:id="rId4" xr:uid="{FBD7C987-2FC6-4CD7-B09D-6817C96C0D7A}"/>
    <hyperlink ref="AA16" r:id="rId5" xr:uid="{ABC31C91-A329-4E18-8756-C34B71E010DA}"/>
    <hyperlink ref="AA17" r:id="rId6" xr:uid="{AA587D92-96AC-4B03-9EE5-EF5571B9C5B3}"/>
  </hyperlinks>
  <pageMargins left="0.7" right="0.7" top="0.75" bottom="0.75" header="0.3" footer="0.3"/>
  <legacy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14369-8810-45D6-8563-A5817C7CFDCB}">
  <dimension ref="A1:AD56"/>
  <sheetViews>
    <sheetView workbookViewId="0">
      <selection activeCell="E44" sqref="E44"/>
    </sheetView>
  </sheetViews>
  <sheetFormatPr defaultRowHeight="15"/>
  <cols>
    <col min="1" max="1" width="64.140625" customWidth="1"/>
    <col min="2" max="2" width="40.5703125" customWidth="1"/>
    <col min="3" max="3" width="23.5703125" customWidth="1"/>
    <col min="4" max="4" width="23.140625" customWidth="1"/>
    <col min="5" max="5" width="37" customWidth="1"/>
    <col min="6" max="6" width="74.5703125" customWidth="1"/>
    <col min="7" max="7" width="35.42578125" customWidth="1"/>
    <col min="8" max="8" width="82.85546875" customWidth="1"/>
    <col min="9" max="9" width="31" customWidth="1"/>
    <col min="10" max="10" width="43.42578125" customWidth="1"/>
    <col min="11" max="11" width="23.28515625" customWidth="1"/>
    <col min="12" max="12" width="16" customWidth="1"/>
    <col min="13" max="13" width="41.42578125" customWidth="1"/>
    <col min="14" max="14" width="30.28515625" customWidth="1"/>
    <col min="15" max="15" width="12.42578125" customWidth="1"/>
    <col min="16" max="16" width="9.85546875" customWidth="1"/>
    <col min="17" max="17" width="18.28515625" customWidth="1"/>
    <col min="18" max="18" width="15.42578125" customWidth="1"/>
    <col min="19" max="19" width="48.7109375" customWidth="1"/>
    <col min="20" max="20" width="48.28515625" customWidth="1"/>
    <col min="21" max="21" width="28.42578125" customWidth="1"/>
  </cols>
  <sheetData>
    <row r="1" spans="1:30" ht="18.75">
      <c r="R1" s="594"/>
      <c r="S1" s="594"/>
      <c r="T1" s="594"/>
      <c r="U1" s="594"/>
      <c r="V1" s="594"/>
      <c r="W1" s="594"/>
      <c r="X1" s="594"/>
      <c r="Y1" s="594"/>
      <c r="Z1" s="594"/>
      <c r="AA1" s="594"/>
      <c r="AB1" s="594"/>
    </row>
    <row r="2" spans="1:30" ht="24">
      <c r="A2" s="777" t="s">
        <v>701</v>
      </c>
      <c r="B2" s="778"/>
      <c r="C2" s="778"/>
      <c r="D2" s="778"/>
      <c r="E2" s="778"/>
      <c r="F2" s="778"/>
      <c r="G2" s="778"/>
      <c r="H2" s="778"/>
      <c r="I2" s="778"/>
      <c r="J2" s="582"/>
      <c r="K2" s="582"/>
      <c r="L2" s="582"/>
      <c r="M2" s="582"/>
      <c r="R2" s="76"/>
      <c r="S2" s="76"/>
      <c r="T2" s="76"/>
      <c r="U2" s="76"/>
      <c r="V2" s="76"/>
      <c r="W2" s="76"/>
      <c r="X2" s="76"/>
      <c r="Y2" s="76"/>
      <c r="Z2" s="76"/>
      <c r="AA2" s="76"/>
      <c r="AB2" s="76"/>
      <c r="AC2" s="76"/>
      <c r="AD2" s="76"/>
    </row>
    <row r="3" spans="1:30" ht="19.5">
      <c r="A3" s="70" t="s">
        <v>702</v>
      </c>
      <c r="B3" s="70" t="s">
        <v>703</v>
      </c>
      <c r="C3" s="70" t="s">
        <v>704</v>
      </c>
      <c r="D3" s="70" t="s">
        <v>705</v>
      </c>
      <c r="E3" s="70" t="s">
        <v>706</v>
      </c>
      <c r="F3" s="70" t="s">
        <v>707</v>
      </c>
      <c r="G3" s="70" t="s">
        <v>708</v>
      </c>
      <c r="H3" s="70" t="s">
        <v>709</v>
      </c>
      <c r="I3" s="70" t="s">
        <v>710</v>
      </c>
      <c r="J3" s="61" t="s">
        <v>711</v>
      </c>
      <c r="K3" s="73"/>
      <c r="M3" s="61" t="s">
        <v>712</v>
      </c>
      <c r="N3" s="85"/>
      <c r="O3" s="85"/>
      <c r="P3" s="87"/>
      <c r="R3" s="76"/>
      <c r="S3" s="76"/>
      <c r="W3" s="594"/>
      <c r="X3" s="594"/>
      <c r="Y3" s="594"/>
      <c r="Z3" s="594"/>
      <c r="AA3" s="594"/>
      <c r="AB3" s="594"/>
      <c r="AC3" s="76"/>
      <c r="AD3" s="76"/>
    </row>
    <row r="4" spans="1:30" ht="37.5">
      <c r="A4" s="71">
        <v>1</v>
      </c>
      <c r="B4" s="72">
        <f>B24/12</f>
        <v>3666.6666666666665</v>
      </c>
      <c r="C4" s="72">
        <f>B4*50%</f>
        <v>1833.3333333333333</v>
      </c>
      <c r="D4" s="139">
        <f>C4*50%</f>
        <v>916.66666666666663</v>
      </c>
      <c r="E4" s="139">
        <f>B4*50%</f>
        <v>1833.3333333333333</v>
      </c>
      <c r="F4" s="140">
        <f>C4*50%</f>
        <v>916.66666666666663</v>
      </c>
      <c r="G4" s="140">
        <f>E4*8</f>
        <v>14666.666666666666</v>
      </c>
      <c r="H4" s="140">
        <f>F4*B33</f>
        <v>916.66666666666663</v>
      </c>
      <c r="I4" s="140">
        <f>D4*B33</f>
        <v>916.66666666666663</v>
      </c>
      <c r="J4" s="580" t="s">
        <v>713</v>
      </c>
      <c r="K4" s="62" t="s">
        <v>714</v>
      </c>
      <c r="L4" s="76" t="s">
        <v>715</v>
      </c>
      <c r="M4" s="1" t="s">
        <v>716</v>
      </c>
      <c r="N4" s="86"/>
      <c r="O4" s="86"/>
      <c r="P4" s="145"/>
      <c r="R4" s="76"/>
      <c r="S4" s="76"/>
      <c r="W4" s="594"/>
      <c r="X4" s="594"/>
      <c r="Y4" s="594"/>
      <c r="Z4" s="594"/>
      <c r="AA4" s="594"/>
      <c r="AB4" s="594"/>
      <c r="AC4" s="76"/>
      <c r="AD4" s="76"/>
    </row>
    <row r="5" spans="1:30" ht="37.5">
      <c r="A5" s="70">
        <v>2</v>
      </c>
      <c r="B5" s="72">
        <f>B24/12</f>
        <v>3666.6666666666665</v>
      </c>
      <c r="C5" s="72">
        <f t="shared" ref="C5:C15" si="0">B5*50%</f>
        <v>1833.3333333333333</v>
      </c>
      <c r="D5" s="139">
        <f>C5*50%</f>
        <v>916.66666666666663</v>
      </c>
      <c r="E5" s="139">
        <f t="shared" ref="E5:E15" si="1">B5*50%</f>
        <v>1833.3333333333333</v>
      </c>
      <c r="F5" s="140">
        <f t="shared" ref="F5:F15" si="2">C5*50%</f>
        <v>916.66666666666663</v>
      </c>
      <c r="G5" s="140">
        <f>E5*8</f>
        <v>14666.666666666666</v>
      </c>
      <c r="H5" s="141">
        <f>D5*B33</f>
        <v>916.66666666666663</v>
      </c>
      <c r="I5" s="141">
        <f>D5*B33</f>
        <v>916.66666666666663</v>
      </c>
      <c r="J5" s="580" t="s">
        <v>717</v>
      </c>
      <c r="K5" s="62">
        <v>6</v>
      </c>
      <c r="L5" s="75" t="s">
        <v>718</v>
      </c>
      <c r="M5" s="1" t="s">
        <v>719</v>
      </c>
      <c r="N5" s="86"/>
      <c r="O5" s="86"/>
      <c r="P5" s="145"/>
      <c r="R5" s="76"/>
      <c r="S5" s="76"/>
      <c r="W5" s="594"/>
      <c r="X5" s="594"/>
      <c r="Y5" s="594"/>
      <c r="Z5" s="594"/>
      <c r="AA5" s="594"/>
      <c r="AB5" s="594"/>
      <c r="AC5" s="76"/>
      <c r="AD5" s="76"/>
    </row>
    <row r="6" spans="1:30" ht="18.75">
      <c r="A6" s="71">
        <v>3</v>
      </c>
      <c r="B6" s="72">
        <f>B24/12</f>
        <v>3666.6666666666665</v>
      </c>
      <c r="C6" s="72">
        <f t="shared" si="0"/>
        <v>1833.3333333333333</v>
      </c>
      <c r="D6" s="139">
        <f>C6*50%</f>
        <v>916.66666666666663</v>
      </c>
      <c r="E6" s="139">
        <f t="shared" si="1"/>
        <v>1833.3333333333333</v>
      </c>
      <c r="F6" s="140">
        <f t="shared" si="2"/>
        <v>916.66666666666663</v>
      </c>
      <c r="G6" s="140">
        <f t="shared" ref="G6:G15" si="3">E6*8</f>
        <v>14666.666666666666</v>
      </c>
      <c r="H6" s="142">
        <f>F6*B33</f>
        <v>916.66666666666663</v>
      </c>
      <c r="I6" s="142">
        <f>D6*B33</f>
        <v>916.66666666666663</v>
      </c>
      <c r="J6" s="64" t="s">
        <v>720</v>
      </c>
      <c r="K6" s="62" t="s">
        <v>721</v>
      </c>
      <c r="M6" s="1" t="s">
        <v>722</v>
      </c>
      <c r="N6" s="86"/>
      <c r="O6" s="86"/>
      <c r="P6" s="145"/>
      <c r="R6" s="76"/>
      <c r="S6" s="76"/>
      <c r="W6" s="594"/>
      <c r="X6" s="594"/>
      <c r="Y6" s="594"/>
      <c r="Z6" s="594"/>
      <c r="AA6" s="594"/>
      <c r="AB6" s="594"/>
      <c r="AC6" s="76"/>
      <c r="AD6" s="76"/>
    </row>
    <row r="7" spans="1:30" ht="37.5">
      <c r="A7" s="70">
        <v>4</v>
      </c>
      <c r="B7" s="72">
        <f>B24/12</f>
        <v>3666.6666666666665</v>
      </c>
      <c r="C7" s="72">
        <f t="shared" si="0"/>
        <v>1833.3333333333333</v>
      </c>
      <c r="D7" s="139">
        <f>C7*50%</f>
        <v>916.66666666666663</v>
      </c>
      <c r="E7" s="139">
        <f t="shared" si="1"/>
        <v>1833.3333333333333</v>
      </c>
      <c r="F7" s="140">
        <f t="shared" si="2"/>
        <v>916.66666666666663</v>
      </c>
      <c r="G7" s="140">
        <f t="shared" si="3"/>
        <v>14666.666666666666</v>
      </c>
      <c r="H7" s="141">
        <f>F7*B33</f>
        <v>916.66666666666663</v>
      </c>
      <c r="I7" s="141">
        <f>D7*B33</f>
        <v>916.66666666666663</v>
      </c>
      <c r="J7" s="64" t="s">
        <v>723</v>
      </c>
      <c r="K7" s="62">
        <v>1</v>
      </c>
      <c r="L7" s="75" t="s">
        <v>724</v>
      </c>
      <c r="M7" s="1" t="s">
        <v>725</v>
      </c>
      <c r="N7" s="86"/>
      <c r="O7" s="86"/>
      <c r="P7" s="145"/>
      <c r="R7" s="79"/>
      <c r="S7" s="76"/>
      <c r="W7" s="594"/>
      <c r="X7" s="594"/>
      <c r="Y7" s="594"/>
      <c r="Z7" s="594"/>
      <c r="AA7" s="594"/>
      <c r="AB7" s="594"/>
      <c r="AC7" s="76"/>
      <c r="AD7" s="76"/>
    </row>
    <row r="8" spans="1:30" ht="56.25">
      <c r="A8" s="71">
        <v>5</v>
      </c>
      <c r="B8" s="72">
        <f>B24/12</f>
        <v>3666.6666666666665</v>
      </c>
      <c r="C8" s="72">
        <f t="shared" si="0"/>
        <v>1833.3333333333333</v>
      </c>
      <c r="D8" s="139">
        <f>C8*50%</f>
        <v>916.66666666666663</v>
      </c>
      <c r="E8" s="139">
        <f t="shared" si="1"/>
        <v>1833.3333333333333</v>
      </c>
      <c r="F8" s="140">
        <f t="shared" si="2"/>
        <v>916.66666666666663</v>
      </c>
      <c r="G8" s="140">
        <f t="shared" si="3"/>
        <v>14666.666666666666</v>
      </c>
      <c r="H8" s="142">
        <f>F8*B33</f>
        <v>916.66666666666663</v>
      </c>
      <c r="I8" s="142">
        <f>D8*B33</f>
        <v>916.66666666666663</v>
      </c>
      <c r="J8" s="64" t="s">
        <v>726</v>
      </c>
      <c r="K8" s="62" t="s">
        <v>727</v>
      </c>
      <c r="L8" s="75" t="s">
        <v>724</v>
      </c>
      <c r="M8" s="1" t="s">
        <v>728</v>
      </c>
      <c r="N8" s="86"/>
      <c r="O8" s="86"/>
      <c r="P8" s="3"/>
      <c r="R8" s="76"/>
      <c r="S8" s="76"/>
      <c r="W8" s="594"/>
      <c r="X8" s="594"/>
      <c r="Y8" s="594"/>
      <c r="Z8" s="594"/>
      <c r="AA8" s="594"/>
      <c r="AB8" s="594"/>
      <c r="AC8" s="76"/>
      <c r="AD8" s="76"/>
    </row>
    <row r="9" spans="1:30" ht="21">
      <c r="A9" s="70">
        <v>6</v>
      </c>
      <c r="B9" s="72">
        <f>B24/12</f>
        <v>3666.6666666666665</v>
      </c>
      <c r="C9" s="72">
        <f t="shared" si="0"/>
        <v>1833.3333333333333</v>
      </c>
      <c r="D9" s="139">
        <f>C9*50%</f>
        <v>916.66666666666663</v>
      </c>
      <c r="E9" s="139">
        <f t="shared" si="1"/>
        <v>1833.3333333333333</v>
      </c>
      <c r="F9" s="140">
        <f t="shared" si="2"/>
        <v>916.66666666666663</v>
      </c>
      <c r="G9" s="140">
        <f t="shared" si="3"/>
        <v>14666.666666666666</v>
      </c>
      <c r="H9" s="141">
        <f>F9*B33</f>
        <v>916.66666666666663</v>
      </c>
      <c r="I9" s="141">
        <f>D9*B33</f>
        <v>916.66666666666663</v>
      </c>
      <c r="J9" s="74" t="s">
        <v>729</v>
      </c>
      <c r="K9" s="62"/>
      <c r="M9" s="63"/>
      <c r="N9" s="86"/>
      <c r="O9" s="86"/>
      <c r="P9" s="3"/>
      <c r="R9" s="76"/>
      <c r="S9" s="76"/>
      <c r="W9" s="594"/>
      <c r="X9" s="594"/>
      <c r="Y9" s="594"/>
      <c r="Z9" s="594"/>
      <c r="AA9" s="594"/>
      <c r="AB9" s="594"/>
      <c r="AC9" s="76"/>
      <c r="AD9" s="76"/>
    </row>
    <row r="10" spans="1:30" ht="20.25">
      <c r="A10" s="71">
        <v>7</v>
      </c>
      <c r="B10" s="72">
        <f>B24/12</f>
        <v>3666.6666666666665</v>
      </c>
      <c r="C10" s="72">
        <f t="shared" si="0"/>
        <v>1833.3333333333333</v>
      </c>
      <c r="D10" s="139">
        <f>C10*50%</f>
        <v>916.66666666666663</v>
      </c>
      <c r="E10" s="139">
        <f t="shared" si="1"/>
        <v>1833.3333333333333</v>
      </c>
      <c r="F10" s="140">
        <f t="shared" si="2"/>
        <v>916.66666666666663</v>
      </c>
      <c r="G10" s="140">
        <f t="shared" si="3"/>
        <v>14666.666666666666</v>
      </c>
      <c r="H10" s="142">
        <f>F10*B33</f>
        <v>916.66666666666663</v>
      </c>
      <c r="I10" s="142">
        <f>D10*B33</f>
        <v>916.66666666666663</v>
      </c>
      <c r="J10" s="779"/>
      <c r="K10" s="780"/>
      <c r="L10" s="780"/>
      <c r="M10" s="780"/>
      <c r="N10" s="86"/>
      <c r="O10" s="86"/>
      <c r="P10" s="3"/>
      <c r="R10" s="76"/>
      <c r="S10" s="76"/>
      <c r="W10" s="594"/>
      <c r="X10" s="594"/>
      <c r="Y10" s="594"/>
      <c r="Z10" s="594"/>
      <c r="AA10" s="594"/>
      <c r="AB10" s="594"/>
      <c r="AC10" s="76"/>
      <c r="AD10" s="76"/>
    </row>
    <row r="11" spans="1:30" ht="18.75">
      <c r="A11" s="70">
        <v>8</v>
      </c>
      <c r="B11" s="72">
        <f>B24/12</f>
        <v>3666.6666666666665</v>
      </c>
      <c r="C11" s="72">
        <f t="shared" si="0"/>
        <v>1833.3333333333333</v>
      </c>
      <c r="D11" s="139">
        <f>C11*50%</f>
        <v>916.66666666666663</v>
      </c>
      <c r="E11" s="139">
        <f t="shared" si="1"/>
        <v>1833.3333333333333</v>
      </c>
      <c r="F11" s="140">
        <f t="shared" si="2"/>
        <v>916.66666666666663</v>
      </c>
      <c r="G11" s="140">
        <f t="shared" si="3"/>
        <v>14666.666666666666</v>
      </c>
      <c r="H11" s="141">
        <f>F11*B33</f>
        <v>916.66666666666663</v>
      </c>
      <c r="I11" s="141">
        <f>D11*B33</f>
        <v>916.66666666666663</v>
      </c>
      <c r="J11" s="580"/>
      <c r="K11" s="580"/>
      <c r="L11" s="580"/>
      <c r="M11" s="580"/>
      <c r="N11" s="86"/>
      <c r="O11" s="86"/>
      <c r="P11" s="85"/>
      <c r="R11" s="76"/>
      <c r="S11" s="76"/>
      <c r="W11" s="594"/>
      <c r="X11" s="594"/>
      <c r="Y11" s="594"/>
      <c r="Z11" s="594"/>
      <c r="AA11" s="594"/>
      <c r="AB11" s="594"/>
      <c r="AC11" s="76"/>
      <c r="AD11" s="76"/>
    </row>
    <row r="12" spans="1:30" ht="18.75">
      <c r="A12" s="71">
        <v>9</v>
      </c>
      <c r="B12" s="72">
        <f>B24/12</f>
        <v>3666.6666666666665</v>
      </c>
      <c r="C12" s="72">
        <f t="shared" si="0"/>
        <v>1833.3333333333333</v>
      </c>
      <c r="D12" s="139">
        <f>C12*50%</f>
        <v>916.66666666666663</v>
      </c>
      <c r="E12" s="139">
        <f t="shared" si="1"/>
        <v>1833.3333333333333</v>
      </c>
      <c r="F12" s="140">
        <f t="shared" si="2"/>
        <v>916.66666666666663</v>
      </c>
      <c r="G12" s="140">
        <f t="shared" si="3"/>
        <v>14666.666666666666</v>
      </c>
      <c r="H12" s="142">
        <f>F12*B33</f>
        <v>916.66666666666663</v>
      </c>
      <c r="I12" s="142">
        <f>D12*B33</f>
        <v>916.66666666666663</v>
      </c>
      <c r="J12" s="62"/>
      <c r="K12" s="65"/>
      <c r="L12" s="62"/>
      <c r="M12" s="62"/>
      <c r="N12" s="86"/>
      <c r="O12" s="86"/>
      <c r="P12" s="86"/>
      <c r="R12" s="76"/>
      <c r="S12" s="76"/>
      <c r="Y12" s="594"/>
      <c r="Z12" s="594"/>
      <c r="AA12" s="594"/>
      <c r="AB12" s="594"/>
      <c r="AC12" s="76"/>
      <c r="AD12" s="76"/>
    </row>
    <row r="13" spans="1:30" ht="18.75">
      <c r="A13" s="70">
        <v>10</v>
      </c>
      <c r="B13" s="72">
        <f>B24/12</f>
        <v>3666.6666666666665</v>
      </c>
      <c r="C13" s="72">
        <f t="shared" si="0"/>
        <v>1833.3333333333333</v>
      </c>
      <c r="D13" s="139">
        <f>C13*50%</f>
        <v>916.66666666666663</v>
      </c>
      <c r="E13" s="139">
        <f t="shared" si="1"/>
        <v>1833.3333333333333</v>
      </c>
      <c r="F13" s="140">
        <f t="shared" si="2"/>
        <v>916.66666666666663</v>
      </c>
      <c r="G13" s="140">
        <f t="shared" si="3"/>
        <v>14666.666666666666</v>
      </c>
      <c r="H13" s="141">
        <f>F13*B33</f>
        <v>916.66666666666663</v>
      </c>
      <c r="I13" s="141">
        <f>D13*B33</f>
        <v>916.66666666666663</v>
      </c>
      <c r="J13" s="62"/>
      <c r="K13" s="146"/>
      <c r="L13" s="62"/>
      <c r="M13" s="62"/>
      <c r="R13" s="76"/>
      <c r="S13" s="76"/>
      <c r="Y13" s="594"/>
      <c r="Z13" s="594"/>
      <c r="AA13" s="594"/>
      <c r="AB13" s="594"/>
      <c r="AC13" s="76"/>
      <c r="AD13" s="76"/>
    </row>
    <row r="14" spans="1:30" ht="18.75">
      <c r="A14" s="71">
        <v>11</v>
      </c>
      <c r="B14" s="72">
        <f>B24/12</f>
        <v>3666.6666666666665</v>
      </c>
      <c r="C14" s="72">
        <f t="shared" si="0"/>
        <v>1833.3333333333333</v>
      </c>
      <c r="D14" s="139">
        <f>C14*50%</f>
        <v>916.66666666666663</v>
      </c>
      <c r="E14" s="139">
        <f t="shared" si="1"/>
        <v>1833.3333333333333</v>
      </c>
      <c r="F14" s="140">
        <f t="shared" si="2"/>
        <v>916.66666666666663</v>
      </c>
      <c r="G14" s="140">
        <f t="shared" si="3"/>
        <v>14666.666666666666</v>
      </c>
      <c r="H14" s="142">
        <f>F14*B33</f>
        <v>916.66666666666663</v>
      </c>
      <c r="I14" s="142">
        <f>D14*B33</f>
        <v>916.66666666666663</v>
      </c>
      <c r="J14" s="62"/>
      <c r="K14" s="65"/>
      <c r="L14" s="62"/>
      <c r="M14" s="62"/>
      <c r="R14" s="76"/>
      <c r="S14" s="76"/>
      <c r="Y14" s="594"/>
      <c r="Z14" s="594"/>
      <c r="AA14" s="594"/>
      <c r="AB14" s="594"/>
      <c r="AC14" s="76"/>
      <c r="AD14" s="76"/>
    </row>
    <row r="15" spans="1:30" ht="18.75">
      <c r="A15" s="70">
        <v>12</v>
      </c>
      <c r="B15" s="72">
        <f>B24/12</f>
        <v>3666.6666666666665</v>
      </c>
      <c r="C15" s="72">
        <f t="shared" si="0"/>
        <v>1833.3333333333333</v>
      </c>
      <c r="D15" s="139">
        <f>C15*50%</f>
        <v>916.66666666666663</v>
      </c>
      <c r="E15" s="139">
        <f t="shared" si="1"/>
        <v>1833.3333333333333</v>
      </c>
      <c r="F15" s="140">
        <f t="shared" si="2"/>
        <v>916.66666666666663</v>
      </c>
      <c r="G15" s="140">
        <f t="shared" si="3"/>
        <v>14666.666666666666</v>
      </c>
      <c r="H15" s="141">
        <f>F15*B33</f>
        <v>916.66666666666663</v>
      </c>
      <c r="I15" s="141">
        <f>D15*B33</f>
        <v>916.66666666666663</v>
      </c>
      <c r="J15" s="62"/>
      <c r="K15" s="62"/>
      <c r="L15" s="62"/>
      <c r="M15" s="62"/>
      <c r="R15" s="76"/>
      <c r="S15" s="76"/>
      <c r="Y15" s="594"/>
      <c r="Z15" s="594"/>
      <c r="AA15" s="594"/>
      <c r="AB15" s="594"/>
      <c r="AC15" s="76"/>
      <c r="AD15" s="76"/>
    </row>
    <row r="16" spans="1:30" ht="18.75">
      <c r="A16" s="582"/>
      <c r="B16" s="582"/>
      <c r="C16" s="582"/>
      <c r="D16" s="582"/>
      <c r="E16" s="582"/>
      <c r="F16" s="582"/>
      <c r="G16" s="582"/>
      <c r="H16" s="582"/>
      <c r="I16" s="582"/>
      <c r="J16" s="582"/>
      <c r="R16" s="76"/>
      <c r="S16" s="76"/>
      <c r="T16" s="76"/>
      <c r="U16" s="594"/>
      <c r="V16" s="594"/>
      <c r="W16" s="594"/>
      <c r="X16" s="594"/>
      <c r="Y16" s="594"/>
      <c r="Z16" s="594"/>
      <c r="AA16" s="594"/>
      <c r="AB16" s="594"/>
      <c r="AC16" s="76"/>
      <c r="AD16" s="76"/>
    </row>
    <row r="17" spans="1:30" ht="20.25">
      <c r="A17" s="775" t="s">
        <v>730</v>
      </c>
      <c r="B17" s="776"/>
      <c r="C17" s="776"/>
      <c r="D17" s="776"/>
      <c r="E17" s="581" t="s">
        <v>731</v>
      </c>
      <c r="F17" s="581"/>
      <c r="G17" s="581"/>
      <c r="H17" s="581"/>
      <c r="I17" s="583" t="s">
        <v>732</v>
      </c>
      <c r="J17" s="582"/>
      <c r="K17" s="773"/>
      <c r="L17" s="774"/>
      <c r="M17" s="582"/>
      <c r="R17" s="76"/>
      <c r="S17" s="76"/>
      <c r="T17" s="76"/>
      <c r="U17" s="594"/>
      <c r="V17" s="594"/>
      <c r="W17" s="594"/>
      <c r="X17" s="594"/>
      <c r="Y17" s="594"/>
      <c r="Z17" s="594"/>
      <c r="AA17" s="594"/>
      <c r="AB17" s="594"/>
      <c r="AC17" s="76"/>
      <c r="AD17" s="76"/>
    </row>
    <row r="18" spans="1:30" ht="36">
      <c r="A18" s="66" t="s">
        <v>733</v>
      </c>
      <c r="B18" s="67" t="s">
        <v>734</v>
      </c>
      <c r="C18" s="67" t="s">
        <v>735</v>
      </c>
      <c r="D18" s="67" t="s">
        <v>736</v>
      </c>
      <c r="E18" s="66" t="s">
        <v>291</v>
      </c>
      <c r="F18" s="67" t="s">
        <v>737</v>
      </c>
      <c r="G18" s="67" t="s">
        <v>738</v>
      </c>
      <c r="H18" s="67" t="s">
        <v>12</v>
      </c>
      <c r="I18" s="579" t="s">
        <v>739</v>
      </c>
      <c r="J18" s="579" t="s">
        <v>740</v>
      </c>
      <c r="K18" s="144"/>
      <c r="L18" s="144"/>
      <c r="M18" s="582"/>
      <c r="R18" s="76"/>
      <c r="S18" s="76"/>
      <c r="T18" s="76"/>
      <c r="U18" s="594"/>
      <c r="V18" s="594"/>
      <c r="W18" s="594"/>
      <c r="X18" s="594"/>
      <c r="Y18" s="594"/>
      <c r="Z18" s="594"/>
      <c r="AA18" s="594"/>
      <c r="AB18" s="594"/>
      <c r="AC18" s="76"/>
      <c r="AD18" s="76"/>
    </row>
    <row r="19" spans="1:30" ht="37.5">
      <c r="A19" s="68" t="s">
        <v>741</v>
      </c>
      <c r="B19" s="143">
        <f>B29*4</f>
        <v>611.11111111111109</v>
      </c>
      <c r="C19" s="143">
        <f>D4</f>
        <v>916.66666666666663</v>
      </c>
      <c r="D19" s="143">
        <f>F4</f>
        <v>916.66666666666663</v>
      </c>
      <c r="E19" s="68" t="s">
        <v>742</v>
      </c>
      <c r="F19" s="69" t="s">
        <v>743</v>
      </c>
      <c r="G19" s="69" t="s">
        <v>595</v>
      </c>
      <c r="H19" s="69" t="s">
        <v>744</v>
      </c>
      <c r="I19" s="62" t="s">
        <v>745</v>
      </c>
      <c r="J19" s="62" t="s">
        <v>746</v>
      </c>
      <c r="K19" s="65"/>
      <c r="L19" s="65"/>
      <c r="M19" s="582"/>
      <c r="R19" s="76"/>
      <c r="S19" s="76"/>
      <c r="T19" s="76"/>
      <c r="U19" s="594"/>
      <c r="V19" s="594"/>
      <c r="W19" s="594"/>
      <c r="X19" s="594"/>
      <c r="Y19" s="594"/>
      <c r="Z19" s="594"/>
      <c r="AA19" s="594"/>
      <c r="AB19" s="594"/>
      <c r="AC19" s="76"/>
      <c r="AD19" s="76"/>
    </row>
    <row r="20" spans="1:30" ht="18.75">
      <c r="A20" s="68"/>
      <c r="B20" s="69"/>
      <c r="C20" s="69"/>
      <c r="D20" s="69"/>
      <c r="E20" s="68" t="s">
        <v>747</v>
      </c>
      <c r="F20" s="69">
        <v>5</v>
      </c>
      <c r="G20" s="69" t="s">
        <v>748</v>
      </c>
      <c r="H20" s="69" t="s">
        <v>749</v>
      </c>
      <c r="I20" s="62" t="s">
        <v>750</v>
      </c>
      <c r="J20" s="62" t="s">
        <v>751</v>
      </c>
      <c r="K20" s="65"/>
      <c r="L20" s="65"/>
      <c r="M20" s="582"/>
      <c r="R20" s="76"/>
      <c r="S20" s="76"/>
      <c r="T20" s="76"/>
      <c r="U20" s="594"/>
      <c r="V20" s="594"/>
      <c r="W20" s="594"/>
      <c r="X20" s="594"/>
      <c r="Y20" s="594"/>
      <c r="Z20" s="594"/>
      <c r="AA20" s="594"/>
      <c r="AB20" s="594"/>
      <c r="AC20" s="76"/>
      <c r="AD20" s="76"/>
    </row>
    <row r="21" spans="1:30" ht="37.5">
      <c r="A21" s="84" t="s">
        <v>752</v>
      </c>
      <c r="B21" s="594"/>
      <c r="C21" s="594"/>
      <c r="D21" s="594"/>
      <c r="E21" s="68" t="s">
        <v>753</v>
      </c>
      <c r="F21" s="69">
        <v>300</v>
      </c>
      <c r="G21" s="69" t="s">
        <v>754</v>
      </c>
      <c r="H21" s="69" t="s">
        <v>755</v>
      </c>
      <c r="I21" s="62" t="s">
        <v>754</v>
      </c>
      <c r="J21" s="62" t="s">
        <v>756</v>
      </c>
      <c r="K21" s="65"/>
      <c r="L21" s="65"/>
      <c r="M21" s="582"/>
      <c r="R21" s="76"/>
      <c r="S21" s="76"/>
      <c r="T21" s="76"/>
      <c r="U21" s="594"/>
      <c r="V21" s="594"/>
      <c r="W21" s="594"/>
      <c r="X21" s="594"/>
      <c r="Y21" s="594"/>
      <c r="Z21" s="594"/>
      <c r="AA21" s="594"/>
      <c r="AB21" s="594"/>
      <c r="AC21" s="76"/>
      <c r="AD21" s="76"/>
    </row>
    <row r="22" spans="1:30" ht="18.75">
      <c r="A22" s="593"/>
      <c r="C22" s="76"/>
      <c r="D22" s="76"/>
      <c r="E22" s="68" t="s">
        <v>757</v>
      </c>
      <c r="F22" s="69">
        <v>6</v>
      </c>
      <c r="G22" s="69" t="s">
        <v>349</v>
      </c>
      <c r="H22" s="69" t="s">
        <v>758</v>
      </c>
      <c r="I22" s="62" t="s">
        <v>759</v>
      </c>
      <c r="J22" s="62" t="s">
        <v>760</v>
      </c>
      <c r="K22" s="65"/>
      <c r="L22" s="65"/>
      <c r="M22" s="582"/>
      <c r="R22" s="76"/>
      <c r="S22" s="76"/>
      <c r="T22" s="76"/>
      <c r="U22" s="594"/>
      <c r="V22" s="594"/>
      <c r="W22" s="594"/>
      <c r="X22" s="594"/>
      <c r="Y22" s="594"/>
      <c r="Z22" s="594"/>
      <c r="AA22" s="594"/>
      <c r="AB22" s="594"/>
      <c r="AC22" s="76"/>
      <c r="AD22" s="76"/>
    </row>
    <row r="23" spans="1:30" ht="18.75">
      <c r="A23" s="78" t="s">
        <v>761</v>
      </c>
      <c r="B23" s="93" t="s">
        <v>445</v>
      </c>
      <c r="C23" s="93" t="s">
        <v>738</v>
      </c>
      <c r="D23" s="76"/>
      <c r="E23" s="68" t="s">
        <v>762</v>
      </c>
      <c r="F23" s="69">
        <v>900</v>
      </c>
      <c r="G23" s="69" t="s">
        <v>763</v>
      </c>
      <c r="H23" s="69" t="s">
        <v>764</v>
      </c>
      <c r="I23" s="62" t="s">
        <v>765</v>
      </c>
      <c r="J23" s="62" t="s">
        <v>766</v>
      </c>
      <c r="K23" s="582"/>
      <c r="L23" s="582"/>
      <c r="M23" s="582"/>
      <c r="R23" s="76"/>
      <c r="S23" s="76"/>
      <c r="T23" s="76"/>
      <c r="U23" s="594"/>
      <c r="V23" s="594"/>
      <c r="W23" s="594"/>
      <c r="X23" s="594"/>
      <c r="Y23" s="594"/>
      <c r="Z23" s="594"/>
      <c r="AA23" s="594"/>
      <c r="AB23" s="594"/>
      <c r="AC23" s="76"/>
      <c r="AD23" s="76"/>
    </row>
    <row r="24" spans="1:30" ht="18.75">
      <c r="A24" s="90" t="s">
        <v>767</v>
      </c>
      <c r="B24" s="91">
        <v>44000</v>
      </c>
      <c r="C24" s="76" t="s">
        <v>768</v>
      </c>
      <c r="D24" s="76"/>
      <c r="E24" s="68" t="s">
        <v>769</v>
      </c>
      <c r="F24" s="69">
        <v>150</v>
      </c>
      <c r="G24" s="69" t="s">
        <v>770</v>
      </c>
      <c r="H24" s="69" t="s">
        <v>771</v>
      </c>
      <c r="I24" s="62" t="s">
        <v>772</v>
      </c>
      <c r="J24" s="62" t="s">
        <v>773</v>
      </c>
      <c r="K24" s="582"/>
      <c r="L24" s="582"/>
      <c r="M24" s="582"/>
      <c r="R24" s="76"/>
      <c r="S24" s="76"/>
      <c r="T24" s="76"/>
      <c r="U24" s="594"/>
      <c r="V24" s="594"/>
      <c r="W24" s="594"/>
      <c r="X24" s="594"/>
      <c r="Y24" s="594"/>
      <c r="Z24" s="594"/>
      <c r="AA24" s="594"/>
      <c r="AB24" s="594"/>
      <c r="AC24" s="76"/>
      <c r="AD24" s="76"/>
    </row>
    <row r="25" spans="1:30" ht="18.75">
      <c r="A25" s="90" t="s">
        <v>774</v>
      </c>
      <c r="B25" s="91">
        <f>B24/12</f>
        <v>3666.6666666666665</v>
      </c>
      <c r="C25" s="76" t="s">
        <v>768</v>
      </c>
      <c r="D25" s="76"/>
      <c r="E25" s="582"/>
      <c r="F25" s="582"/>
      <c r="G25" s="582"/>
      <c r="H25" s="582"/>
      <c r="I25" s="62" t="s">
        <v>775</v>
      </c>
      <c r="J25" s="62" t="s">
        <v>776</v>
      </c>
      <c r="K25" s="582"/>
      <c r="L25" s="582"/>
      <c r="M25" s="582"/>
      <c r="R25" s="76"/>
      <c r="S25" s="76"/>
      <c r="T25" s="76"/>
      <c r="U25" s="594"/>
      <c r="V25" s="594"/>
      <c r="W25" s="594"/>
      <c r="X25" s="594"/>
      <c r="Y25" s="594"/>
      <c r="Z25" s="594"/>
      <c r="AA25" s="594"/>
      <c r="AB25" s="594"/>
      <c r="AC25" s="76"/>
      <c r="AD25" s="76"/>
    </row>
    <row r="26" spans="1:30" ht="18.75">
      <c r="A26" s="80" t="s">
        <v>777</v>
      </c>
      <c r="B26" s="91">
        <f>B25/12</f>
        <v>305.55555555555554</v>
      </c>
      <c r="C26" s="76" t="s">
        <v>768</v>
      </c>
      <c r="D26" s="76"/>
      <c r="E26" s="147" t="s">
        <v>778</v>
      </c>
      <c r="F26" s="582"/>
      <c r="G26" s="582"/>
      <c r="H26" s="582"/>
      <c r="I26" s="62" t="s">
        <v>763</v>
      </c>
      <c r="J26" s="62" t="s">
        <v>779</v>
      </c>
      <c r="K26" s="582"/>
      <c r="L26" s="582"/>
      <c r="M26" s="582"/>
      <c r="R26" s="76"/>
      <c r="S26" s="76"/>
      <c r="T26" s="76"/>
      <c r="U26" s="594"/>
      <c r="V26" s="594"/>
      <c r="W26" s="594"/>
      <c r="X26" s="594"/>
      <c r="Y26" s="594"/>
      <c r="Z26" s="594"/>
      <c r="AA26" s="594"/>
      <c r="AB26" s="594"/>
      <c r="AC26" s="76"/>
      <c r="AD26" s="76"/>
    </row>
    <row r="27" spans="1:30" ht="18.75">
      <c r="A27" s="90" t="s">
        <v>780</v>
      </c>
      <c r="B27" s="91">
        <f>B26*50%</f>
        <v>152.77777777777777</v>
      </c>
      <c r="C27" s="76" t="s">
        <v>768</v>
      </c>
      <c r="D27" s="76"/>
      <c r="E27" s="588" t="s">
        <v>781</v>
      </c>
      <c r="F27" s="588" t="s">
        <v>782</v>
      </c>
      <c r="G27" s="588" t="s">
        <v>783</v>
      </c>
      <c r="H27" s="588" t="s">
        <v>784</v>
      </c>
      <c r="I27" s="62" t="s">
        <v>785</v>
      </c>
      <c r="J27" s="62" t="s">
        <v>786</v>
      </c>
      <c r="K27" s="582"/>
      <c r="L27" s="582"/>
      <c r="M27" s="582"/>
      <c r="O27" s="76"/>
      <c r="P27" s="76"/>
      <c r="Q27" s="76"/>
      <c r="R27" s="76"/>
      <c r="S27" s="76"/>
      <c r="T27" s="76"/>
      <c r="U27" s="594"/>
      <c r="V27" s="594"/>
      <c r="W27" s="594"/>
      <c r="X27" s="594"/>
      <c r="Y27" s="594"/>
      <c r="Z27" s="594"/>
      <c r="AA27" s="594"/>
      <c r="AB27" s="594"/>
      <c r="AC27" s="76"/>
      <c r="AD27" s="76"/>
    </row>
    <row r="28" spans="1:30" ht="18.75">
      <c r="A28" s="80" t="s">
        <v>787</v>
      </c>
      <c r="B28" s="91">
        <f>B27*50%</f>
        <v>76.388888888888886</v>
      </c>
      <c r="C28" s="76" t="s">
        <v>768</v>
      </c>
      <c r="D28" s="76"/>
      <c r="E28" s="76" t="s">
        <v>788</v>
      </c>
      <c r="F28" s="90" t="s">
        <v>789</v>
      </c>
      <c r="G28" s="584" t="s">
        <v>790</v>
      </c>
      <c r="H28" s="148" t="s">
        <v>791</v>
      </c>
      <c r="O28" s="76"/>
      <c r="P28" s="76"/>
      <c r="Q28" s="76"/>
      <c r="R28" s="76"/>
      <c r="S28" s="76"/>
      <c r="T28" s="76"/>
      <c r="U28" s="594"/>
      <c r="V28" s="594"/>
      <c r="W28" s="594"/>
      <c r="X28" s="594"/>
      <c r="Y28" s="594"/>
      <c r="Z28" s="594"/>
      <c r="AA28" s="594"/>
      <c r="AB28" s="594"/>
      <c r="AC28" s="76"/>
      <c r="AD28" s="76"/>
    </row>
    <row r="29" spans="1:30" ht="18.75">
      <c r="A29" s="80" t="s">
        <v>792</v>
      </c>
      <c r="B29" s="91">
        <f>B26*50%</f>
        <v>152.77777777777777</v>
      </c>
      <c r="C29" s="76" t="s">
        <v>768</v>
      </c>
      <c r="D29" s="76"/>
      <c r="E29" s="76" t="s">
        <v>793</v>
      </c>
      <c r="F29" s="90" t="s">
        <v>794</v>
      </c>
      <c r="G29" s="781" t="s">
        <v>795</v>
      </c>
      <c r="H29" s="782" t="s">
        <v>796</v>
      </c>
      <c r="K29" s="60"/>
      <c r="L29" s="60"/>
      <c r="O29" s="76"/>
      <c r="P29" s="76"/>
      <c r="Q29" s="76"/>
      <c r="R29" s="76"/>
      <c r="S29" s="76"/>
      <c r="T29" s="76"/>
      <c r="U29" s="594"/>
      <c r="V29" s="594"/>
      <c r="W29" s="594"/>
      <c r="X29" s="594"/>
      <c r="Y29" s="594"/>
      <c r="Z29" s="594"/>
      <c r="AA29" s="594"/>
      <c r="AB29" s="594"/>
      <c r="AC29" s="76"/>
      <c r="AD29" s="76"/>
    </row>
    <row r="30" spans="1:30" ht="18.75">
      <c r="A30" s="78" t="s">
        <v>797</v>
      </c>
      <c r="B30" s="95" t="s">
        <v>798</v>
      </c>
      <c r="C30" s="92" t="s">
        <v>799</v>
      </c>
      <c r="D30" s="76"/>
      <c r="E30" s="76" t="s">
        <v>800</v>
      </c>
      <c r="F30" s="90" t="s">
        <v>801</v>
      </c>
      <c r="G30" s="781"/>
      <c r="H30" s="782"/>
      <c r="O30" s="76"/>
      <c r="P30" s="76"/>
      <c r="Q30" s="76"/>
      <c r="R30" s="76"/>
      <c r="S30" s="76"/>
      <c r="T30" s="76"/>
      <c r="U30" s="594"/>
      <c r="V30" s="594"/>
      <c r="W30" s="594"/>
      <c r="X30" s="594"/>
      <c r="Y30" s="594"/>
      <c r="Z30" s="594"/>
      <c r="AA30" s="594"/>
      <c r="AB30" s="594"/>
      <c r="AC30" s="76"/>
      <c r="AD30" s="76"/>
    </row>
    <row r="31" spans="1:30" ht="18.75">
      <c r="A31" s="90" t="s">
        <v>780</v>
      </c>
      <c r="B31" s="98">
        <v>8</v>
      </c>
      <c r="C31" s="94">
        <f>B31*B27</f>
        <v>1222.2222222222222</v>
      </c>
      <c r="D31" s="76"/>
      <c r="E31" s="76" t="s">
        <v>802</v>
      </c>
      <c r="F31" s="90" t="s">
        <v>803</v>
      </c>
      <c r="G31" s="584" t="s">
        <v>804</v>
      </c>
      <c r="H31" s="148" t="s">
        <v>805</v>
      </c>
      <c r="N31" s="82"/>
      <c r="O31" s="76"/>
      <c r="P31" s="76"/>
      <c r="Q31" s="76"/>
      <c r="R31" s="76"/>
      <c r="S31" s="76"/>
      <c r="T31" s="76"/>
      <c r="U31" s="594"/>
      <c r="V31" s="594"/>
      <c r="W31" s="594"/>
      <c r="X31" s="594"/>
      <c r="Y31" s="594"/>
      <c r="Z31" s="594"/>
      <c r="AA31" s="594"/>
      <c r="AB31" s="594"/>
      <c r="AC31" s="76"/>
      <c r="AD31" s="76"/>
    </row>
    <row r="32" spans="1:30" ht="18.75">
      <c r="A32" s="90" t="s">
        <v>787</v>
      </c>
      <c r="B32" s="91">
        <v>13</v>
      </c>
      <c r="C32" s="94">
        <f>B32*B28</f>
        <v>993.05555555555554</v>
      </c>
      <c r="D32" s="76"/>
      <c r="E32" s="76" t="s">
        <v>806</v>
      </c>
      <c r="F32" s="90" t="s">
        <v>807</v>
      </c>
      <c r="G32" s="584" t="s">
        <v>808</v>
      </c>
      <c r="H32" s="148" t="s">
        <v>809</v>
      </c>
      <c r="N32" s="19"/>
      <c r="O32" s="76"/>
      <c r="P32" s="76"/>
      <c r="Q32" s="76"/>
      <c r="R32" s="76"/>
      <c r="S32" s="76"/>
      <c r="T32" s="76"/>
      <c r="U32" s="594"/>
      <c r="V32" s="594"/>
      <c r="W32" s="594"/>
      <c r="X32" s="594"/>
      <c r="Y32" s="594"/>
      <c r="Z32" s="594"/>
      <c r="AA32" s="594"/>
      <c r="AB32" s="594"/>
      <c r="AC32" s="76"/>
      <c r="AD32" s="76"/>
    </row>
    <row r="33" spans="1:30" ht="18.75">
      <c r="A33" s="80" t="s">
        <v>792</v>
      </c>
      <c r="B33" s="91">
        <v>1</v>
      </c>
      <c r="C33" s="94">
        <f>B33*B29</f>
        <v>152.77777777777777</v>
      </c>
      <c r="D33" s="86"/>
      <c r="E33" s="76" t="s">
        <v>810</v>
      </c>
      <c r="F33" s="90" t="s">
        <v>811</v>
      </c>
      <c r="G33" s="584" t="s">
        <v>812</v>
      </c>
      <c r="H33" s="148" t="s">
        <v>813</v>
      </c>
      <c r="N33" s="19"/>
      <c r="O33" s="89"/>
      <c r="P33" s="76"/>
      <c r="Q33" s="89"/>
      <c r="R33" s="76"/>
      <c r="S33" s="76"/>
      <c r="T33" s="76"/>
      <c r="U33" s="594"/>
      <c r="V33" s="594"/>
      <c r="W33" s="594"/>
      <c r="X33" s="594"/>
      <c r="Y33" s="594"/>
      <c r="Z33" s="594"/>
      <c r="AA33" s="594"/>
      <c r="AB33" s="594"/>
      <c r="AC33" s="76"/>
      <c r="AD33" s="76"/>
    </row>
    <row r="34" spans="1:30" ht="18.75">
      <c r="A34" s="81" t="s">
        <v>814</v>
      </c>
      <c r="B34" s="96">
        <f>B31+B32+B33</f>
        <v>22</v>
      </c>
      <c r="C34" s="99">
        <f>C31+C32+C33</f>
        <v>2368.0555555555557</v>
      </c>
      <c r="D34" s="86"/>
      <c r="E34" s="76" t="s">
        <v>815</v>
      </c>
      <c r="F34" s="90" t="s">
        <v>816</v>
      </c>
      <c r="G34" s="584" t="s">
        <v>817</v>
      </c>
      <c r="H34" s="148" t="s">
        <v>818</v>
      </c>
      <c r="N34" s="19"/>
      <c r="O34" s="89"/>
      <c r="P34" s="76"/>
      <c r="Q34" s="89"/>
      <c r="R34" s="76"/>
      <c r="S34" s="76"/>
      <c r="T34" s="76"/>
      <c r="U34" s="594"/>
      <c r="V34" s="594"/>
      <c r="W34" s="594"/>
      <c r="X34" s="594"/>
      <c r="Y34" s="594"/>
      <c r="Z34" s="594"/>
      <c r="AA34" s="594"/>
      <c r="AB34" s="594"/>
      <c r="AC34" s="76"/>
      <c r="AD34" s="76"/>
    </row>
    <row r="35" spans="1:30" ht="18.75">
      <c r="A35" s="78" t="s">
        <v>819</v>
      </c>
      <c r="B35" s="100" t="s">
        <v>445</v>
      </c>
      <c r="C35" s="101" t="s">
        <v>798</v>
      </c>
      <c r="D35" s="93" t="s">
        <v>799</v>
      </c>
      <c r="E35" s="76" t="s">
        <v>820</v>
      </c>
      <c r="F35" s="90" t="s">
        <v>821</v>
      </c>
      <c r="G35" s="584" t="s">
        <v>822</v>
      </c>
      <c r="H35" s="148" t="s">
        <v>823</v>
      </c>
      <c r="N35" s="19"/>
      <c r="O35" s="89"/>
      <c r="P35" s="76"/>
      <c r="Q35" s="89"/>
      <c r="R35" s="76"/>
      <c r="S35" s="76"/>
      <c r="T35" s="76"/>
      <c r="U35" s="594"/>
      <c r="V35" s="594"/>
      <c r="W35" s="594"/>
      <c r="X35" s="594"/>
      <c r="Y35" s="594"/>
      <c r="Z35" s="594"/>
      <c r="AA35" s="594"/>
      <c r="AB35" s="594"/>
      <c r="AC35" s="76"/>
      <c r="AD35" s="76"/>
    </row>
    <row r="36" spans="1:30" ht="18.75">
      <c r="A36" s="80" t="s">
        <v>824</v>
      </c>
      <c r="B36" s="97">
        <f>B26</f>
        <v>305.55555555555554</v>
      </c>
      <c r="C36" s="594">
        <v>2</v>
      </c>
      <c r="D36" s="94">
        <f>B36*C36</f>
        <v>611.11111111111109</v>
      </c>
      <c r="E36" s="76" t="s">
        <v>825</v>
      </c>
      <c r="F36" s="90" t="s">
        <v>826</v>
      </c>
      <c r="G36" s="584" t="s">
        <v>827</v>
      </c>
      <c r="H36" s="148" t="s">
        <v>828</v>
      </c>
      <c r="N36" s="19"/>
      <c r="O36" s="89"/>
      <c r="P36" s="76"/>
      <c r="Q36" s="89"/>
      <c r="R36" s="76"/>
      <c r="S36" s="76"/>
      <c r="T36" s="76"/>
      <c r="U36" s="594"/>
      <c r="V36" s="594"/>
      <c r="W36" s="594"/>
      <c r="X36" s="594"/>
      <c r="Y36" s="594"/>
      <c r="Z36" s="594"/>
      <c r="AA36" s="594"/>
      <c r="AB36" s="594"/>
      <c r="AC36" s="76"/>
      <c r="AD36" s="76"/>
    </row>
    <row r="37" spans="1:30" ht="18.75">
      <c r="A37" s="102" t="s">
        <v>829</v>
      </c>
      <c r="B37" s="91">
        <v>2</v>
      </c>
      <c r="C37" s="76">
        <v>50</v>
      </c>
      <c r="D37" s="76">
        <f>B37*C37</f>
        <v>100</v>
      </c>
      <c r="E37" s="76" t="s">
        <v>830</v>
      </c>
      <c r="F37" s="90" t="s">
        <v>831</v>
      </c>
      <c r="G37" s="584">
        <v>59</v>
      </c>
      <c r="H37" s="148" t="s">
        <v>832</v>
      </c>
      <c r="N37" s="19"/>
      <c r="O37" s="89"/>
      <c r="P37" s="76"/>
      <c r="Q37" s="89"/>
      <c r="R37" s="76"/>
      <c r="S37" s="76"/>
      <c r="T37" s="76"/>
      <c r="U37" s="594"/>
      <c r="V37" s="594"/>
      <c r="W37" s="594"/>
      <c r="X37" s="594"/>
      <c r="Y37" s="594"/>
      <c r="Z37" s="594"/>
      <c r="AA37" s="594"/>
      <c r="AB37" s="594"/>
      <c r="AC37" s="76"/>
      <c r="AD37" s="76"/>
    </row>
    <row r="38" spans="1:30" ht="18.75">
      <c r="A38" s="90" t="s">
        <v>833</v>
      </c>
      <c r="B38" s="91">
        <v>1</v>
      </c>
      <c r="C38" s="76">
        <v>46</v>
      </c>
      <c r="D38" s="76">
        <f>B38*C38</f>
        <v>46</v>
      </c>
      <c r="N38" s="19"/>
      <c r="O38" s="89"/>
      <c r="P38" s="76"/>
      <c r="Q38" s="83"/>
      <c r="R38" s="76"/>
      <c r="S38" s="76"/>
      <c r="T38" s="76"/>
      <c r="U38" s="594"/>
      <c r="V38" s="594"/>
      <c r="W38" s="594"/>
      <c r="X38" s="594"/>
      <c r="Y38" s="594"/>
      <c r="Z38" s="594"/>
      <c r="AA38" s="594"/>
      <c r="AB38" s="594"/>
      <c r="AC38" s="76"/>
      <c r="AD38" s="76"/>
    </row>
    <row r="39" spans="1:30" ht="18.75">
      <c r="A39" s="80" t="s">
        <v>834</v>
      </c>
      <c r="B39" s="91">
        <f>B27+B28</f>
        <v>229.16666666666666</v>
      </c>
      <c r="C39" s="76">
        <v>1</v>
      </c>
      <c r="D39" s="103">
        <f>B39*C39</f>
        <v>229.16666666666666</v>
      </c>
      <c r="N39" s="19"/>
      <c r="O39" s="89"/>
      <c r="P39" s="76"/>
      <c r="Q39" s="89"/>
      <c r="R39" s="89"/>
      <c r="S39" s="76"/>
      <c r="T39" s="76"/>
      <c r="U39" s="594"/>
      <c r="V39" s="594"/>
      <c r="W39" s="594"/>
      <c r="X39" s="594"/>
      <c r="Y39" s="594"/>
      <c r="Z39" s="594"/>
      <c r="AA39" s="594"/>
      <c r="AB39" s="594"/>
      <c r="AC39" s="76"/>
      <c r="AD39" s="76"/>
    </row>
    <row r="40" spans="1:30" ht="18.75">
      <c r="A40" s="76" t="s">
        <v>835</v>
      </c>
      <c r="B40" s="91">
        <f>B36+B37+B38+B39</f>
        <v>537.72222222222217</v>
      </c>
      <c r="C40" s="76">
        <f>C36+C37+C38+C39</f>
        <v>99</v>
      </c>
      <c r="D40" s="94">
        <f>D36+D37+D39+D38</f>
        <v>986.27777777777771</v>
      </c>
      <c r="N40" s="19"/>
      <c r="O40" s="89"/>
      <c r="P40" s="76"/>
      <c r="Q40" s="89"/>
      <c r="R40" s="89"/>
      <c r="S40" s="76"/>
      <c r="T40" s="76"/>
      <c r="U40" s="594"/>
      <c r="V40" s="594"/>
      <c r="W40" s="594"/>
      <c r="X40" s="594"/>
      <c r="Y40" s="594"/>
      <c r="Z40" s="594"/>
      <c r="AA40" s="594"/>
      <c r="AB40" s="594"/>
      <c r="AC40" s="76"/>
      <c r="AD40" s="76"/>
    </row>
    <row r="41" spans="1:30" ht="18.75">
      <c r="A41" s="78" t="s">
        <v>836</v>
      </c>
      <c r="B41" s="76"/>
      <c r="C41" s="76"/>
      <c r="D41" s="76"/>
      <c r="N41" s="19"/>
      <c r="O41" s="89"/>
      <c r="P41" s="76"/>
      <c r="Q41" s="89"/>
      <c r="R41" s="89"/>
      <c r="S41" s="76"/>
      <c r="T41" s="76"/>
      <c r="U41" s="594"/>
      <c r="V41" s="594"/>
      <c r="W41" s="594"/>
      <c r="X41" s="594"/>
      <c r="Y41" s="594"/>
      <c r="Z41" s="594"/>
      <c r="AA41" s="594"/>
      <c r="AB41" s="594"/>
      <c r="AC41" s="76"/>
      <c r="AD41" s="76"/>
    </row>
    <row r="42" spans="1:30" ht="18.75">
      <c r="A42" s="80" t="s">
        <v>837</v>
      </c>
      <c r="B42" s="94">
        <f>C34-D40</f>
        <v>1381.7777777777778</v>
      </c>
      <c r="C42" s="76"/>
      <c r="D42" s="76"/>
      <c r="N42" s="19"/>
      <c r="O42" s="89"/>
      <c r="P42" s="76"/>
      <c r="Q42" s="89"/>
      <c r="R42" s="89"/>
      <c r="S42" s="76"/>
      <c r="T42" s="76"/>
      <c r="U42" s="76"/>
      <c r="V42" s="76"/>
      <c r="W42" s="76"/>
      <c r="X42" s="76"/>
      <c r="Y42" s="76"/>
      <c r="Z42" s="76"/>
      <c r="AA42" s="76"/>
      <c r="AB42" s="76"/>
      <c r="AC42" s="76"/>
      <c r="AD42" s="76"/>
    </row>
    <row r="43" spans="1:30" ht="18.75">
      <c r="A43" s="78" t="s">
        <v>838</v>
      </c>
      <c r="B43" s="76"/>
      <c r="C43" s="76"/>
      <c r="D43" s="76"/>
      <c r="N43" s="19"/>
      <c r="O43" s="89"/>
      <c r="P43" s="76"/>
      <c r="Q43" s="89"/>
      <c r="R43" s="89"/>
      <c r="S43" s="76"/>
      <c r="T43" s="76"/>
      <c r="U43" s="76"/>
      <c r="V43" s="76"/>
      <c r="W43" s="76"/>
      <c r="X43" s="76"/>
      <c r="Y43" s="76"/>
      <c r="Z43" s="76"/>
      <c r="AA43" s="76"/>
      <c r="AB43" s="76"/>
      <c r="AC43" s="76"/>
      <c r="AD43" s="76"/>
    </row>
    <row r="44" spans="1:30" ht="18.75">
      <c r="A44" s="80" t="s">
        <v>839</v>
      </c>
      <c r="B44" s="76">
        <v>9300</v>
      </c>
      <c r="C44" s="76"/>
      <c r="D44" s="76"/>
      <c r="N44" s="19"/>
      <c r="O44" s="89"/>
      <c r="P44" s="76"/>
      <c r="Q44" s="89"/>
      <c r="R44" s="89"/>
      <c r="S44" s="76"/>
      <c r="T44" s="76"/>
      <c r="U44" s="76"/>
      <c r="V44" s="76"/>
      <c r="W44" s="76"/>
      <c r="X44" s="76"/>
      <c r="Y44" s="76"/>
      <c r="Z44" s="76"/>
      <c r="AA44" s="76"/>
      <c r="AB44" s="76"/>
      <c r="AC44" s="76"/>
      <c r="AD44" s="76"/>
    </row>
    <row r="45" spans="1:30" ht="18.75">
      <c r="A45" s="80" t="s">
        <v>840</v>
      </c>
      <c r="B45" s="94">
        <f>B42</f>
        <v>1381.7777777777778</v>
      </c>
      <c r="C45" s="76"/>
      <c r="D45" s="76"/>
      <c r="N45" s="19"/>
      <c r="O45" s="89"/>
      <c r="P45" s="76"/>
      <c r="Q45" s="89"/>
      <c r="R45" s="89"/>
      <c r="S45" s="76"/>
      <c r="T45" s="76"/>
      <c r="U45" s="76"/>
      <c r="V45" s="76"/>
      <c r="W45" s="76"/>
      <c r="X45" s="76"/>
      <c r="Y45" s="76"/>
      <c r="Z45" s="76"/>
      <c r="AA45" s="76"/>
      <c r="AB45" s="76"/>
      <c r="AC45" s="76"/>
      <c r="AD45" s="76"/>
    </row>
    <row r="46" spans="1:30" ht="18.75">
      <c r="A46" s="80" t="s">
        <v>841</v>
      </c>
      <c r="B46" s="104">
        <f xml:space="preserve"> B44/B45</f>
        <v>6.7304599549694437</v>
      </c>
      <c r="C46" s="76"/>
      <c r="D46" s="76"/>
      <c r="N46" s="19"/>
      <c r="O46" s="89"/>
      <c r="P46" s="76"/>
      <c r="Q46" s="89"/>
      <c r="R46" s="89"/>
      <c r="S46" s="76"/>
      <c r="T46" s="76"/>
      <c r="U46" s="76"/>
      <c r="V46" s="76"/>
      <c r="W46" s="76"/>
      <c r="X46" s="76"/>
      <c r="Y46" s="76"/>
      <c r="Z46" s="76"/>
      <c r="AA46" s="76"/>
      <c r="AB46" s="76"/>
      <c r="AC46" s="76"/>
      <c r="AD46" s="76"/>
    </row>
    <row r="47" spans="1:30" ht="18.75">
      <c r="N47" s="19"/>
      <c r="O47" s="89"/>
      <c r="P47" s="76"/>
      <c r="Q47" s="89"/>
      <c r="R47" s="89"/>
      <c r="S47" s="76"/>
      <c r="T47" s="76"/>
      <c r="U47" s="76"/>
      <c r="V47" s="76"/>
      <c r="W47" s="76"/>
      <c r="X47" s="76"/>
      <c r="Y47" s="76"/>
      <c r="Z47" s="76"/>
      <c r="AA47" s="76"/>
      <c r="AB47" s="76"/>
      <c r="AC47" s="76"/>
      <c r="AD47" s="76"/>
    </row>
    <row r="48" spans="1:30" ht="18.75">
      <c r="N48" s="19"/>
      <c r="O48" s="89"/>
      <c r="P48" s="76"/>
      <c r="Q48" s="89"/>
      <c r="R48" s="89"/>
      <c r="S48" s="76"/>
      <c r="T48" s="76"/>
      <c r="U48" s="76"/>
      <c r="V48" s="76"/>
      <c r="W48" s="76"/>
      <c r="X48" s="76"/>
      <c r="Y48" s="76"/>
      <c r="Z48" s="76"/>
      <c r="AA48" s="76"/>
      <c r="AB48" s="76"/>
      <c r="AC48" s="76"/>
      <c r="AD48" s="76"/>
    </row>
    <row r="49" spans="14:30" ht="18.75">
      <c r="N49" s="19"/>
      <c r="O49" s="89"/>
      <c r="P49" s="76"/>
      <c r="Q49" s="89"/>
      <c r="R49" s="89"/>
      <c r="S49" s="76"/>
      <c r="T49" s="76"/>
      <c r="U49" s="76"/>
      <c r="V49" s="76"/>
      <c r="W49" s="76"/>
      <c r="X49" s="76"/>
      <c r="Y49" s="76"/>
      <c r="Z49" s="76"/>
      <c r="AA49" s="76"/>
      <c r="AB49" s="76"/>
      <c r="AC49" s="76"/>
      <c r="AD49" s="76"/>
    </row>
    <row r="50" spans="14:30" ht="18.75">
      <c r="N50" s="19"/>
      <c r="O50" s="89"/>
      <c r="P50" s="76"/>
      <c r="Q50" s="76" t="s">
        <v>842</v>
      </c>
      <c r="R50" s="76"/>
      <c r="S50" s="76"/>
      <c r="T50" s="76"/>
      <c r="U50" s="76"/>
      <c r="V50" s="76"/>
      <c r="W50" s="76"/>
      <c r="X50" s="76"/>
      <c r="Y50" s="76"/>
      <c r="Z50" s="76"/>
      <c r="AA50" s="76"/>
      <c r="AB50" s="76"/>
      <c r="AC50" s="76"/>
      <c r="AD50" s="76"/>
    </row>
    <row r="51" spans="14:30" ht="18.75">
      <c r="N51" s="19"/>
      <c r="O51" s="89"/>
      <c r="P51" s="76"/>
      <c r="Q51" s="83" t="s">
        <v>843</v>
      </c>
      <c r="R51" s="76"/>
      <c r="S51" s="76"/>
      <c r="T51" s="76"/>
      <c r="U51" s="76"/>
      <c r="V51" s="76"/>
      <c r="W51" s="76"/>
      <c r="X51" s="76"/>
      <c r="Y51" s="76"/>
      <c r="Z51" s="76"/>
      <c r="AA51" s="76"/>
      <c r="AB51" s="76"/>
      <c r="AC51" s="76"/>
      <c r="AD51" s="76"/>
    </row>
    <row r="52" spans="14:30" ht="18.75">
      <c r="N52" s="19"/>
      <c r="O52" s="89"/>
      <c r="P52" s="76"/>
      <c r="Q52" s="76" t="s">
        <v>844</v>
      </c>
      <c r="R52" s="76"/>
      <c r="S52" s="76"/>
      <c r="T52" s="76"/>
      <c r="U52" s="76"/>
      <c r="V52" s="76"/>
      <c r="W52" s="76"/>
      <c r="X52" s="76"/>
      <c r="Y52" s="76"/>
      <c r="Z52" s="76"/>
      <c r="AA52" s="76"/>
      <c r="AB52" s="76"/>
      <c r="AC52" s="76"/>
      <c r="AD52" s="76"/>
    </row>
    <row r="53" spans="14:30" ht="18.75">
      <c r="N53" s="19"/>
      <c r="O53" s="89"/>
      <c r="P53" s="76"/>
      <c r="Q53" s="76" t="s">
        <v>845</v>
      </c>
      <c r="R53" s="76"/>
      <c r="S53" s="76"/>
      <c r="T53" s="76"/>
      <c r="U53" s="76"/>
      <c r="V53" s="76"/>
      <c r="W53" s="76"/>
      <c r="X53" s="76"/>
      <c r="Y53" s="76"/>
      <c r="Z53" s="76"/>
      <c r="AA53" s="76"/>
      <c r="AB53" s="76"/>
      <c r="AC53" s="76"/>
      <c r="AD53" s="76"/>
    </row>
    <row r="54" spans="14:30" ht="18.75">
      <c r="N54" s="19"/>
      <c r="P54" s="76"/>
      <c r="Q54" s="76" t="s">
        <v>846</v>
      </c>
      <c r="R54" s="76"/>
      <c r="S54" s="76"/>
      <c r="T54" s="76"/>
      <c r="U54" s="76"/>
      <c r="V54" s="76"/>
      <c r="W54" s="76"/>
      <c r="X54" s="76"/>
      <c r="Y54" s="76"/>
      <c r="Z54" s="76"/>
      <c r="AA54" s="76"/>
      <c r="AB54" s="76"/>
      <c r="AC54" s="76"/>
      <c r="AD54" s="76"/>
    </row>
    <row r="55" spans="14:30" ht="18.75">
      <c r="P55" s="76"/>
      <c r="Q55" s="76" t="s">
        <v>847</v>
      </c>
      <c r="R55" s="76"/>
      <c r="S55" s="76"/>
      <c r="T55" s="76"/>
      <c r="U55" s="76"/>
      <c r="V55" s="76"/>
      <c r="W55" s="76"/>
      <c r="X55" s="76"/>
      <c r="Y55" s="76"/>
      <c r="Z55" s="76"/>
      <c r="AA55" s="76"/>
      <c r="AB55" s="76"/>
      <c r="AC55" s="76"/>
      <c r="AD55" s="76"/>
    </row>
    <row r="56" spans="14:30">
      <c r="Q56" s="21"/>
    </row>
  </sheetData>
  <mergeCells count="6">
    <mergeCell ref="K17:L17"/>
    <mergeCell ref="A17:D17"/>
    <mergeCell ref="A2:I2"/>
    <mergeCell ref="J10:M10"/>
    <mergeCell ref="G29:G30"/>
    <mergeCell ref="H29:H30"/>
  </mergeCells>
  <hyperlinks>
    <hyperlink ref="H29:H30" r:id="rId1" display="https://m.made-in-china.com/product/Lonkia-Turbo-Commercial-Mango-Peeler-High-Speed-Deskinning-2103944972.html?utm_source=chatgpt.com " xr:uid="{B2A4DB2A-CB77-4F27-AFF4-F70587ADB47A}"/>
    <hyperlink ref="H28" r:id="rId2" xr:uid="{8019F2E9-DFC8-4E4C-8472-357AAD7A530A}"/>
    <hyperlink ref="H31" r:id="rId3" xr:uid="{BB03C36A-3A05-4DBE-B1C8-11D21AB920EA}"/>
    <hyperlink ref="H32" r:id="rId4" xr:uid="{43C0E788-6CC1-4AA4-9609-3ADF00FB700D}"/>
    <hyperlink ref="H33" r:id="rId5" xr:uid="{3E059558-420C-4FCB-8C1D-E5803D98DDD6}"/>
    <hyperlink ref="H34" r:id="rId6" xr:uid="{E81CC39B-6E95-4483-8A95-DAA73C163A72}"/>
    <hyperlink ref="H35" r:id="rId7" xr:uid="{3FEBEB2F-B678-4A45-9896-CE392181E440}"/>
    <hyperlink ref="H36" r:id="rId8" display="Machine À Emballer Automatique De Grains Robuste De 25kg Avec Système De Thermoscellage À Coudre Pour L'emballage De Boîtes De Sacs En Carton - Buy Paper Wrapping Machine glass Packaging Machine easy To Operate Packaging Machine chemical Packing Machine gearbox Sealing System automatic Grain Packaging carton Bag Packaging film Packaging Machine fully Automatic Packaging pet Packing Material pp Packaging Material Product on Alibaba.com" xr:uid="{EC0F51CD-D0A8-4857-A4B3-4AD45FB86ED3}"/>
    <hyperlink ref="H37" r:id="rId9" xr:uid="{114B037F-B580-4B30-AB93-9067295DA549}"/>
  </hyperlinks>
  <pageMargins left="0.7" right="0.7" top="0.75" bottom="0.75" header="0.3" footer="0.3"/>
  <legacyDrawing r:id="rId1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17224-E992-4BED-BF7F-FC1356C7BEDB}">
  <dimension ref="A1:AD130"/>
  <sheetViews>
    <sheetView topLeftCell="B9" workbookViewId="0">
      <selection activeCell="B9" sqref="B9"/>
    </sheetView>
  </sheetViews>
  <sheetFormatPr defaultRowHeight="15"/>
  <cols>
    <col min="1" max="1" width="166.85546875" bestFit="1" customWidth="1"/>
    <col min="2" max="2" width="43.140625" bestFit="1" customWidth="1"/>
    <col min="3" max="3" width="59.28515625" customWidth="1"/>
    <col min="4" max="4" width="44" bestFit="1" customWidth="1"/>
    <col min="5" max="5" width="29.28515625" bestFit="1" customWidth="1"/>
    <col min="6" max="6" width="26.42578125" bestFit="1" customWidth="1"/>
    <col min="7" max="7" width="32.140625" bestFit="1" customWidth="1"/>
    <col min="8" max="8" width="36.5703125" bestFit="1" customWidth="1"/>
    <col min="9" max="9" width="25.85546875" customWidth="1"/>
    <col min="10" max="10" width="25.85546875" bestFit="1" customWidth="1"/>
    <col min="11" max="11" width="20.7109375" bestFit="1" customWidth="1"/>
    <col min="12" max="12" width="25.140625" bestFit="1" customWidth="1"/>
    <col min="13" max="13" width="20.7109375" bestFit="1" customWidth="1"/>
    <col min="14" max="14" width="30" bestFit="1" customWidth="1"/>
    <col min="15" max="15" width="25.140625" bestFit="1" customWidth="1"/>
    <col min="16" max="16" width="29.28515625" bestFit="1" customWidth="1"/>
    <col min="17" max="17" width="29.5703125" bestFit="1" customWidth="1"/>
    <col min="18" max="18" width="38.28515625" bestFit="1" customWidth="1"/>
    <col min="19" max="19" width="33.42578125" bestFit="1" customWidth="1"/>
    <col min="20" max="20" width="33.5703125" bestFit="1" customWidth="1"/>
    <col min="21" max="21" width="35.5703125" bestFit="1" customWidth="1"/>
    <col min="22" max="22" width="36.5703125" bestFit="1" customWidth="1"/>
    <col min="23" max="23" width="30" bestFit="1" customWidth="1"/>
    <col min="24" max="24" width="23.7109375" bestFit="1" customWidth="1"/>
    <col min="25" max="25" width="23.42578125" bestFit="1" customWidth="1"/>
    <col min="26" max="26" width="27.5703125" bestFit="1" customWidth="1"/>
    <col min="27" max="27" width="30.7109375" bestFit="1" customWidth="1"/>
    <col min="28" max="28" width="31.28515625" bestFit="1" customWidth="1"/>
    <col min="29" max="29" width="30.7109375" bestFit="1" customWidth="1"/>
    <col min="30" max="30" width="34" bestFit="1" customWidth="1"/>
    <col min="31" max="31" width="30.42578125" bestFit="1" customWidth="1"/>
    <col min="32" max="32" width="29.42578125" bestFit="1" customWidth="1"/>
    <col min="33" max="33" width="30.7109375" bestFit="1" customWidth="1"/>
    <col min="34" max="34" width="38.140625" bestFit="1" customWidth="1"/>
  </cols>
  <sheetData>
    <row r="1" spans="1:26" ht="60.75">
      <c r="A1" s="105" t="s">
        <v>848</v>
      </c>
      <c r="B1" s="105"/>
      <c r="C1" s="105"/>
      <c r="D1" s="105"/>
      <c r="E1" s="105"/>
      <c r="F1" s="105"/>
      <c r="G1" s="105"/>
      <c r="H1" s="105"/>
      <c r="I1" s="105"/>
      <c r="J1" s="105"/>
      <c r="K1" s="105"/>
      <c r="L1" s="105"/>
      <c r="M1" s="105"/>
      <c r="N1" s="105"/>
      <c r="O1" s="106"/>
      <c r="P1" s="106"/>
      <c r="Q1" s="106"/>
      <c r="R1" s="106"/>
      <c r="S1" s="106"/>
      <c r="T1" s="106"/>
      <c r="U1" s="106"/>
      <c r="V1" s="106"/>
      <c r="W1" s="106"/>
      <c r="X1" s="106"/>
      <c r="Y1" s="106"/>
      <c r="Z1" s="106"/>
    </row>
    <row r="2" spans="1:26">
      <c r="A2" s="350"/>
      <c r="B2" s="19"/>
      <c r="C2" s="19"/>
      <c r="D2" s="108"/>
      <c r="E2" s="19"/>
      <c r="F2" s="19"/>
      <c r="G2" s="19"/>
      <c r="H2" s="19"/>
      <c r="I2" s="19"/>
      <c r="J2" s="19"/>
      <c r="K2" s="19"/>
      <c r="L2" s="19"/>
      <c r="M2" s="19"/>
      <c r="N2" s="19"/>
    </row>
    <row r="3" spans="1:26" ht="18.75">
      <c r="A3" s="19"/>
      <c r="B3" s="19"/>
      <c r="C3" s="19"/>
      <c r="D3" s="4"/>
      <c r="E3" s="19"/>
      <c r="F3" s="19"/>
      <c r="G3" s="19"/>
      <c r="H3" s="19"/>
      <c r="I3" s="19"/>
      <c r="J3" s="19"/>
      <c r="K3" s="19"/>
      <c r="L3" s="19"/>
      <c r="M3" s="19"/>
      <c r="N3" s="19"/>
    </row>
    <row r="4" spans="1:26">
      <c r="A4" s="19"/>
      <c r="B4" s="19"/>
      <c r="C4" s="19"/>
      <c r="D4" s="19"/>
      <c r="E4" s="19"/>
      <c r="F4" s="19"/>
      <c r="G4" s="19"/>
      <c r="H4" s="19"/>
      <c r="I4" s="19"/>
      <c r="J4" s="19"/>
      <c r="K4" s="19"/>
      <c r="L4" s="19"/>
      <c r="M4" s="19"/>
      <c r="N4" s="19"/>
    </row>
    <row r="5" spans="1:26" ht="17.25">
      <c r="A5" s="19"/>
      <c r="B5" s="19"/>
      <c r="C5" s="19"/>
      <c r="D5" s="19"/>
      <c r="E5" s="19"/>
      <c r="F5" s="351"/>
      <c r="G5" s="19"/>
      <c r="H5" s="19"/>
      <c r="I5" s="19"/>
      <c r="J5" s="19"/>
      <c r="K5" s="352"/>
      <c r="L5" s="19"/>
      <c r="M5" s="19"/>
      <c r="N5" s="19"/>
    </row>
    <row r="6" spans="1:26">
      <c r="A6" s="19"/>
      <c r="B6" s="19"/>
      <c r="C6" s="19"/>
      <c r="D6" s="19"/>
      <c r="E6" s="19"/>
      <c r="F6" s="19"/>
      <c r="G6" s="19"/>
      <c r="H6" s="19"/>
      <c r="I6" s="19"/>
      <c r="J6" s="19"/>
      <c r="K6" s="353"/>
      <c r="L6" s="19"/>
      <c r="M6" s="19"/>
      <c r="N6" s="19"/>
      <c r="R6" s="2"/>
      <c r="S6" s="2"/>
      <c r="T6" s="2"/>
      <c r="U6" s="2"/>
      <c r="V6" s="54"/>
    </row>
    <row r="7" spans="1:26" ht="30" customHeight="1">
      <c r="A7" s="783" t="s">
        <v>849</v>
      </c>
      <c r="B7" s="783"/>
      <c r="C7" s="783"/>
      <c r="D7" s="783"/>
      <c r="E7" s="783"/>
      <c r="F7" s="783"/>
      <c r="G7" s="19"/>
      <c r="H7" s="19"/>
      <c r="I7" s="19"/>
      <c r="J7" s="19"/>
      <c r="K7" s="19"/>
      <c r="L7" s="19"/>
      <c r="M7" s="19"/>
      <c r="N7" s="19"/>
      <c r="R7" s="2"/>
      <c r="T7" s="2"/>
      <c r="U7" s="2"/>
      <c r="V7" s="8"/>
    </row>
    <row r="8" spans="1:26" ht="30" customHeight="1">
      <c r="A8" s="784" t="s">
        <v>850</v>
      </c>
      <c r="B8" s="785"/>
      <c r="C8" s="786" t="s">
        <v>851</v>
      </c>
      <c r="D8" s="786"/>
      <c r="E8" s="787" t="s">
        <v>852</v>
      </c>
      <c r="F8" s="788"/>
      <c r="G8" s="19"/>
      <c r="H8" s="19"/>
      <c r="I8" s="19"/>
      <c r="J8" s="19"/>
      <c r="K8" s="19"/>
      <c r="L8" s="19"/>
      <c r="M8" s="19"/>
      <c r="N8" s="19"/>
      <c r="T8" s="2"/>
      <c r="U8" s="2"/>
      <c r="V8" s="8"/>
    </row>
    <row r="9" spans="1:26" ht="15" customHeight="1">
      <c r="A9" s="320" t="s">
        <v>853</v>
      </c>
      <c r="B9" s="528">
        <f>SUM(B43:B48)</f>
        <v>8861</v>
      </c>
      <c r="C9" s="320" t="s">
        <v>854</v>
      </c>
      <c r="D9" s="354">
        <f>G108</f>
        <v>4800</v>
      </c>
      <c r="E9" s="316" t="s">
        <v>855</v>
      </c>
      <c r="F9" s="355" t="s">
        <v>856</v>
      </c>
      <c r="G9" s="19"/>
      <c r="H9" s="19"/>
      <c r="I9" s="19"/>
      <c r="J9" s="19"/>
      <c r="K9" s="19"/>
      <c r="L9" s="19"/>
      <c r="M9" s="19"/>
      <c r="N9" s="19"/>
      <c r="R9" s="2"/>
      <c r="T9" s="2"/>
      <c r="V9" s="8"/>
    </row>
    <row r="10" spans="1:26" ht="18.75">
      <c r="A10" s="320" t="s">
        <v>857</v>
      </c>
      <c r="B10" s="529">
        <f>B29*2</f>
        <v>5302</v>
      </c>
      <c r="C10" s="320" t="s">
        <v>858</v>
      </c>
      <c r="D10" s="356">
        <f>I108</f>
        <v>137</v>
      </c>
      <c r="E10" s="316" t="s">
        <v>859</v>
      </c>
      <c r="F10" s="355" t="s">
        <v>860</v>
      </c>
      <c r="G10" s="19"/>
      <c r="H10" s="19"/>
      <c r="I10" s="19"/>
      <c r="J10" s="19"/>
      <c r="K10" s="19"/>
      <c r="L10" s="19"/>
      <c r="M10" s="19"/>
      <c r="N10" s="19"/>
      <c r="T10" s="2"/>
      <c r="V10" s="8"/>
    </row>
    <row r="11" spans="1:26" ht="21" customHeight="1">
      <c r="A11" s="320" t="s">
        <v>861</v>
      </c>
      <c r="B11" s="529" cm="1">
        <f t="array" ref="B11">Tableau6[sensor_cost_per_dryer_€]*2</f>
        <v>152</v>
      </c>
      <c r="C11" s="320" t="s">
        <v>627</v>
      </c>
      <c r="D11" s="356">
        <v>46</v>
      </c>
      <c r="E11" s="316" t="s">
        <v>862</v>
      </c>
      <c r="F11" s="357">
        <v>48000</v>
      </c>
      <c r="G11" s="19"/>
      <c r="H11" s="358"/>
      <c r="I11" s="19"/>
      <c r="J11" s="19"/>
      <c r="K11" s="19"/>
      <c r="L11" s="19"/>
      <c r="M11" s="19"/>
      <c r="N11" s="19"/>
      <c r="T11" s="2"/>
      <c r="V11" s="8"/>
    </row>
    <row r="12" spans="1:26" ht="16.5" customHeight="1">
      <c r="A12" s="320" t="s">
        <v>863</v>
      </c>
      <c r="B12" s="529" cm="1">
        <f t="array" ref="B12">Tableau6[installation_cost_per_dryer_€]*2</f>
        <v>60</v>
      </c>
      <c r="C12" s="320" t="s">
        <v>864</v>
      </c>
      <c r="D12" s="359">
        <v>48</v>
      </c>
      <c r="E12" s="360" t="s">
        <v>865</v>
      </c>
      <c r="F12" s="361">
        <f>F11-D14</f>
        <v>42787</v>
      </c>
      <c r="G12" s="19"/>
      <c r="H12" s="19"/>
      <c r="I12" s="19"/>
      <c r="J12" s="19"/>
      <c r="K12" s="19"/>
      <c r="L12" s="19"/>
      <c r="M12" s="19"/>
      <c r="N12" s="19"/>
      <c r="T12" s="2"/>
      <c r="V12" s="8"/>
      <c r="X12" s="5"/>
    </row>
    <row r="13" spans="1:26" ht="24" customHeight="1">
      <c r="A13" s="320" t="s">
        <v>866</v>
      </c>
      <c r="B13" s="529">
        <v>227</v>
      </c>
      <c r="C13" s="320" t="s">
        <v>867</v>
      </c>
      <c r="D13" s="318">
        <v>182</v>
      </c>
      <c r="E13" s="316" t="s">
        <v>868</v>
      </c>
      <c r="F13" s="362">
        <v>2.93</v>
      </c>
      <c r="G13" s="19"/>
      <c r="H13" s="19"/>
      <c r="I13" s="19"/>
      <c r="J13" s="19"/>
      <c r="K13" s="19"/>
      <c r="L13" s="19"/>
      <c r="M13" s="19"/>
      <c r="N13" s="19"/>
      <c r="T13" s="2"/>
      <c r="V13" s="8"/>
      <c r="X13" s="5"/>
    </row>
    <row r="14" spans="1:26" ht="18.75">
      <c r="A14" s="530" t="s">
        <v>869</v>
      </c>
      <c r="B14" s="531">
        <f>SUM(B9:B13)</f>
        <v>14602</v>
      </c>
      <c r="C14" s="530" t="s">
        <v>870</v>
      </c>
      <c r="D14" s="363">
        <f>SUM(D9:D13)</f>
        <v>5213</v>
      </c>
      <c r="E14" s="364" t="s">
        <v>871</v>
      </c>
      <c r="F14" s="365">
        <v>8.2100000000000009</v>
      </c>
      <c r="G14" s="19"/>
      <c r="H14" s="19"/>
      <c r="I14" s="19"/>
      <c r="J14" s="19"/>
      <c r="K14" s="19"/>
      <c r="L14" s="19"/>
      <c r="M14" s="19"/>
      <c r="N14" s="19"/>
      <c r="R14" s="2"/>
      <c r="U14" s="2"/>
      <c r="V14" s="8"/>
    </row>
    <row r="15" spans="1:26">
      <c r="A15" s="366"/>
      <c r="B15" s="366"/>
      <c r="C15" s="366"/>
      <c r="D15" s="367"/>
      <c r="E15" s="19"/>
      <c r="F15" s="19"/>
      <c r="G15" s="19"/>
      <c r="H15" s="19"/>
      <c r="I15" s="19"/>
      <c r="J15" s="19"/>
      <c r="K15" s="19"/>
      <c r="L15" s="19"/>
      <c r="M15" s="19"/>
      <c r="N15" s="19"/>
      <c r="T15" s="2"/>
      <c r="U15" s="2"/>
      <c r="V15" s="8"/>
    </row>
    <row r="16" spans="1:26">
      <c r="A16" s="366"/>
      <c r="B16" s="366"/>
      <c r="C16" s="366"/>
      <c r="D16" s="368"/>
      <c r="E16" s="19"/>
      <c r="F16" s="19"/>
      <c r="G16" s="19"/>
      <c r="H16" s="19"/>
      <c r="I16" s="19"/>
      <c r="J16" s="19"/>
      <c r="K16" s="19"/>
      <c r="L16" s="19"/>
      <c r="M16" s="19"/>
      <c r="N16" s="19"/>
      <c r="U16" s="2"/>
      <c r="V16" s="8"/>
    </row>
    <row r="17" spans="1:30">
      <c r="A17" s="19"/>
      <c r="B17" s="19"/>
      <c r="C17" s="19"/>
      <c r="D17" s="19"/>
      <c r="E17" s="19"/>
      <c r="F17" s="19"/>
      <c r="G17" s="19"/>
      <c r="H17" s="19"/>
      <c r="I17" s="19"/>
      <c r="J17" s="19"/>
      <c r="K17" s="19"/>
      <c r="L17" s="19"/>
      <c r="M17" s="19"/>
      <c r="N17" s="19"/>
      <c r="Q17" s="792"/>
      <c r="R17" s="793"/>
      <c r="S17" s="793"/>
      <c r="T17" s="793"/>
      <c r="U17" s="793"/>
      <c r="V17" s="793"/>
      <c r="W17" s="793"/>
      <c r="X17" s="793"/>
      <c r="Y17" s="793"/>
      <c r="Z17" s="793"/>
      <c r="AA17" s="793"/>
      <c r="AB17" s="793"/>
      <c r="AC17" s="793"/>
      <c r="AD17" s="793"/>
    </row>
    <row r="18" spans="1:30">
      <c r="A18" s="19"/>
      <c r="B18" s="19"/>
      <c r="C18" s="19"/>
      <c r="D18" s="19"/>
      <c r="E18" s="19"/>
      <c r="F18" s="19"/>
      <c r="G18" s="19"/>
      <c r="H18" s="19"/>
      <c r="I18" s="19"/>
      <c r="J18" s="19"/>
      <c r="K18" s="19"/>
      <c r="L18" s="19"/>
      <c r="M18" s="19"/>
      <c r="N18" s="19"/>
      <c r="Q18" s="793"/>
      <c r="R18" s="793"/>
      <c r="S18" s="793"/>
      <c r="T18" s="793"/>
      <c r="U18" s="793"/>
      <c r="V18" s="793"/>
      <c r="W18" s="793"/>
      <c r="X18" s="793"/>
      <c r="Y18" s="793"/>
      <c r="Z18" s="793"/>
      <c r="AA18" s="793"/>
      <c r="AB18" s="793"/>
      <c r="AC18" s="793"/>
      <c r="AD18" s="793"/>
    </row>
    <row r="19" spans="1:30" ht="30">
      <c r="A19" s="790" t="s">
        <v>872</v>
      </c>
      <c r="B19" s="790"/>
      <c r="C19" s="790"/>
      <c r="D19" s="381"/>
      <c r="E19" s="19"/>
      <c r="F19" s="19"/>
      <c r="G19" s="19"/>
      <c r="H19" s="19"/>
      <c r="I19" s="19"/>
      <c r="J19" s="19"/>
      <c r="K19" s="19"/>
      <c r="L19" s="19"/>
      <c r="M19" s="19"/>
      <c r="N19" s="19"/>
      <c r="Q19" s="793"/>
      <c r="R19" s="793"/>
      <c r="S19" s="793"/>
      <c r="T19" s="793"/>
      <c r="U19" s="793"/>
      <c r="V19" s="793"/>
      <c r="W19" s="793"/>
      <c r="X19" s="793"/>
      <c r="Y19" s="793"/>
      <c r="Z19" s="793"/>
      <c r="AA19" s="793"/>
      <c r="AB19" s="793"/>
      <c r="AC19" s="793"/>
      <c r="AD19" s="793"/>
    </row>
    <row r="20" spans="1:30" ht="17.25" customHeight="1">
      <c r="A20" s="532" t="s">
        <v>291</v>
      </c>
      <c r="B20" s="533" t="s">
        <v>281</v>
      </c>
      <c r="C20" s="533" t="s">
        <v>873</v>
      </c>
      <c r="D20" s="19"/>
      <c r="E20" s="19"/>
      <c r="F20" s="19"/>
      <c r="G20" s="19"/>
      <c r="H20" s="19"/>
      <c r="I20" s="19"/>
      <c r="J20" s="19"/>
      <c r="K20" s="19"/>
      <c r="L20" s="19"/>
      <c r="M20" s="19"/>
      <c r="O20" s="15"/>
      <c r="P20" s="58"/>
      <c r="Q20" s="58"/>
      <c r="R20" s="58"/>
      <c r="S20" s="58"/>
      <c r="T20" s="58"/>
      <c r="U20" s="58"/>
      <c r="V20" s="58"/>
      <c r="W20" s="58"/>
      <c r="X20" s="58"/>
      <c r="Y20" s="57"/>
      <c r="Z20" s="57"/>
      <c r="AA20" s="57"/>
      <c r="AB20" s="57"/>
      <c r="AC20" s="57"/>
    </row>
    <row r="21" spans="1:30" ht="18.75">
      <c r="A21" s="534" t="s">
        <v>874</v>
      </c>
      <c r="B21" s="535">
        <v>10000</v>
      </c>
      <c r="C21" s="535" t="s">
        <v>875</v>
      </c>
      <c r="D21" s="19"/>
      <c r="E21" s="19"/>
      <c r="F21" s="19"/>
      <c r="G21" s="19"/>
      <c r="H21" s="19"/>
      <c r="I21" s="19"/>
      <c r="J21" s="19"/>
      <c r="K21" s="19"/>
      <c r="L21" s="19"/>
      <c r="M21" s="19"/>
      <c r="O21" s="3"/>
      <c r="P21" s="57"/>
      <c r="Q21" s="57"/>
      <c r="R21" s="57"/>
      <c r="S21" s="57"/>
      <c r="T21" s="57"/>
      <c r="U21" s="57"/>
      <c r="V21" s="57"/>
      <c r="W21" s="57"/>
      <c r="X21" s="57"/>
      <c r="Y21" s="57"/>
      <c r="Z21" s="57"/>
      <c r="AA21" s="57"/>
      <c r="AB21" s="57"/>
      <c r="AC21" s="57"/>
    </row>
    <row r="22" spans="1:30" ht="13.5" customHeight="1">
      <c r="A22" s="534" t="s">
        <v>876</v>
      </c>
      <c r="B22" s="535">
        <v>0.8</v>
      </c>
      <c r="C22" s="535" t="s">
        <v>877</v>
      </c>
      <c r="D22" s="19"/>
      <c r="E22" s="19"/>
      <c r="F22" s="19"/>
      <c r="G22" s="19"/>
      <c r="H22" s="19"/>
      <c r="I22" s="19"/>
      <c r="J22" s="19"/>
      <c r="K22" s="19"/>
      <c r="L22" s="19"/>
      <c r="M22" s="19"/>
      <c r="O22" s="3"/>
      <c r="P22" s="57"/>
      <c r="Q22" s="57"/>
      <c r="R22" s="57"/>
      <c r="S22" s="57"/>
      <c r="T22" s="57"/>
      <c r="U22" s="57"/>
      <c r="V22" s="57"/>
      <c r="W22" s="57"/>
      <c r="X22" s="57"/>
      <c r="Y22" s="57"/>
      <c r="Z22" s="57"/>
      <c r="AA22" s="57"/>
      <c r="AB22" s="57"/>
      <c r="AC22" s="57"/>
    </row>
    <row r="23" spans="1:30" ht="15.75" customHeight="1">
      <c r="A23" s="534" t="s">
        <v>878</v>
      </c>
      <c r="B23" s="535">
        <v>4</v>
      </c>
      <c r="C23" s="535" t="s">
        <v>879</v>
      </c>
      <c r="D23" s="19"/>
      <c r="E23" s="19"/>
      <c r="F23" s="19"/>
      <c r="G23" s="19"/>
      <c r="H23" s="19"/>
      <c r="I23" s="19"/>
      <c r="J23" s="19"/>
      <c r="K23" s="19"/>
      <c r="L23" s="19"/>
      <c r="M23" s="19"/>
      <c r="O23" s="3"/>
      <c r="P23" s="59"/>
      <c r="Q23" s="59"/>
      <c r="R23" s="59"/>
      <c r="S23" s="59"/>
      <c r="T23" s="59"/>
      <c r="U23" s="59"/>
      <c r="V23" s="59"/>
      <c r="W23" s="59"/>
      <c r="X23" s="57"/>
      <c r="Y23" s="57"/>
      <c r="Z23" s="57"/>
      <c r="AA23" s="57"/>
      <c r="AB23" s="57"/>
      <c r="AC23" s="57"/>
    </row>
    <row r="24" spans="1:30" ht="18.75">
      <c r="A24" s="534" t="s">
        <v>880</v>
      </c>
      <c r="B24" s="535">
        <v>0.5</v>
      </c>
      <c r="C24" s="535" t="s">
        <v>881</v>
      </c>
      <c r="D24" s="19"/>
      <c r="E24" s="19"/>
      <c r="F24" s="19"/>
      <c r="G24" s="19"/>
      <c r="H24" s="19"/>
      <c r="I24" s="19"/>
      <c r="J24" s="19"/>
      <c r="K24" s="19"/>
      <c r="L24" s="19"/>
      <c r="M24" s="19"/>
      <c r="O24" s="3"/>
      <c r="P24" s="57"/>
      <c r="Q24" s="57"/>
      <c r="R24" s="57"/>
      <c r="S24" s="57"/>
      <c r="T24" s="57"/>
      <c r="U24" s="57"/>
      <c r="V24" s="57"/>
      <c r="W24" s="57"/>
      <c r="X24" s="57"/>
      <c r="Y24" s="57"/>
      <c r="Z24" s="57"/>
      <c r="AA24" s="57"/>
      <c r="AB24" s="57"/>
      <c r="AC24" s="57"/>
    </row>
    <row r="25" spans="1:30" ht="18.75">
      <c r="A25" s="534" t="s">
        <v>882</v>
      </c>
      <c r="B25" s="535">
        <v>30</v>
      </c>
      <c r="C25" s="535" t="s">
        <v>883</v>
      </c>
      <c r="D25" s="19"/>
      <c r="E25" s="19"/>
      <c r="F25" s="19"/>
      <c r="G25" s="19"/>
      <c r="H25" s="19"/>
      <c r="I25" s="19"/>
      <c r="J25" s="19"/>
      <c r="K25" s="19"/>
      <c r="L25" s="19"/>
      <c r="M25" s="19"/>
      <c r="O25" s="3"/>
      <c r="P25" s="57"/>
      <c r="Q25" s="57"/>
      <c r="R25" s="57"/>
      <c r="S25" s="57"/>
      <c r="T25" s="57"/>
      <c r="U25" s="57"/>
      <c r="V25" s="57"/>
      <c r="W25" s="57"/>
      <c r="X25" s="57"/>
      <c r="Y25" s="57"/>
      <c r="Z25" s="57"/>
      <c r="AA25" s="57"/>
      <c r="AB25" s="57"/>
      <c r="AC25" s="57"/>
    </row>
    <row r="26" spans="1:30" ht="18.75">
      <c r="A26" s="534" t="s">
        <v>884</v>
      </c>
      <c r="B26" s="535">
        <v>500</v>
      </c>
      <c r="C26" s="535" t="s">
        <v>885</v>
      </c>
      <c r="D26" s="19"/>
      <c r="E26" s="19"/>
      <c r="F26" s="19"/>
      <c r="G26" s="19"/>
      <c r="H26" s="19"/>
      <c r="I26" s="19"/>
      <c r="J26" s="19"/>
      <c r="K26" s="19"/>
      <c r="L26" s="19"/>
      <c r="M26" s="19"/>
      <c r="O26" s="3"/>
      <c r="P26" s="57"/>
      <c r="Q26" s="57"/>
      <c r="R26" s="57"/>
      <c r="S26" s="57"/>
      <c r="T26" s="57"/>
      <c r="U26" s="57"/>
      <c r="V26" s="57"/>
      <c r="W26" s="57"/>
      <c r="X26" s="57"/>
      <c r="Y26" s="57"/>
      <c r="Z26" s="57"/>
      <c r="AA26" s="57"/>
      <c r="AB26" s="57"/>
      <c r="AC26" s="57"/>
    </row>
    <row r="27" spans="1:30" ht="18.75">
      <c r="A27" s="534" t="s">
        <v>886</v>
      </c>
      <c r="B27" s="535">
        <v>120</v>
      </c>
      <c r="C27" s="535" t="s">
        <v>887</v>
      </c>
      <c r="D27" s="19"/>
      <c r="E27" s="19"/>
      <c r="F27" s="19"/>
      <c r="G27" s="19"/>
      <c r="H27" s="19"/>
      <c r="I27" s="19"/>
      <c r="J27" s="19"/>
      <c r="K27" s="19"/>
      <c r="L27" s="19"/>
      <c r="M27" s="19"/>
      <c r="O27" s="3"/>
      <c r="P27" s="57"/>
      <c r="Q27" s="57"/>
      <c r="R27" s="57"/>
      <c r="S27" s="57"/>
      <c r="T27" s="57"/>
      <c r="U27" s="57"/>
      <c r="V27" s="57"/>
      <c r="W27" s="57"/>
      <c r="X27" s="57"/>
      <c r="Y27" s="57"/>
      <c r="Z27" s="57"/>
      <c r="AA27" s="57"/>
      <c r="AB27" s="57"/>
      <c r="AC27" s="57"/>
    </row>
    <row r="28" spans="1:30" ht="18.75">
      <c r="A28" s="534" t="s">
        <v>888</v>
      </c>
      <c r="B28" s="535">
        <v>32</v>
      </c>
      <c r="C28" s="535" t="s">
        <v>889</v>
      </c>
      <c r="D28" s="19"/>
      <c r="E28" s="19"/>
      <c r="F28" s="19"/>
      <c r="G28" s="19"/>
      <c r="H28" s="19"/>
      <c r="I28" s="19"/>
      <c r="J28" s="19"/>
      <c r="K28" s="19"/>
      <c r="L28" s="19"/>
      <c r="M28" s="19"/>
      <c r="O28" s="3"/>
      <c r="P28" s="57"/>
      <c r="Q28" s="57"/>
      <c r="R28" s="57"/>
      <c r="S28" s="57"/>
      <c r="T28" s="57"/>
      <c r="U28" s="57"/>
      <c r="V28" s="57"/>
      <c r="W28" s="57"/>
      <c r="X28" s="57"/>
      <c r="Y28" s="57"/>
      <c r="Z28" s="57"/>
      <c r="AA28" s="57"/>
      <c r="AB28" s="57"/>
      <c r="AC28" s="57"/>
    </row>
    <row r="29" spans="1:30" ht="18.75">
      <c r="A29" s="534" t="s">
        <v>890</v>
      </c>
      <c r="B29" s="536">
        <v>2651</v>
      </c>
      <c r="C29" s="535" t="s">
        <v>481</v>
      </c>
      <c r="D29" s="19"/>
      <c r="E29" s="19"/>
      <c r="F29" s="19"/>
      <c r="G29" s="19"/>
      <c r="H29" s="19"/>
      <c r="I29" s="19"/>
      <c r="J29" s="19"/>
      <c r="K29" s="19"/>
      <c r="L29" s="19"/>
      <c r="M29" s="19"/>
      <c r="O29" s="3"/>
      <c r="P29" s="57"/>
      <c r="Q29" s="57"/>
      <c r="R29" s="57"/>
      <c r="S29" s="57"/>
      <c r="T29" s="57"/>
      <c r="U29" s="57"/>
      <c r="V29" s="57"/>
      <c r="W29" s="57"/>
      <c r="X29" s="57"/>
      <c r="Y29" s="57"/>
      <c r="Z29" s="57"/>
      <c r="AA29" s="57"/>
      <c r="AB29" s="57"/>
      <c r="AC29" s="57"/>
    </row>
    <row r="30" spans="1:30" ht="15" customHeight="1">
      <c r="A30" s="537" t="s">
        <v>891</v>
      </c>
      <c r="B30" s="538">
        <v>3</v>
      </c>
      <c r="C30" s="538" t="s">
        <v>883</v>
      </c>
      <c r="D30" s="19"/>
      <c r="E30" s="19"/>
      <c r="F30" s="19"/>
      <c r="G30" s="19"/>
      <c r="H30" s="19"/>
      <c r="I30" s="19"/>
      <c r="J30" s="19"/>
      <c r="K30" s="19"/>
      <c r="L30" s="19"/>
      <c r="M30" s="19"/>
      <c r="O30" s="3"/>
      <c r="P30" s="3"/>
      <c r="Q30" s="3"/>
      <c r="R30" s="3"/>
      <c r="S30" s="3"/>
      <c r="T30" s="3"/>
      <c r="U30" s="3"/>
      <c r="V30" s="3"/>
      <c r="W30" s="3"/>
      <c r="X30" s="3"/>
    </row>
    <row r="31" spans="1:30" ht="15" customHeight="1">
      <c r="A31" s="19"/>
      <c r="B31" s="19"/>
      <c r="C31" s="19"/>
      <c r="D31" s="19"/>
      <c r="E31" s="19"/>
      <c r="F31" s="19"/>
      <c r="G31" s="19"/>
      <c r="H31" s="19"/>
      <c r="I31" s="19"/>
      <c r="J31" s="19"/>
      <c r="K31" s="19"/>
      <c r="L31" s="19"/>
      <c r="M31" s="19"/>
      <c r="N31" s="19"/>
      <c r="P31" s="3"/>
      <c r="Q31" s="3"/>
      <c r="R31" s="3"/>
      <c r="S31" s="3"/>
      <c r="T31" s="3"/>
      <c r="U31" s="3"/>
      <c r="V31" s="3"/>
      <c r="W31" s="3"/>
      <c r="X31" s="3"/>
      <c r="Y31" s="3"/>
    </row>
    <row r="32" spans="1:30" ht="15" customHeight="1">
      <c r="A32" s="19"/>
      <c r="B32" s="19"/>
      <c r="C32" s="19"/>
      <c r="D32" s="19"/>
      <c r="E32" s="19"/>
      <c r="F32" s="19"/>
      <c r="G32" s="19"/>
      <c r="H32" s="19"/>
      <c r="I32" s="19"/>
      <c r="J32" s="19"/>
      <c r="K32" s="19"/>
      <c r="L32" s="19"/>
      <c r="M32" s="19"/>
      <c r="N32" s="19"/>
      <c r="P32" s="3"/>
      <c r="Q32" s="3"/>
      <c r="R32" s="3"/>
      <c r="S32" s="3"/>
      <c r="T32" s="3"/>
      <c r="U32" s="3"/>
      <c r="V32" s="3"/>
      <c r="W32" s="3"/>
      <c r="X32" s="3"/>
      <c r="Y32" s="3"/>
    </row>
    <row r="33" spans="1:25" ht="18.75" customHeight="1">
      <c r="A33" s="19"/>
      <c r="B33" s="19"/>
      <c r="C33" s="19"/>
      <c r="D33" s="19"/>
      <c r="E33" s="19"/>
      <c r="F33" s="19"/>
      <c r="G33" s="19"/>
      <c r="H33" s="19"/>
      <c r="I33" s="19"/>
      <c r="J33" s="19"/>
      <c r="K33" s="19"/>
      <c r="L33" s="19"/>
      <c r="M33" s="19"/>
      <c r="N33" s="19"/>
      <c r="P33" s="3"/>
      <c r="Q33" s="22"/>
      <c r="R33" s="22"/>
      <c r="S33" s="22"/>
      <c r="T33" s="22"/>
      <c r="U33" s="22"/>
      <c r="V33" s="22"/>
      <c r="W33" s="22"/>
      <c r="X33" s="22"/>
      <c r="Y33" s="22"/>
    </row>
    <row r="34" spans="1:25">
      <c r="A34" s="19"/>
      <c r="B34" s="19"/>
      <c r="C34" s="19"/>
      <c r="D34" s="19"/>
      <c r="E34" s="19"/>
      <c r="F34" s="19"/>
      <c r="G34" s="19"/>
      <c r="H34" s="19"/>
      <c r="I34" s="19"/>
      <c r="J34" s="19"/>
      <c r="K34" s="19"/>
      <c r="L34" s="19"/>
      <c r="M34" s="19"/>
      <c r="N34" s="19"/>
      <c r="P34" s="3"/>
      <c r="Q34" s="3"/>
      <c r="R34" s="3"/>
      <c r="S34" s="3"/>
      <c r="T34" s="3"/>
      <c r="U34" s="3"/>
      <c r="V34" s="3"/>
      <c r="W34" s="3"/>
      <c r="X34" s="3"/>
      <c r="Y34" s="3"/>
    </row>
    <row r="35" spans="1:25">
      <c r="A35" s="19"/>
      <c r="B35" s="19"/>
      <c r="C35" s="19"/>
      <c r="D35" s="19"/>
      <c r="E35" s="19"/>
      <c r="F35" s="19"/>
      <c r="G35" s="19"/>
      <c r="H35" s="19"/>
      <c r="I35" s="19"/>
      <c r="J35" s="19"/>
      <c r="K35" s="19"/>
      <c r="L35" s="19"/>
      <c r="M35" s="19"/>
      <c r="N35" s="19"/>
    </row>
    <row r="36" spans="1:25" ht="18.75">
      <c r="A36" s="794" t="s">
        <v>892</v>
      </c>
      <c r="B36" s="794"/>
      <c r="C36" s="794"/>
      <c r="D36" s="794"/>
      <c r="E36" s="794"/>
      <c r="F36" s="794"/>
      <c r="G36" s="794"/>
      <c r="H36" s="369"/>
      <c r="I36" s="19"/>
      <c r="J36" s="19"/>
      <c r="K36" s="19"/>
      <c r="L36" s="19"/>
      <c r="M36" s="19"/>
      <c r="N36" s="19"/>
    </row>
    <row r="37" spans="1:25" ht="18.75">
      <c r="A37" s="539" t="s">
        <v>893</v>
      </c>
      <c r="B37" s="540" t="s">
        <v>894</v>
      </c>
      <c r="C37" s="540" t="s">
        <v>895</v>
      </c>
      <c r="D37" s="540" t="s">
        <v>896</v>
      </c>
      <c r="E37" s="540" t="s">
        <v>897</v>
      </c>
      <c r="F37" s="540" t="s">
        <v>898</v>
      </c>
      <c r="G37" s="540" t="s">
        <v>899</v>
      </c>
      <c r="H37" s="4"/>
      <c r="I37" s="19"/>
      <c r="J37" s="19"/>
      <c r="K37" s="19"/>
      <c r="L37" s="19"/>
      <c r="M37" s="19"/>
      <c r="N37" s="19"/>
    </row>
    <row r="38" spans="1:25" ht="18.75">
      <c r="A38" s="541">
        <v>1.5</v>
      </c>
      <c r="B38" s="542">
        <v>76</v>
      </c>
      <c r="C38" s="542">
        <v>227</v>
      </c>
      <c r="D38" s="542">
        <v>2</v>
      </c>
      <c r="E38" s="542">
        <v>182</v>
      </c>
      <c r="F38" s="542">
        <v>30</v>
      </c>
      <c r="G38" s="542">
        <v>5</v>
      </c>
      <c r="H38" s="4"/>
      <c r="I38" s="19"/>
      <c r="J38" s="19"/>
      <c r="K38" s="19"/>
      <c r="L38" s="19"/>
      <c r="M38" s="19"/>
      <c r="N38" s="19"/>
    </row>
    <row r="39" spans="1:25" ht="18.75">
      <c r="A39" s="108"/>
      <c r="B39" s="369"/>
      <c r="C39" s="369"/>
      <c r="D39" s="369"/>
      <c r="E39" s="370"/>
      <c r="F39" s="371"/>
      <c r="G39" s="4"/>
      <c r="H39" s="4"/>
      <c r="I39" s="19"/>
      <c r="J39" s="19"/>
      <c r="K39" s="19"/>
      <c r="L39" s="19"/>
      <c r="M39" s="19"/>
      <c r="N39" s="19"/>
    </row>
    <row r="40" spans="1:25" ht="18.75">
      <c r="A40" s="108"/>
      <c r="B40" s="4"/>
      <c r="C40" s="4"/>
      <c r="D40" s="4"/>
      <c r="E40" s="4"/>
      <c r="F40" s="4"/>
      <c r="G40" s="4"/>
      <c r="H40" s="4"/>
      <c r="I40" s="19"/>
      <c r="J40" s="19"/>
      <c r="K40" s="19"/>
      <c r="L40" s="19"/>
      <c r="M40" s="19"/>
      <c r="N40" s="19"/>
    </row>
    <row r="41" spans="1:25" ht="18.75">
      <c r="A41" s="19"/>
      <c r="B41" s="4"/>
      <c r="C41" s="4"/>
      <c r="D41" s="4"/>
      <c r="E41" s="4"/>
      <c r="F41" s="4"/>
      <c r="G41" s="4"/>
      <c r="H41" s="4"/>
      <c r="I41" s="19"/>
      <c r="J41" s="19"/>
      <c r="K41" s="19"/>
      <c r="L41" s="19"/>
      <c r="M41" s="19"/>
      <c r="N41" s="19"/>
    </row>
    <row r="42" spans="1:25" ht="18.75">
      <c r="A42" s="341" t="s">
        <v>900</v>
      </c>
      <c r="B42" s="341" t="s">
        <v>901</v>
      </c>
      <c r="C42" s="4"/>
      <c r="D42" s="4"/>
      <c r="E42" s="4"/>
      <c r="F42" s="4"/>
      <c r="G42" s="4"/>
      <c r="H42" s="4"/>
      <c r="I42" s="19"/>
      <c r="J42" s="19"/>
      <c r="K42" s="19"/>
      <c r="L42" s="19"/>
      <c r="M42" s="19"/>
      <c r="N42" s="19"/>
    </row>
    <row r="43" spans="1:25" ht="18.75">
      <c r="A43" s="535" t="s">
        <v>902</v>
      </c>
      <c r="B43" s="535">
        <v>909</v>
      </c>
      <c r="C43" s="19"/>
      <c r="D43" s="19"/>
      <c r="E43" s="19"/>
      <c r="F43" s="19"/>
      <c r="G43" s="19"/>
      <c r="H43" s="19"/>
      <c r="I43" s="372"/>
      <c r="J43" s="372"/>
      <c r="K43" s="19"/>
      <c r="L43" s="373"/>
      <c r="M43" s="374"/>
      <c r="N43" s="374"/>
    </row>
    <row r="44" spans="1:25" ht="18.75">
      <c r="A44" s="535" t="s">
        <v>903</v>
      </c>
      <c r="B44" s="536">
        <v>1060</v>
      </c>
      <c r="C44" s="19"/>
      <c r="D44" s="19"/>
      <c r="E44" s="19"/>
      <c r="F44" s="19"/>
      <c r="G44" s="19"/>
      <c r="H44" s="19"/>
      <c r="I44" s="19"/>
      <c r="J44" s="19"/>
      <c r="K44" s="19"/>
      <c r="L44" s="19"/>
      <c r="M44" s="19"/>
      <c r="N44" s="19"/>
    </row>
    <row r="45" spans="1:25" ht="15" customHeight="1">
      <c r="A45" s="535" t="s">
        <v>904</v>
      </c>
      <c r="B45" s="536">
        <v>2271</v>
      </c>
      <c r="C45" s="19"/>
      <c r="D45" s="19"/>
      <c r="E45" s="19"/>
      <c r="F45" s="19"/>
      <c r="G45" s="19"/>
      <c r="H45" s="19"/>
      <c r="I45" s="19"/>
      <c r="J45" s="19"/>
      <c r="K45" s="19"/>
      <c r="L45" s="19"/>
      <c r="M45" s="19"/>
      <c r="N45" s="19"/>
    </row>
    <row r="46" spans="1:25" ht="15" customHeight="1">
      <c r="A46" s="535" t="s">
        <v>905</v>
      </c>
      <c r="B46" s="535">
        <v>758</v>
      </c>
      <c r="C46" s="369"/>
      <c r="D46" s="369"/>
      <c r="E46" s="369"/>
      <c r="F46" s="369"/>
      <c r="G46" s="369"/>
      <c r="H46" s="375"/>
      <c r="I46" s="317"/>
      <c r="J46" s="317"/>
      <c r="K46" s="19"/>
      <c r="L46" s="19"/>
      <c r="M46" s="19"/>
      <c r="N46" s="19"/>
    </row>
    <row r="47" spans="1:25" ht="15" customHeight="1">
      <c r="A47" s="535" t="s">
        <v>255</v>
      </c>
      <c r="B47" s="536">
        <v>2651</v>
      </c>
      <c r="C47" s="19"/>
      <c r="D47" s="19"/>
      <c r="E47" s="19"/>
      <c r="F47" s="19"/>
      <c r="G47" s="19"/>
      <c r="H47" s="19"/>
      <c r="I47" s="19"/>
      <c r="J47" s="19"/>
      <c r="K47" s="19"/>
      <c r="L47" s="19"/>
      <c r="M47" s="19"/>
      <c r="N47" s="19"/>
    </row>
    <row r="48" spans="1:25" ht="18.75">
      <c r="A48" s="535" t="s">
        <v>906</v>
      </c>
      <c r="B48" s="535">
        <v>1212</v>
      </c>
      <c r="C48" s="19"/>
      <c r="D48" s="19"/>
      <c r="E48" s="19"/>
      <c r="F48" s="19"/>
      <c r="G48" s="19"/>
      <c r="H48" s="19"/>
      <c r="I48" s="19"/>
      <c r="J48" s="19"/>
      <c r="K48" s="19"/>
      <c r="L48" s="19"/>
      <c r="M48" s="19"/>
      <c r="N48" s="19"/>
    </row>
    <row r="49" spans="1:15" ht="18.75">
      <c r="A49" s="543" t="s">
        <v>240</v>
      </c>
      <c r="B49" s="544">
        <f>SUM(B43:B48)</f>
        <v>8861</v>
      </c>
      <c r="C49" s="19"/>
      <c r="D49" s="19"/>
      <c r="E49" s="19"/>
      <c r="F49" s="19"/>
      <c r="G49" s="19"/>
      <c r="H49" s="19"/>
      <c r="I49" s="19"/>
      <c r="J49" s="19"/>
      <c r="K49" s="19"/>
      <c r="L49" s="19"/>
      <c r="M49" s="19"/>
      <c r="N49" s="19"/>
    </row>
    <row r="50" spans="1:15" ht="15" customHeight="1">
      <c r="A50" s="19"/>
      <c r="B50" s="19"/>
      <c r="C50" s="19"/>
      <c r="D50" s="19"/>
      <c r="E50" s="19"/>
      <c r="F50" s="19"/>
      <c r="G50" s="19"/>
      <c r="H50" s="19"/>
      <c r="I50" s="19"/>
      <c r="J50" s="19"/>
      <c r="K50" s="19"/>
      <c r="L50" s="19"/>
      <c r="M50" s="19"/>
      <c r="N50" s="19"/>
    </row>
    <row r="51" spans="1:15" ht="15" customHeight="1">
      <c r="A51" s="19"/>
      <c r="B51" s="19"/>
      <c r="C51" s="19"/>
      <c r="D51" s="19"/>
      <c r="E51" s="19"/>
      <c r="F51" s="19"/>
      <c r="G51" s="19"/>
      <c r="H51" s="19"/>
      <c r="I51" s="19"/>
      <c r="J51" s="19"/>
      <c r="K51" s="19"/>
      <c r="L51" s="19"/>
      <c r="M51" s="19"/>
      <c r="N51" s="19"/>
    </row>
    <row r="52" spans="1:15" ht="15" customHeight="1">
      <c r="A52" s="19"/>
      <c r="B52" s="19"/>
      <c r="C52" s="19"/>
      <c r="D52" s="19"/>
      <c r="E52" s="19"/>
      <c r="F52" s="19"/>
      <c r="G52" s="19"/>
      <c r="H52" s="19"/>
      <c r="I52" s="19"/>
      <c r="J52" s="19"/>
      <c r="K52" s="19"/>
      <c r="L52" s="19"/>
      <c r="M52" s="19"/>
      <c r="N52" s="19"/>
      <c r="O52" s="58"/>
    </row>
    <row r="53" spans="1:15">
      <c r="A53" s="19"/>
      <c r="B53" s="19"/>
      <c r="C53" s="19"/>
      <c r="D53" s="19"/>
      <c r="E53" s="19"/>
      <c r="F53" s="19"/>
      <c r="G53" s="19"/>
      <c r="H53" s="19"/>
      <c r="I53" s="19"/>
      <c r="J53" s="19"/>
      <c r="K53" s="19"/>
      <c r="L53" s="19"/>
      <c r="M53" s="19"/>
      <c r="N53" s="19"/>
      <c r="O53" s="56"/>
    </row>
    <row r="54" spans="1:15" ht="15" customHeight="1">
      <c r="A54" s="798" t="s">
        <v>907</v>
      </c>
      <c r="B54" s="798"/>
      <c r="C54" s="798"/>
      <c r="D54" s="798"/>
      <c r="E54" s="380"/>
      <c r="F54" s="19"/>
      <c r="G54" s="19"/>
      <c r="H54" s="19"/>
      <c r="I54" s="19"/>
      <c r="J54" s="19"/>
      <c r="K54" s="19"/>
      <c r="L54" s="19"/>
      <c r="M54" s="19"/>
      <c r="N54" s="19"/>
      <c r="O54" s="55"/>
    </row>
    <row r="55" spans="1:15" ht="15" customHeight="1">
      <c r="A55" s="798"/>
      <c r="B55" s="798"/>
      <c r="C55" s="798"/>
      <c r="D55" s="798"/>
      <c r="E55" s="381"/>
      <c r="F55" s="19"/>
      <c r="G55" s="19"/>
      <c r="H55" s="19"/>
      <c r="I55" s="19"/>
      <c r="J55" s="19"/>
      <c r="K55" s="19"/>
      <c r="L55" s="19"/>
      <c r="M55" s="19"/>
      <c r="N55" s="19"/>
      <c r="O55" s="55"/>
    </row>
    <row r="56" spans="1:15" ht="18.75">
      <c r="A56" s="545" t="s">
        <v>908</v>
      </c>
      <c r="B56" s="545" t="s">
        <v>909</v>
      </c>
      <c r="C56" s="546" t="s">
        <v>910</v>
      </c>
      <c r="D56" s="546"/>
      <c r="E56" s="379"/>
      <c r="F56" s="19"/>
      <c r="G56" s="19"/>
      <c r="H56" s="19"/>
      <c r="I56" s="19"/>
      <c r="J56" s="19"/>
      <c r="K56" s="19"/>
      <c r="L56" s="19"/>
      <c r="M56" s="19"/>
      <c r="N56" s="19"/>
      <c r="O56" s="55"/>
    </row>
    <row r="57" spans="1:15" ht="18.75">
      <c r="A57" s="545" t="s">
        <v>91</v>
      </c>
      <c r="B57" s="545" t="s">
        <v>91</v>
      </c>
      <c r="C57" s="578" t="s">
        <v>911</v>
      </c>
      <c r="D57" s="578" t="s">
        <v>912</v>
      </c>
      <c r="E57" s="379"/>
      <c r="F57" s="19"/>
      <c r="G57" s="19"/>
      <c r="H57" s="19"/>
      <c r="I57" s="19"/>
      <c r="J57" s="19"/>
      <c r="K57" s="19"/>
      <c r="L57" s="19"/>
      <c r="M57" s="19"/>
      <c r="N57" s="19"/>
      <c r="O57" s="55"/>
    </row>
    <row r="58" spans="1:15" ht="18.75" customHeight="1">
      <c r="A58" s="800" t="s">
        <v>913</v>
      </c>
      <c r="B58" s="577" t="s">
        <v>914</v>
      </c>
      <c r="C58" s="578">
        <v>91.67</v>
      </c>
      <c r="D58" s="578">
        <v>100</v>
      </c>
      <c r="E58" s="797"/>
      <c r="F58" s="19"/>
      <c r="G58" s="19"/>
      <c r="H58" s="19"/>
      <c r="I58" s="19"/>
      <c r="J58" s="19"/>
      <c r="K58" s="19"/>
      <c r="L58" s="19"/>
      <c r="M58" s="19"/>
      <c r="N58" s="19"/>
      <c r="O58" s="55"/>
    </row>
    <row r="59" spans="1:15" ht="18.75" customHeight="1">
      <c r="A59" s="801"/>
      <c r="B59" s="547" t="s">
        <v>915</v>
      </c>
      <c r="C59" s="547">
        <v>8.33</v>
      </c>
      <c r="D59" s="578">
        <v>0</v>
      </c>
      <c r="E59" s="797"/>
      <c r="F59" s="19"/>
      <c r="G59" s="19"/>
      <c r="H59" s="19"/>
      <c r="I59" s="19"/>
      <c r="J59" s="19"/>
      <c r="K59" s="19"/>
      <c r="L59" s="19"/>
      <c r="M59" s="19"/>
      <c r="N59" s="19"/>
      <c r="O59" s="55"/>
    </row>
    <row r="60" spans="1:15" ht="15" customHeight="1">
      <c r="A60" s="799" t="s">
        <v>916</v>
      </c>
      <c r="B60" s="548" t="s">
        <v>917</v>
      </c>
      <c r="C60" s="578">
        <v>10.83</v>
      </c>
      <c r="D60" s="578" t="s">
        <v>91</v>
      </c>
      <c r="E60" s="797"/>
      <c r="F60" s="19"/>
      <c r="G60" s="19"/>
      <c r="H60" s="19"/>
      <c r="I60" s="19"/>
      <c r="J60" s="19"/>
      <c r="K60" s="19"/>
      <c r="L60" s="19"/>
      <c r="M60" s="19"/>
      <c r="N60" s="19"/>
    </row>
    <row r="61" spans="1:15" ht="15" customHeight="1">
      <c r="A61" s="799"/>
      <c r="B61" s="548" t="s">
        <v>918</v>
      </c>
      <c r="C61" s="578" t="s">
        <v>919</v>
      </c>
      <c r="D61" s="578" t="s">
        <v>91</v>
      </c>
      <c r="E61" s="797"/>
      <c r="F61" s="19"/>
      <c r="G61" s="19"/>
      <c r="H61" s="19"/>
      <c r="I61" s="19"/>
      <c r="J61" s="19"/>
      <c r="K61" s="19"/>
      <c r="L61" s="19"/>
      <c r="M61" s="19"/>
      <c r="N61" s="19"/>
    </row>
    <row r="62" spans="1:15" ht="15" customHeight="1">
      <c r="A62" s="799"/>
      <c r="B62" s="548" t="s">
        <v>920</v>
      </c>
      <c r="C62" s="578">
        <v>53.61</v>
      </c>
      <c r="D62" s="578" t="s">
        <v>91</v>
      </c>
      <c r="E62" s="797"/>
      <c r="F62" s="19"/>
      <c r="G62" s="19"/>
      <c r="H62" s="19"/>
      <c r="I62" s="19"/>
      <c r="J62" s="19"/>
      <c r="K62" s="19"/>
      <c r="L62" s="19"/>
      <c r="M62" s="19"/>
      <c r="N62" s="19"/>
    </row>
    <row r="63" spans="1:15" ht="15" customHeight="1">
      <c r="A63" s="799"/>
      <c r="B63" s="548" t="s">
        <v>921</v>
      </c>
      <c r="C63" s="578">
        <v>18.329999999999998</v>
      </c>
      <c r="D63" s="578" t="s">
        <v>91</v>
      </c>
      <c r="E63" s="797"/>
      <c r="F63" s="19"/>
      <c r="G63" s="19"/>
      <c r="H63" s="19"/>
      <c r="I63" s="19"/>
      <c r="J63" s="19"/>
      <c r="K63" s="19"/>
      <c r="L63" s="19"/>
      <c r="M63" s="19"/>
      <c r="N63" s="19"/>
    </row>
    <row r="64" spans="1:15" ht="18.75">
      <c r="A64" s="799"/>
      <c r="B64" s="549" t="s">
        <v>922</v>
      </c>
      <c r="C64" s="578">
        <v>8.89</v>
      </c>
      <c r="D64" s="578" t="s">
        <v>91</v>
      </c>
      <c r="E64" s="797"/>
      <c r="F64" s="19"/>
      <c r="G64" s="19"/>
      <c r="H64" s="19"/>
      <c r="I64" s="19"/>
      <c r="J64" s="19"/>
      <c r="K64" s="19"/>
      <c r="L64" s="19"/>
      <c r="M64" s="19"/>
      <c r="N64" s="19"/>
    </row>
    <row r="65" spans="1:15" ht="18.75">
      <c r="A65" s="800" t="s">
        <v>923</v>
      </c>
      <c r="B65" s="578" t="s">
        <v>924</v>
      </c>
      <c r="C65" s="578" t="s">
        <v>91</v>
      </c>
      <c r="D65" s="547" t="s">
        <v>925</v>
      </c>
      <c r="E65" s="797"/>
      <c r="F65" s="19"/>
      <c r="G65" s="19"/>
      <c r="H65" s="19"/>
      <c r="I65" s="19"/>
      <c r="J65" s="19"/>
      <c r="K65" s="19"/>
      <c r="L65" s="19"/>
      <c r="M65" s="19"/>
      <c r="N65" s="19"/>
    </row>
    <row r="66" spans="1:15" ht="18.75">
      <c r="A66" s="802"/>
      <c r="B66" s="578" t="s">
        <v>926</v>
      </c>
      <c r="C66" s="578">
        <v>4.17</v>
      </c>
      <c r="D66" s="547" t="s">
        <v>927</v>
      </c>
      <c r="E66" s="797"/>
      <c r="F66" s="19"/>
      <c r="G66" s="19"/>
      <c r="H66" s="19"/>
      <c r="I66" s="19"/>
      <c r="J66" s="19"/>
      <c r="K66" s="19"/>
      <c r="L66" s="19"/>
      <c r="M66" s="19"/>
      <c r="N66" s="19"/>
    </row>
    <row r="67" spans="1:15" ht="18.75">
      <c r="A67" s="802"/>
      <c r="B67" s="578" t="s">
        <v>928</v>
      </c>
      <c r="C67" s="578" t="s">
        <v>91</v>
      </c>
      <c r="D67" s="547" t="s">
        <v>929</v>
      </c>
      <c r="E67" s="797"/>
      <c r="F67" s="19"/>
      <c r="G67" s="19"/>
      <c r="H67" s="19"/>
      <c r="I67" s="19"/>
      <c r="J67" s="19"/>
      <c r="K67" s="19"/>
      <c r="L67" s="19"/>
      <c r="M67" s="19"/>
      <c r="N67" s="19"/>
    </row>
    <row r="68" spans="1:15" ht="18.75">
      <c r="A68" s="802"/>
      <c r="B68" s="550" t="s">
        <v>930</v>
      </c>
      <c r="C68" s="550" t="s">
        <v>931</v>
      </c>
      <c r="D68" s="547" t="s">
        <v>927</v>
      </c>
      <c r="E68" s="797"/>
      <c r="F68" s="19"/>
      <c r="G68" s="19"/>
      <c r="H68" s="19"/>
      <c r="I68" s="19"/>
      <c r="J68" s="19"/>
      <c r="K68" s="19"/>
      <c r="L68" s="19"/>
      <c r="M68" s="19"/>
      <c r="N68" s="19"/>
      <c r="O68" s="56"/>
    </row>
    <row r="69" spans="1:15" ht="14.25" customHeight="1">
      <c r="A69" s="801"/>
      <c r="B69" s="550" t="s">
        <v>932</v>
      </c>
      <c r="C69" s="547" t="s">
        <v>933</v>
      </c>
      <c r="D69" s="551" t="s">
        <v>91</v>
      </c>
      <c r="E69" s="797"/>
      <c r="F69" s="19"/>
      <c r="G69" s="19"/>
      <c r="H69" s="19"/>
      <c r="I69" s="19"/>
      <c r="J69" s="19"/>
      <c r="K69" s="19"/>
      <c r="L69" s="19"/>
      <c r="M69" s="19"/>
      <c r="N69" s="19"/>
      <c r="O69" s="55"/>
    </row>
    <row r="70" spans="1:15" ht="18.75">
      <c r="A70" s="800" t="s">
        <v>934</v>
      </c>
      <c r="B70" s="547" t="s">
        <v>935</v>
      </c>
      <c r="C70" s="547" t="s">
        <v>936</v>
      </c>
      <c r="D70" s="547" t="s">
        <v>937</v>
      </c>
      <c r="E70" s="797"/>
      <c r="F70" s="19"/>
      <c r="G70" s="19"/>
      <c r="H70" s="19"/>
      <c r="I70" s="19"/>
      <c r="J70" s="19"/>
      <c r="K70" s="19"/>
      <c r="L70" s="19"/>
      <c r="M70" s="19"/>
      <c r="N70" s="19"/>
      <c r="O70" s="55"/>
    </row>
    <row r="71" spans="1:15" ht="18.75">
      <c r="A71" s="802"/>
      <c r="B71" s="547" t="s">
        <v>938</v>
      </c>
      <c r="C71" s="547" t="s">
        <v>939</v>
      </c>
      <c r="D71" s="547" t="s">
        <v>940</v>
      </c>
      <c r="E71" s="797"/>
      <c r="F71" s="19"/>
      <c r="G71" s="19"/>
      <c r="H71" s="19"/>
      <c r="I71" s="19"/>
      <c r="J71" s="19"/>
      <c r="K71" s="19"/>
      <c r="L71" s="19"/>
      <c r="M71" s="19"/>
      <c r="N71" s="19"/>
    </row>
    <row r="72" spans="1:15" ht="18.75">
      <c r="A72" s="802"/>
      <c r="B72" s="547" t="s">
        <v>941</v>
      </c>
      <c r="C72" s="547" t="s">
        <v>942</v>
      </c>
      <c r="D72" s="547" t="s">
        <v>925</v>
      </c>
      <c r="E72" s="797"/>
      <c r="F72" s="19"/>
      <c r="G72" s="19"/>
      <c r="H72" s="19"/>
      <c r="I72" s="19"/>
      <c r="J72" s="19"/>
      <c r="K72" s="19"/>
      <c r="L72" s="19"/>
      <c r="M72" s="19"/>
      <c r="N72" s="19"/>
    </row>
    <row r="73" spans="1:15" ht="18.75">
      <c r="A73" s="801"/>
      <c r="B73" s="547" t="s">
        <v>943</v>
      </c>
      <c r="C73" s="547" t="s">
        <v>939</v>
      </c>
      <c r="D73" s="547" t="s">
        <v>927</v>
      </c>
      <c r="E73" s="797"/>
      <c r="F73" s="19"/>
      <c r="G73" s="19"/>
      <c r="H73" s="19"/>
      <c r="I73" s="19"/>
      <c r="J73" s="19"/>
      <c r="K73" s="19"/>
      <c r="L73" s="19"/>
      <c r="M73" s="19"/>
      <c r="N73" s="19"/>
    </row>
    <row r="74" spans="1:15">
      <c r="A74" s="19"/>
      <c r="B74" s="19"/>
      <c r="C74" s="19"/>
      <c r="D74" s="19"/>
      <c r="E74" s="19"/>
      <c r="F74" s="19"/>
      <c r="G74" s="19"/>
      <c r="H74" s="19"/>
      <c r="I74" s="19"/>
      <c r="J74" s="19"/>
      <c r="K74" s="19"/>
      <c r="L74" s="19"/>
      <c r="M74" s="19"/>
      <c r="N74" s="19"/>
    </row>
    <row r="75" spans="1:15" ht="15.75" customHeight="1">
      <c r="A75" s="19"/>
      <c r="B75" s="19"/>
      <c r="C75" s="19"/>
      <c r="D75" s="19"/>
      <c r="E75" s="19"/>
      <c r="F75" s="19"/>
      <c r="G75" s="19"/>
      <c r="H75" s="19"/>
      <c r="I75" s="19"/>
      <c r="J75" s="19"/>
      <c r="K75" s="19"/>
      <c r="L75" s="19"/>
      <c r="M75" s="19"/>
      <c r="N75" s="19"/>
    </row>
    <row r="76" spans="1:15">
      <c r="A76" s="19"/>
      <c r="B76" s="19"/>
      <c r="C76" s="19"/>
      <c r="D76" s="19"/>
      <c r="E76" s="19"/>
      <c r="F76" s="19"/>
      <c r="G76" s="19"/>
      <c r="H76" s="19"/>
      <c r="I76" s="19"/>
      <c r="J76" s="19"/>
      <c r="K76" s="19"/>
      <c r="L76" s="19"/>
      <c r="M76" s="19"/>
      <c r="N76" s="19"/>
    </row>
    <row r="77" spans="1:15">
      <c r="A77" s="19"/>
      <c r="B77" s="19"/>
      <c r="C77" s="19"/>
      <c r="D77" s="19"/>
      <c r="E77" s="19"/>
      <c r="F77" s="19"/>
      <c r="G77" s="19"/>
      <c r="H77" s="19"/>
      <c r="I77" s="19"/>
      <c r="J77" s="19"/>
      <c r="K77" s="19"/>
      <c r="L77" s="19"/>
      <c r="M77" s="19"/>
      <c r="N77" s="19"/>
    </row>
    <row r="78" spans="1:15">
      <c r="A78" s="19"/>
      <c r="B78" s="19"/>
      <c r="C78" s="19"/>
      <c r="D78" s="19"/>
      <c r="E78" s="19"/>
      <c r="F78" s="19"/>
      <c r="G78" s="19"/>
      <c r="H78" s="19"/>
      <c r="I78" s="19"/>
      <c r="J78" s="19"/>
      <c r="K78" s="19"/>
      <c r="L78" s="19"/>
      <c r="M78" s="19"/>
      <c r="N78" s="19"/>
    </row>
    <row r="79" spans="1:15" ht="7.5" customHeight="1">
      <c r="A79" s="19"/>
      <c r="B79" s="19"/>
      <c r="C79" s="19"/>
      <c r="D79" s="19"/>
      <c r="E79" s="19"/>
      <c r="F79" s="19"/>
      <c r="G79" s="19"/>
      <c r="H79" s="19"/>
      <c r="I79" s="19"/>
      <c r="J79" s="19"/>
      <c r="K79" s="19"/>
      <c r="L79" s="19"/>
      <c r="M79" s="19"/>
      <c r="N79" s="19"/>
      <c r="O79" s="3"/>
    </row>
    <row r="80" spans="1:15" ht="44.25" customHeight="1">
      <c r="A80" s="796" t="s">
        <v>944</v>
      </c>
      <c r="B80" s="796"/>
      <c r="C80" s="796"/>
      <c r="D80" s="796"/>
      <c r="E80" s="796"/>
      <c r="F80" s="796"/>
      <c r="G80" s="796"/>
      <c r="H80" s="796"/>
      <c r="I80" s="796"/>
      <c r="J80" s="796"/>
      <c r="K80" s="796"/>
      <c r="L80" s="796"/>
      <c r="M80" s="796"/>
      <c r="N80" s="796"/>
      <c r="O80" s="107"/>
    </row>
    <row r="81" spans="1:15" ht="12" customHeight="1">
      <c r="A81" s="376"/>
      <c r="B81" s="376"/>
      <c r="C81" s="376"/>
      <c r="D81" s="376"/>
      <c r="E81" s="376"/>
      <c r="F81" s="376"/>
      <c r="G81" s="376"/>
      <c r="H81" s="376"/>
      <c r="I81" s="376"/>
      <c r="J81" s="376"/>
      <c r="K81" s="376"/>
      <c r="L81" s="376"/>
      <c r="M81" s="376"/>
      <c r="N81" s="376"/>
      <c r="O81" s="107"/>
    </row>
    <row r="82" spans="1:15" ht="17.25" customHeight="1">
      <c r="A82" s="376"/>
      <c r="B82" s="376"/>
      <c r="C82" s="376"/>
      <c r="D82" s="376"/>
      <c r="E82" s="376"/>
      <c r="F82" s="376"/>
      <c r="G82" s="376"/>
      <c r="H82" s="376"/>
      <c r="I82" s="376"/>
      <c r="J82" s="376"/>
      <c r="K82" s="376"/>
      <c r="L82" s="376"/>
      <c r="M82" s="376"/>
      <c r="N82" s="376"/>
    </row>
    <row r="83" spans="1:15">
      <c r="A83" s="19"/>
      <c r="B83" s="19"/>
      <c r="C83" s="19"/>
      <c r="D83" s="19"/>
      <c r="E83" s="19"/>
      <c r="F83" s="19"/>
      <c r="G83" s="19"/>
      <c r="H83" s="19"/>
      <c r="I83" s="19"/>
      <c r="J83" s="19"/>
      <c r="K83" s="19"/>
      <c r="L83" s="19"/>
      <c r="M83" s="19"/>
      <c r="N83" s="19"/>
    </row>
    <row r="84" spans="1:15">
      <c r="A84" s="19"/>
      <c r="B84" s="19"/>
      <c r="C84" s="19"/>
      <c r="D84" s="19"/>
      <c r="E84" s="19"/>
      <c r="F84" s="19"/>
      <c r="G84" s="19"/>
      <c r="H84" s="19"/>
      <c r="I84" s="19"/>
      <c r="J84" s="19"/>
      <c r="K84" s="19"/>
      <c r="L84" s="19"/>
      <c r="M84" s="19"/>
      <c r="N84" s="19"/>
    </row>
    <row r="85" spans="1:15" ht="18.75">
      <c r="A85" s="552" t="s">
        <v>945</v>
      </c>
      <c r="B85" s="552" t="s">
        <v>946</v>
      </c>
      <c r="C85" s="552" t="s">
        <v>947</v>
      </c>
      <c r="D85" s="552" t="s">
        <v>948</v>
      </c>
      <c r="E85" s="552" t="s">
        <v>949</v>
      </c>
      <c r="F85" s="552" t="s">
        <v>950</v>
      </c>
      <c r="G85" s="553" t="s">
        <v>951</v>
      </c>
      <c r="H85" s="19"/>
      <c r="I85" s="317"/>
      <c r="J85" s="19"/>
      <c r="K85" s="19"/>
      <c r="L85" s="19"/>
      <c r="M85" s="19"/>
      <c r="N85" s="19"/>
    </row>
    <row r="86" spans="1:15" ht="18.75">
      <c r="A86" s="554">
        <v>2</v>
      </c>
      <c r="B86" s="554">
        <v>31</v>
      </c>
      <c r="C86" s="555">
        <v>938</v>
      </c>
      <c r="D86" s="555">
        <v>86</v>
      </c>
      <c r="E86" s="555">
        <v>3</v>
      </c>
      <c r="F86" s="554">
        <v>1</v>
      </c>
      <c r="G86" s="556">
        <f>Table173[[#This Row],[Weekly_revenue_avg_€]]-Table173[[#This Row],[Weekly_prod_cost_avg_€]]-Table173[[#This Row],[Weekly_energy_avg_€]]-Table173[[#This Row],[Weekly_maintenance_avg_€]]</f>
        <v>848</v>
      </c>
      <c r="H86" s="19"/>
      <c r="I86" s="317"/>
      <c r="J86" s="19"/>
      <c r="K86" s="19"/>
      <c r="L86" s="19"/>
      <c r="M86" s="19"/>
      <c r="N86" s="19"/>
    </row>
    <row r="87" spans="1:15" ht="30">
      <c r="A87" s="108"/>
      <c r="B87" s="317"/>
      <c r="C87" s="317"/>
      <c r="D87" s="317"/>
      <c r="E87" s="317"/>
      <c r="F87" s="317"/>
      <c r="G87" s="317"/>
      <c r="H87" s="317"/>
      <c r="I87" s="317"/>
      <c r="J87" s="58"/>
      <c r="K87" s="58"/>
      <c r="L87" s="58"/>
      <c r="M87" s="58"/>
      <c r="N87" s="58"/>
    </row>
    <row r="88" spans="1:15">
      <c r="A88" s="19"/>
      <c r="B88" s="369"/>
      <c r="C88" s="369"/>
      <c r="D88" s="369"/>
      <c r="E88" s="369"/>
      <c r="F88" s="369"/>
      <c r="G88" s="369"/>
      <c r="H88" s="369"/>
      <c r="I88" s="369"/>
      <c r="J88" s="369"/>
      <c r="K88" s="369"/>
      <c r="L88" s="369"/>
      <c r="M88" s="369"/>
      <c r="N88" s="369"/>
    </row>
    <row r="89" spans="1:15">
      <c r="A89" s="19"/>
      <c r="B89" s="19"/>
      <c r="C89" s="19"/>
      <c r="D89" s="19"/>
      <c r="E89" s="19"/>
      <c r="F89" s="19"/>
      <c r="G89" s="19"/>
      <c r="H89" s="19"/>
      <c r="I89" s="19"/>
      <c r="J89" s="19"/>
      <c r="K89" s="19"/>
      <c r="L89" s="19"/>
      <c r="M89" s="19"/>
      <c r="N89" s="19"/>
    </row>
    <row r="90" spans="1:15" ht="67.5" customHeight="1">
      <c r="A90" s="795" t="s">
        <v>952</v>
      </c>
      <c r="B90" s="795"/>
      <c r="C90" s="795"/>
      <c r="D90" s="795"/>
      <c r="E90" s="795"/>
      <c r="F90" s="795"/>
      <c r="G90" s="795"/>
      <c r="H90" s="795"/>
      <c r="I90" s="795"/>
      <c r="J90" s="795"/>
      <c r="K90" s="795"/>
      <c r="L90" s="795"/>
      <c r="M90" s="795"/>
      <c r="N90" s="795"/>
    </row>
    <row r="91" spans="1:15" ht="11.25" customHeight="1">
      <c r="A91" s="376"/>
      <c r="B91" s="376"/>
      <c r="C91" s="376"/>
      <c r="D91" s="376"/>
      <c r="E91" s="376"/>
      <c r="F91" s="376"/>
      <c r="G91" s="376"/>
      <c r="H91" s="376"/>
      <c r="I91" s="376"/>
      <c r="J91" s="376"/>
      <c r="K91" s="376"/>
      <c r="L91" s="376"/>
      <c r="M91" s="376"/>
      <c r="N91" s="376"/>
    </row>
    <row r="92" spans="1:15" ht="9" customHeight="1">
      <c r="A92" s="376"/>
      <c r="B92" s="376"/>
      <c r="C92" s="376"/>
      <c r="D92" s="376"/>
      <c r="E92" s="376"/>
      <c r="F92" s="376"/>
      <c r="G92" s="376"/>
      <c r="H92" s="376"/>
      <c r="I92" s="376"/>
      <c r="J92" s="376"/>
      <c r="K92" s="376"/>
      <c r="L92" s="376"/>
      <c r="M92" s="376"/>
      <c r="N92" s="376"/>
    </row>
    <row r="93" spans="1:15">
      <c r="A93" s="19"/>
      <c r="B93" s="19"/>
      <c r="C93" s="19"/>
      <c r="D93" s="19"/>
      <c r="E93" s="19"/>
      <c r="F93" s="19"/>
      <c r="G93" s="19"/>
      <c r="H93" s="19"/>
      <c r="I93" s="19"/>
      <c r="J93" s="19"/>
      <c r="K93" s="19"/>
      <c r="L93" s="19"/>
      <c r="M93" s="19"/>
      <c r="N93" s="19"/>
    </row>
    <row r="94" spans="1:15">
      <c r="A94" s="19"/>
      <c r="B94" s="19"/>
      <c r="C94" s="19"/>
      <c r="D94" s="19"/>
      <c r="E94" s="19"/>
      <c r="F94" s="19"/>
      <c r="G94" s="19"/>
      <c r="H94" s="19"/>
      <c r="I94" s="19"/>
      <c r="J94" s="19"/>
      <c r="K94" s="19"/>
      <c r="L94" s="19"/>
      <c r="M94" s="19"/>
      <c r="N94" s="19"/>
    </row>
    <row r="95" spans="1:15" ht="19.5">
      <c r="A95" s="557" t="s">
        <v>945</v>
      </c>
      <c r="B95" s="558" t="s">
        <v>953</v>
      </c>
      <c r="C95" s="559" t="s">
        <v>954</v>
      </c>
      <c r="D95" s="558" t="s">
        <v>955</v>
      </c>
      <c r="E95" s="558" t="s">
        <v>956</v>
      </c>
      <c r="F95" s="558" t="s">
        <v>957</v>
      </c>
      <c r="G95" s="560" t="s">
        <v>958</v>
      </c>
      <c r="H95" s="19"/>
      <c r="I95" s="317"/>
      <c r="J95" s="19"/>
      <c r="K95" s="19"/>
      <c r="L95" s="19"/>
      <c r="M95" s="19"/>
      <c r="N95" s="19"/>
    </row>
    <row r="96" spans="1:15" ht="18.75">
      <c r="A96" s="554">
        <v>2</v>
      </c>
      <c r="B96" s="554">
        <v>133</v>
      </c>
      <c r="C96" s="555">
        <v>4066</v>
      </c>
      <c r="D96" s="555">
        <v>370</v>
      </c>
      <c r="E96" s="555">
        <v>12</v>
      </c>
      <c r="F96" s="561">
        <v>4</v>
      </c>
      <c r="G96" s="556">
        <f>Table1736[[#This Row],[Monthly_revenue_avg_€]]-Table1736[[#This Row],[Monthly_prod_cost_avg_€]]-Table1736[[#This Row],[Monthly_energy_avg_€]]-Table1736[[#This Row],[Monthly_maintenance_avg_€]]</f>
        <v>3680</v>
      </c>
      <c r="H96" s="19"/>
      <c r="I96" s="377"/>
      <c r="J96" s="19"/>
      <c r="K96" s="19"/>
      <c r="L96" s="19"/>
      <c r="M96" s="19"/>
      <c r="N96" s="19"/>
    </row>
    <row r="97" spans="1:14">
      <c r="A97" s="19"/>
      <c r="B97" s="317"/>
      <c r="C97" s="317"/>
      <c r="D97" s="317"/>
      <c r="E97" s="317"/>
      <c r="F97" s="317"/>
      <c r="G97" s="317"/>
      <c r="H97" s="317"/>
      <c r="I97" s="317"/>
      <c r="J97" s="378"/>
      <c r="K97" s="378"/>
      <c r="L97" s="378"/>
      <c r="M97" s="378"/>
      <c r="N97" s="378"/>
    </row>
    <row r="98" spans="1:14">
      <c r="A98" s="19"/>
      <c r="B98" s="317"/>
      <c r="C98" s="317"/>
      <c r="D98" s="317"/>
      <c r="E98" s="317"/>
      <c r="F98" s="317"/>
      <c r="G98" s="317"/>
      <c r="H98" s="317"/>
      <c r="I98" s="317"/>
      <c r="J98" s="369"/>
      <c r="K98" s="369"/>
      <c r="L98" s="369"/>
      <c r="M98" s="369"/>
      <c r="N98" s="369"/>
    </row>
    <row r="99" spans="1:14">
      <c r="A99" s="19"/>
      <c r="B99" s="317"/>
      <c r="C99" s="317"/>
      <c r="D99" s="317"/>
      <c r="E99" s="317"/>
      <c r="F99" s="317"/>
      <c r="G99" s="317"/>
      <c r="H99" s="317"/>
      <c r="I99" s="317"/>
      <c r="J99" s="369"/>
      <c r="K99" s="369"/>
      <c r="L99" s="369"/>
      <c r="M99" s="369"/>
      <c r="N99" s="369"/>
    </row>
    <row r="100" spans="1:14">
      <c r="A100" s="19"/>
      <c r="B100" s="19"/>
      <c r="C100" s="19"/>
      <c r="D100" s="19"/>
      <c r="E100" s="19"/>
      <c r="F100" s="19"/>
      <c r="G100" s="19"/>
      <c r="H100" s="19"/>
      <c r="I100" s="19"/>
      <c r="J100" s="19"/>
      <c r="K100" s="19"/>
      <c r="L100" s="19"/>
      <c r="M100" s="19"/>
      <c r="N100" s="19"/>
    </row>
    <row r="101" spans="1:14">
      <c r="A101" s="19"/>
      <c r="B101" s="19"/>
      <c r="C101" s="19"/>
      <c r="D101" s="19"/>
      <c r="E101" s="19"/>
      <c r="F101" s="19"/>
      <c r="G101" s="19"/>
      <c r="H101" s="19"/>
      <c r="I101" s="19"/>
      <c r="J101" s="19"/>
      <c r="K101" s="19"/>
      <c r="L101" s="19"/>
      <c r="M101" s="19"/>
      <c r="N101" s="19"/>
    </row>
    <row r="102" spans="1:14">
      <c r="A102" s="19"/>
      <c r="B102" s="19"/>
      <c r="C102" s="19"/>
      <c r="D102" s="19"/>
      <c r="E102" s="19"/>
      <c r="F102" s="19"/>
      <c r="G102" s="19"/>
      <c r="H102" s="19"/>
      <c r="I102" s="19"/>
      <c r="J102" s="19"/>
      <c r="K102" s="19"/>
      <c r="L102" s="19"/>
      <c r="M102" s="19"/>
      <c r="N102" s="19"/>
    </row>
    <row r="103" spans="1:14" hidden="1">
      <c r="A103" s="19"/>
      <c r="B103" s="19"/>
      <c r="C103" s="19"/>
      <c r="D103" s="19"/>
      <c r="E103" s="19"/>
      <c r="F103" s="19"/>
      <c r="G103" s="19"/>
      <c r="H103" s="19"/>
      <c r="I103" s="19"/>
      <c r="J103" s="19"/>
      <c r="K103" s="19"/>
      <c r="L103" s="19"/>
      <c r="M103" s="19"/>
      <c r="N103" s="19"/>
    </row>
    <row r="104" spans="1:14" ht="48" customHeight="1">
      <c r="A104" s="789" t="s">
        <v>959</v>
      </c>
      <c r="B104" s="789"/>
      <c r="C104" s="789"/>
      <c r="D104" s="789"/>
      <c r="E104" s="789"/>
      <c r="F104" s="789"/>
      <c r="G104" s="789"/>
      <c r="H104" s="789"/>
      <c r="I104" s="789"/>
      <c r="J104" s="789"/>
      <c r="K104" s="789"/>
      <c r="L104" s="789"/>
      <c r="M104" s="789"/>
      <c r="N104" s="789"/>
    </row>
    <row r="105" spans="1:14">
      <c r="A105" s="19"/>
      <c r="B105" s="19"/>
      <c r="C105" s="19"/>
      <c r="D105" s="19"/>
      <c r="E105" s="19"/>
      <c r="F105" s="19"/>
      <c r="G105" s="19"/>
      <c r="H105" s="19"/>
      <c r="I105" s="19"/>
      <c r="J105" s="19"/>
      <c r="K105" s="19"/>
      <c r="L105" s="19"/>
      <c r="M105" s="19"/>
      <c r="N105" s="19"/>
    </row>
    <row r="106" spans="1:14">
      <c r="A106" s="19"/>
      <c r="B106" s="19"/>
      <c r="C106" s="19"/>
      <c r="D106" s="19"/>
      <c r="E106" s="19"/>
      <c r="F106" s="19"/>
      <c r="G106" s="19"/>
      <c r="H106" s="19"/>
      <c r="I106" s="19"/>
      <c r="J106" s="19"/>
      <c r="K106" s="19"/>
      <c r="L106" s="19"/>
      <c r="M106" s="19"/>
      <c r="N106" s="19"/>
    </row>
    <row r="107" spans="1:14" ht="18.75">
      <c r="A107" s="532" t="s">
        <v>945</v>
      </c>
      <c r="B107" s="533" t="s">
        <v>960</v>
      </c>
      <c r="C107" s="533" t="s">
        <v>961</v>
      </c>
      <c r="D107" s="533" t="s">
        <v>962</v>
      </c>
      <c r="E107" s="533" t="s">
        <v>963</v>
      </c>
      <c r="F107" s="533" t="s">
        <v>964</v>
      </c>
      <c r="G107" s="533" t="s">
        <v>965</v>
      </c>
      <c r="H107" s="533" t="s">
        <v>966</v>
      </c>
      <c r="I107" s="533" t="s">
        <v>967</v>
      </c>
      <c r="J107" s="533" t="s">
        <v>968</v>
      </c>
      <c r="K107" s="533" t="s">
        <v>969</v>
      </c>
      <c r="L107" s="533" t="s">
        <v>970</v>
      </c>
      <c r="M107" s="562" t="s">
        <v>971</v>
      </c>
      <c r="N107" s="563" t="s">
        <v>972</v>
      </c>
    </row>
    <row r="108" spans="1:14" ht="18.75">
      <c r="A108" s="534">
        <v>2</v>
      </c>
      <c r="B108" s="535">
        <v>1</v>
      </c>
      <c r="C108" s="535">
        <f>B21*B22*Tableau210[[#This Row],[Scenario_ha]]</f>
        <v>16000</v>
      </c>
      <c r="D108" s="535">
        <f>Tableau210[[#This Row],[Usable_fresh_kg]]*0.1</f>
        <v>1600</v>
      </c>
      <c r="E108" s="535">
        <f>Tableau210[[#This Row],[Dried_kg]]*B25</f>
        <v>48000</v>
      </c>
      <c r="F108" s="535">
        <v>3</v>
      </c>
      <c r="G108" s="535">
        <f>Tableau210[[#This Row],[Unit_cost_€_per_kg]]*Tableau210[[#This Row],[Dried_kg]]</f>
        <v>4800</v>
      </c>
      <c r="H108" s="535">
        <v>16</v>
      </c>
      <c r="I108" s="535">
        <v>137</v>
      </c>
      <c r="J108" s="535">
        <v>46</v>
      </c>
      <c r="K108" s="535">
        <f>Tableau210[[#This Row],[Yearly_dried_mango_cost_€]]+Tableau210[[#This Row],[Export_price_€]]</f>
        <v>52800</v>
      </c>
      <c r="L108" s="535">
        <f>Tableau210[[#This Row],[Yearly_dried_mango_cost_€]]-Tableau210[[#This Row],[Energy_cost_€]]-Tableau210[[#This Row],[Maintenance_€]]</f>
        <v>4617</v>
      </c>
      <c r="M108" s="564">
        <v>4.6100000000000003</v>
      </c>
      <c r="N108" s="564">
        <v>2</v>
      </c>
    </row>
    <row r="109" spans="1:14" ht="18.75">
      <c r="A109" s="534">
        <v>2</v>
      </c>
      <c r="B109" s="535">
        <v>2</v>
      </c>
      <c r="C109" s="535">
        <f>B21*B22*Tableau210[[#This Row],[Scenario_ha]]</f>
        <v>16000</v>
      </c>
      <c r="D109" s="535">
        <f>Tableau210[[#This Row],[Usable_fresh_kg]]*0.1</f>
        <v>1600</v>
      </c>
      <c r="E109" s="535">
        <f>Tableau210[[#This Row],[Dried_kg]]*B25</f>
        <v>48000</v>
      </c>
      <c r="F109" s="535">
        <v>3</v>
      </c>
      <c r="G109" s="535">
        <f>Tableau210[[#This Row],[Unit_cost_€_per_kg]]*Tableau210[[#This Row],[Dried_kg]]</f>
        <v>4800</v>
      </c>
      <c r="H109" s="535">
        <v>16</v>
      </c>
      <c r="I109" s="535">
        <v>137</v>
      </c>
      <c r="J109" s="535">
        <v>46</v>
      </c>
      <c r="K109" s="535">
        <f>Tableau210[[#This Row],[Yearly_dried_mango_cost_€]]+Tableau210[[#This Row],[Export_price_€]]</f>
        <v>52800</v>
      </c>
      <c r="L109" s="535">
        <f>Tableau210[[#This Row],[Yearly_dried_mango_cost_€]]-Tableau210[[#This Row],[Energy_cost_€]]-Tableau210[[#This Row],[Maintenance_€]]</f>
        <v>4617</v>
      </c>
      <c r="M109" s="564">
        <v>4.67</v>
      </c>
      <c r="N109" s="564">
        <v>2</v>
      </c>
    </row>
    <row r="110" spans="1:14" ht="18.75">
      <c r="A110" s="534">
        <v>2</v>
      </c>
      <c r="B110" s="535">
        <v>3</v>
      </c>
      <c r="C110" s="535">
        <f>B21*B22*Tableau210[[#This Row],[Scenario_ha]]</f>
        <v>16000</v>
      </c>
      <c r="D110" s="535">
        <f>Tableau210[[#This Row],[Usable_fresh_kg]]*0.1</f>
        <v>1600</v>
      </c>
      <c r="E110" s="535">
        <f>Tableau210[[#This Row],[Dried_kg]]*B25</f>
        <v>48000</v>
      </c>
      <c r="F110" s="535">
        <v>3</v>
      </c>
      <c r="G110" s="535">
        <f>Tableau210[[#This Row],[Unit_cost_€_per_kg]]*Tableau210[[#This Row],[Dried_kg]]</f>
        <v>4800</v>
      </c>
      <c r="H110" s="535">
        <v>16</v>
      </c>
      <c r="I110" s="535">
        <v>137</v>
      </c>
      <c r="J110" s="535">
        <v>46</v>
      </c>
      <c r="K110" s="535">
        <f>Tableau210[[#This Row],[Yearly_dried_mango_cost_€]]+Tableau210[[#This Row],[Export_price_€]]</f>
        <v>52800</v>
      </c>
      <c r="L110" s="535">
        <f>Tableau210[[#This Row],[Yearly_dried_mango_cost_€]]-Tableau210[[#This Row],[Energy_cost_€]]-Tableau210[[#This Row],[Maintenance_€]]</f>
        <v>4617</v>
      </c>
      <c r="M110" s="535">
        <v>4.7300000000000004</v>
      </c>
      <c r="N110" s="564">
        <v>2</v>
      </c>
    </row>
    <row r="111" spans="1:14" ht="18.75">
      <c r="A111" s="534">
        <v>2</v>
      </c>
      <c r="B111" s="535">
        <v>4</v>
      </c>
      <c r="C111" s="535">
        <f>B21*B22*Tableau210[[#This Row],[Scenario_ha]]</f>
        <v>16000</v>
      </c>
      <c r="D111" s="535">
        <f>Tableau210[[#This Row],[Usable_fresh_kg]]*0.1</f>
        <v>1600</v>
      </c>
      <c r="E111" s="535">
        <f>Tableau210[[#This Row],[Dried_kg]]*B25</f>
        <v>48000</v>
      </c>
      <c r="F111" s="535">
        <v>3</v>
      </c>
      <c r="G111" s="535">
        <f>Tableau210[[#This Row],[Unit_cost_€_per_kg]]*Tableau210[[#This Row],[Dried_kg]]</f>
        <v>4800</v>
      </c>
      <c r="H111" s="535">
        <v>16</v>
      </c>
      <c r="I111" s="535">
        <v>137</v>
      </c>
      <c r="J111" s="535">
        <v>46</v>
      </c>
      <c r="K111" s="535">
        <f>Tableau210[[#This Row],[Yearly_dried_mango_cost_€]]+Tableau210[[#This Row],[Export_price_€]]</f>
        <v>52800</v>
      </c>
      <c r="L111" s="535">
        <f>Tableau210[[#This Row],[Yearly_dried_mango_cost_€]]-Tableau210[[#This Row],[Energy_cost_€]]-Tableau210[[#This Row],[Maintenance_€]]</f>
        <v>4617</v>
      </c>
      <c r="M111" s="535">
        <v>4.79</v>
      </c>
      <c r="N111" s="564">
        <v>2</v>
      </c>
    </row>
    <row r="112" spans="1:14" ht="18.75">
      <c r="A112" s="534">
        <v>2</v>
      </c>
      <c r="B112" s="535">
        <v>5</v>
      </c>
      <c r="C112" s="535">
        <f>B21*B22*Tableau210[[#This Row],[Scenario_ha]]</f>
        <v>16000</v>
      </c>
      <c r="D112" s="535">
        <f>Tableau210[[#This Row],[Usable_fresh_kg]]*0.1</f>
        <v>1600</v>
      </c>
      <c r="E112" s="535">
        <f>Tableau210[[#This Row],[Dried_kg]]*B25</f>
        <v>48000</v>
      </c>
      <c r="F112" s="535">
        <v>3</v>
      </c>
      <c r="G112" s="535">
        <f>Tableau210[[#This Row],[Unit_cost_€_per_kg]]*Tableau210[[#This Row],[Dried_kg]]</f>
        <v>4800</v>
      </c>
      <c r="H112" s="535">
        <v>16</v>
      </c>
      <c r="I112" s="535">
        <v>137</v>
      </c>
      <c r="J112" s="535">
        <v>46</v>
      </c>
      <c r="K112" s="535">
        <f>Tableau210[[#This Row],[Yearly_dried_mango_cost_€]]+Tableau210[[#This Row],[Export_price_€]]</f>
        <v>52800</v>
      </c>
      <c r="L112" s="535">
        <f>Tableau210[[#This Row],[Yearly_dried_mango_cost_€]]-Tableau210[[#This Row],[Energy_cost_€]]-Tableau210[[#This Row],[Maintenance_€]]</f>
        <v>4617</v>
      </c>
      <c r="M112" s="535">
        <v>4.8600000000000003</v>
      </c>
      <c r="N112" s="564">
        <v>2</v>
      </c>
    </row>
    <row r="113" spans="1:14" ht="18.75">
      <c r="A113" s="534">
        <v>2</v>
      </c>
      <c r="B113" s="535">
        <v>6</v>
      </c>
      <c r="C113" s="535">
        <f>B21*B22*Tableau210[[#This Row],[Scenario_ha]]</f>
        <v>16000</v>
      </c>
      <c r="D113" s="535">
        <f>Tableau210[[#This Row],[Usable_fresh_kg]]*0.1</f>
        <v>1600</v>
      </c>
      <c r="E113" s="535">
        <f>Tableau210[[#This Row],[Dried_kg]]*B25</f>
        <v>48000</v>
      </c>
      <c r="F113" s="535">
        <v>3</v>
      </c>
      <c r="G113" s="535">
        <f>Tableau210[[#This Row],[Unit_cost_€_per_kg]]*Tableau210[[#This Row],[Dried_kg]]</f>
        <v>4800</v>
      </c>
      <c r="H113" s="535">
        <v>16</v>
      </c>
      <c r="I113" s="535">
        <v>137</v>
      </c>
      <c r="J113" s="535">
        <v>46</v>
      </c>
      <c r="K113" s="535">
        <f>Tableau210[[#This Row],[Yearly_dried_mango_cost_€]]+Tableau210[[#This Row],[Export_price_€]]</f>
        <v>52800</v>
      </c>
      <c r="L113" s="535">
        <f>Tableau210[[#This Row],[Yearly_dried_mango_cost_€]]-Tableau210[[#This Row],[Energy_cost_€]]-Tableau210[[#This Row],[Maintenance_€]]</f>
        <v>4617</v>
      </c>
      <c r="M113" s="535">
        <v>4.92</v>
      </c>
      <c r="N113" s="564">
        <v>2</v>
      </c>
    </row>
    <row r="114" spans="1:14" ht="18.75">
      <c r="A114" s="534">
        <v>2</v>
      </c>
      <c r="B114" s="535">
        <v>7</v>
      </c>
      <c r="C114" s="535">
        <f>B21*B22*Tableau210[[#This Row],[Scenario_ha]]</f>
        <v>16000</v>
      </c>
      <c r="D114" s="535">
        <f>Tableau210[[#This Row],[Usable_fresh_kg]]*0.1</f>
        <v>1600</v>
      </c>
      <c r="E114" s="535">
        <f>Tableau210[[#This Row],[Dried_kg]]*B25</f>
        <v>48000</v>
      </c>
      <c r="F114" s="535">
        <v>3</v>
      </c>
      <c r="G114" s="535">
        <f>Tableau210[[#This Row],[Unit_cost_€_per_kg]]*Tableau210[[#This Row],[Dried_kg]]</f>
        <v>4800</v>
      </c>
      <c r="H114" s="535">
        <v>16</v>
      </c>
      <c r="I114" s="535">
        <v>137</v>
      </c>
      <c r="J114" s="535">
        <v>46</v>
      </c>
      <c r="K114" s="535">
        <f>Tableau210[[#This Row],[Yearly_dried_mango_cost_€]]+Tableau210[[#This Row],[Export_price_€]]</f>
        <v>52800</v>
      </c>
      <c r="L114" s="535">
        <f>Tableau210[[#This Row],[Yearly_dried_mango_cost_€]]-Tableau210[[#This Row],[Energy_cost_€]]-Tableau210[[#This Row],[Maintenance_€]]</f>
        <v>4617</v>
      </c>
      <c r="M114" s="535">
        <v>4.9800000000000004</v>
      </c>
      <c r="N114" s="564">
        <v>2</v>
      </c>
    </row>
    <row r="115" spans="1:14" ht="18.75">
      <c r="A115" s="534">
        <v>2</v>
      </c>
      <c r="B115" s="535">
        <v>8</v>
      </c>
      <c r="C115" s="535">
        <f>B21*B22*Tableau210[[#This Row],[Scenario_ha]]</f>
        <v>16000</v>
      </c>
      <c r="D115" s="535">
        <f>Tableau210[[#This Row],[Usable_fresh_kg]]*0.1</f>
        <v>1600</v>
      </c>
      <c r="E115" s="535">
        <f>Tableau210[[#This Row],[Dried_kg]]*B25</f>
        <v>48000</v>
      </c>
      <c r="F115" s="535">
        <v>3</v>
      </c>
      <c r="G115" s="535">
        <f>Tableau210[[#This Row],[Unit_cost_€_per_kg]]*Tableau210[[#This Row],[Dried_kg]]</f>
        <v>4800</v>
      </c>
      <c r="H115" s="535">
        <v>16</v>
      </c>
      <c r="I115" s="535">
        <v>137</v>
      </c>
      <c r="J115" s="535">
        <v>46</v>
      </c>
      <c r="K115" s="535">
        <f>Tableau210[[#This Row],[Yearly_dried_mango_cost_€]]+Tableau210[[#This Row],[Export_price_€]]</f>
        <v>52800</v>
      </c>
      <c r="L115" s="535">
        <f>Tableau210[[#This Row],[Yearly_dried_mango_cost_€]]-Tableau210[[#This Row],[Energy_cost_€]]-Tableau210[[#This Row],[Maintenance_€]]</f>
        <v>4617</v>
      </c>
      <c r="M115" s="535">
        <v>5.04</v>
      </c>
      <c r="N115" s="564">
        <v>2</v>
      </c>
    </row>
    <row r="116" spans="1:14" ht="18.75">
      <c r="A116" s="534">
        <v>2</v>
      </c>
      <c r="B116" s="535">
        <v>9</v>
      </c>
      <c r="C116" s="535">
        <f>B21*B22*Tableau210[[#This Row],[Scenario_ha]]</f>
        <v>16000</v>
      </c>
      <c r="D116" s="535">
        <f>Tableau210[[#This Row],[Usable_fresh_kg]]*0.1</f>
        <v>1600</v>
      </c>
      <c r="E116" s="535">
        <f>Tableau210[[#This Row],[Dried_kg]]*B25</f>
        <v>48000</v>
      </c>
      <c r="F116" s="535">
        <v>3</v>
      </c>
      <c r="G116" s="535">
        <f>Tableau210[[#This Row],[Unit_cost_€_per_kg]]*Tableau210[[#This Row],[Dried_kg]]</f>
        <v>4800</v>
      </c>
      <c r="H116" s="535">
        <v>16</v>
      </c>
      <c r="I116" s="535">
        <v>137</v>
      </c>
      <c r="J116" s="535">
        <v>46</v>
      </c>
      <c r="K116" s="535">
        <f>Tableau210[[#This Row],[Yearly_dried_mango_cost_€]]+Tableau210[[#This Row],[Export_price_€]]</f>
        <v>52800</v>
      </c>
      <c r="L116" s="535">
        <f>Tableau210[[#This Row],[Yearly_dried_mango_cost_€]]-Tableau210[[#This Row],[Energy_cost_€]]-Tableau210[[#This Row],[Maintenance_€]]</f>
        <v>4617</v>
      </c>
      <c r="M116" s="535">
        <v>5.0999999999999996</v>
      </c>
      <c r="N116" s="564">
        <v>2</v>
      </c>
    </row>
    <row r="117" spans="1:14" ht="18.75">
      <c r="A117" s="537">
        <v>2</v>
      </c>
      <c r="B117" s="538">
        <v>10</v>
      </c>
      <c r="C117" s="535">
        <f>B21*B22*Tableau210[[#This Row],[Scenario_ha]]</f>
        <v>16000</v>
      </c>
      <c r="D117" s="535">
        <f>Tableau210[[#This Row],[Usable_fresh_kg]]*0.1</f>
        <v>1600</v>
      </c>
      <c r="E117" s="535">
        <f>Tableau210[[#This Row],[Dried_kg]]*B25</f>
        <v>48000</v>
      </c>
      <c r="F117" s="535">
        <v>3</v>
      </c>
      <c r="G117" s="535">
        <f>Tableau210[[#This Row],[Unit_cost_€_per_kg]]*Tableau210[[#This Row],[Dried_kg]]</f>
        <v>4800</v>
      </c>
      <c r="H117" s="538">
        <v>16</v>
      </c>
      <c r="I117" s="535">
        <v>137</v>
      </c>
      <c r="J117" s="535">
        <v>46</v>
      </c>
      <c r="K117" s="565">
        <f>Tableau210[[#This Row],[Yearly_dried_mango_cost_€]]+Tableau210[[#This Row],[Export_price_€]]</f>
        <v>52800</v>
      </c>
      <c r="L117" s="535">
        <f>Tableau210[[#This Row],[Yearly_dried_mango_cost_€]]-Tableau210[[#This Row],[Energy_cost_€]]-Tableau210[[#This Row],[Maintenance_€]]</f>
        <v>4617</v>
      </c>
      <c r="M117" s="538">
        <v>5.17</v>
      </c>
      <c r="N117" s="564">
        <v>2</v>
      </c>
    </row>
    <row r="118" spans="1:14">
      <c r="A118" s="19"/>
      <c r="B118" s="19"/>
      <c r="C118" s="19"/>
      <c r="D118" s="19"/>
      <c r="E118" s="19"/>
      <c r="F118" s="19"/>
      <c r="G118" s="19"/>
      <c r="H118" s="19"/>
      <c r="I118" s="19"/>
      <c r="J118" s="19"/>
      <c r="K118" s="19"/>
      <c r="L118" s="19"/>
      <c r="M118" s="19"/>
      <c r="N118" s="19"/>
    </row>
    <row r="119" spans="1:14">
      <c r="A119" s="19"/>
      <c r="B119" s="19"/>
      <c r="C119" s="19"/>
      <c r="D119" s="19"/>
      <c r="E119" s="19"/>
      <c r="F119" s="19"/>
      <c r="G119" s="19"/>
      <c r="H119" s="19"/>
      <c r="I119" s="19"/>
      <c r="J119" s="19"/>
      <c r="K119" s="19"/>
      <c r="L119" s="19"/>
      <c r="M119" s="19"/>
      <c r="N119" s="19"/>
    </row>
    <row r="120" spans="1:14">
      <c r="A120" s="19"/>
      <c r="B120" s="19"/>
      <c r="C120" s="19"/>
      <c r="D120" s="19"/>
      <c r="E120" s="19"/>
      <c r="F120" s="19"/>
      <c r="G120" s="19"/>
      <c r="H120" s="19"/>
      <c r="I120" s="19"/>
      <c r="J120" s="19"/>
      <c r="K120" s="19"/>
      <c r="L120" s="19"/>
      <c r="M120" s="19"/>
      <c r="N120" s="19"/>
    </row>
    <row r="121" spans="1:14">
      <c r="A121" s="19"/>
      <c r="B121" s="19"/>
      <c r="C121" s="19"/>
      <c r="D121" s="19"/>
      <c r="E121" s="19"/>
      <c r="F121" s="19"/>
      <c r="G121" s="19"/>
      <c r="H121" s="19"/>
      <c r="I121" s="19"/>
      <c r="J121" s="19"/>
      <c r="K121" s="19"/>
      <c r="L121" s="19"/>
      <c r="M121" s="19"/>
      <c r="N121" s="19"/>
    </row>
    <row r="122" spans="1:14">
      <c r="A122" s="19"/>
      <c r="B122" s="19"/>
      <c r="C122" s="19"/>
      <c r="D122" s="19"/>
      <c r="E122" s="19"/>
      <c r="F122" s="19"/>
      <c r="G122" s="19"/>
      <c r="H122" s="19"/>
      <c r="I122" s="19"/>
      <c r="J122" s="19"/>
      <c r="K122" s="19"/>
      <c r="L122" s="19"/>
      <c r="M122" s="19"/>
      <c r="N122" s="19"/>
    </row>
    <row r="123" spans="1:14">
      <c r="A123" s="19"/>
      <c r="B123" s="19"/>
      <c r="C123" s="19"/>
      <c r="D123" s="19"/>
      <c r="E123" s="19"/>
      <c r="F123" s="19"/>
      <c r="G123" s="19"/>
      <c r="H123" s="19"/>
      <c r="I123" s="19"/>
      <c r="J123" s="19"/>
      <c r="K123" s="19"/>
      <c r="L123" s="19"/>
      <c r="M123" s="19"/>
      <c r="N123" s="19"/>
    </row>
    <row r="124" spans="1:14" ht="30">
      <c r="A124" s="791" t="s">
        <v>234</v>
      </c>
      <c r="B124" s="791"/>
      <c r="C124" s="791"/>
      <c r="D124" s="19"/>
      <c r="E124" s="19"/>
      <c r="F124" s="19"/>
      <c r="G124" s="19"/>
      <c r="H124" s="19"/>
      <c r="I124" s="19"/>
      <c r="J124" s="19"/>
      <c r="K124" s="19"/>
      <c r="L124" s="19"/>
      <c r="M124" s="19"/>
      <c r="N124" s="19"/>
    </row>
    <row r="125" spans="1:14" ht="18.75">
      <c r="A125" s="341" t="s">
        <v>363</v>
      </c>
      <c r="B125" s="341" t="s">
        <v>973</v>
      </c>
      <c r="C125" s="341" t="s">
        <v>449</v>
      </c>
      <c r="D125" s="19"/>
      <c r="E125" s="19"/>
      <c r="F125" s="19"/>
      <c r="G125" s="19"/>
      <c r="H125" s="19"/>
      <c r="I125" s="19"/>
      <c r="J125" s="19"/>
      <c r="K125" s="19"/>
      <c r="L125" s="19"/>
      <c r="M125" s="19"/>
      <c r="N125" s="19"/>
    </row>
    <row r="126" spans="1:14" ht="93">
      <c r="A126" s="566" t="s">
        <v>974</v>
      </c>
      <c r="B126" s="567" t="s">
        <v>975</v>
      </c>
      <c r="C126" s="568" t="s">
        <v>976</v>
      </c>
      <c r="D126" s="19"/>
      <c r="E126" s="19"/>
      <c r="F126" s="19"/>
      <c r="G126" s="19"/>
      <c r="H126" s="19"/>
      <c r="I126" s="19"/>
      <c r="J126" s="19"/>
      <c r="K126" s="19"/>
      <c r="L126" s="19"/>
      <c r="M126" s="19"/>
      <c r="N126" s="19"/>
    </row>
    <row r="127" spans="1:14" ht="54.75">
      <c r="A127" s="569" t="s">
        <v>269</v>
      </c>
      <c r="B127" s="570" t="s">
        <v>977</v>
      </c>
      <c r="C127" s="568" t="s">
        <v>978</v>
      </c>
      <c r="D127" s="19"/>
      <c r="E127" s="19"/>
      <c r="F127" s="19"/>
      <c r="G127" s="19"/>
      <c r="H127" s="19"/>
      <c r="I127" s="19"/>
      <c r="J127" s="19"/>
      <c r="K127" s="19"/>
      <c r="L127" s="19"/>
      <c r="M127" s="19"/>
      <c r="N127" s="19"/>
    </row>
    <row r="128" spans="1:14" ht="54.75">
      <c r="A128" s="569" t="s">
        <v>979</v>
      </c>
      <c r="B128" s="570" t="s">
        <v>980</v>
      </c>
      <c r="C128" s="568" t="s">
        <v>981</v>
      </c>
      <c r="D128" s="19"/>
      <c r="E128" s="19"/>
      <c r="F128" s="19"/>
      <c r="G128" s="19"/>
      <c r="H128" s="19"/>
      <c r="I128" s="19"/>
      <c r="J128" s="19"/>
      <c r="K128" s="19"/>
      <c r="L128" s="19"/>
      <c r="M128" s="19"/>
      <c r="N128" s="19"/>
    </row>
    <row r="129" spans="1:14" ht="54.75">
      <c r="A129" s="569" t="s">
        <v>982</v>
      </c>
      <c r="B129" s="570" t="s">
        <v>980</v>
      </c>
      <c r="C129" s="568" t="s">
        <v>983</v>
      </c>
      <c r="D129" s="19"/>
      <c r="E129" s="19"/>
      <c r="F129" s="19"/>
      <c r="G129" s="19"/>
      <c r="H129" s="19"/>
      <c r="I129" s="19"/>
      <c r="J129" s="19"/>
      <c r="K129" s="19"/>
      <c r="L129" s="19"/>
      <c r="M129" s="19"/>
      <c r="N129" s="19"/>
    </row>
    <row r="130" spans="1:14" ht="62.25">
      <c r="A130" s="566" t="s">
        <v>984</v>
      </c>
      <c r="B130" s="570" t="s">
        <v>985</v>
      </c>
      <c r="C130" s="527" t="s">
        <v>986</v>
      </c>
      <c r="D130" s="19"/>
      <c r="E130" s="19"/>
      <c r="F130" s="19"/>
      <c r="G130" s="19"/>
      <c r="H130" s="19"/>
      <c r="I130" s="19"/>
      <c r="J130" s="19"/>
      <c r="K130" s="19"/>
      <c r="L130" s="19"/>
      <c r="M130" s="19"/>
      <c r="N130" s="19"/>
    </row>
  </sheetData>
  <mergeCells count="17">
    <mergeCell ref="A124:C124"/>
    <mergeCell ref="Q17:AD19"/>
    <mergeCell ref="A36:G36"/>
    <mergeCell ref="A90:N90"/>
    <mergeCell ref="A80:N80"/>
    <mergeCell ref="E58:E73"/>
    <mergeCell ref="A54:D55"/>
    <mergeCell ref="A60:A64"/>
    <mergeCell ref="A58:A59"/>
    <mergeCell ref="A65:A69"/>
    <mergeCell ref="A70:A73"/>
    <mergeCell ref="A7:F7"/>
    <mergeCell ref="A8:B8"/>
    <mergeCell ref="C8:D8"/>
    <mergeCell ref="E8:F8"/>
    <mergeCell ref="A104:N104"/>
    <mergeCell ref="A19:C19"/>
  </mergeCells>
  <hyperlinks>
    <hyperlink ref="A126" r:id="rId1" location="read" xr:uid="{4C3A85FC-93BE-43FB-9A86-82647DF2E6D4}"/>
    <hyperlink ref="A127" r:id="rId2" xr:uid="{00CAA692-021B-46D2-B1AE-FD42669BC129}"/>
    <hyperlink ref="A128" r:id="rId3" xr:uid="{5E2FE945-C591-4C94-ADF8-0D297757E36D}"/>
    <hyperlink ref="A129" r:id="rId4" xr:uid="{1F0BF2A2-E731-42EF-B073-8DB6CC8CD990}"/>
    <hyperlink ref="A130" r:id="rId5" xr:uid="{DE3E04EB-6B87-452E-9CC0-C774770495AA}"/>
  </hyperlinks>
  <pageMargins left="0.7" right="0.7" top="0.75" bottom="0.75" header="0.3" footer="0.3"/>
  <legacyDrawing r:id="rId6"/>
  <tableParts count="5">
    <tablePart r:id="rId7"/>
    <tablePart r:id="rId8"/>
    <tablePart r:id="rId9"/>
    <tablePart r:id="rId10"/>
    <tablePart r:id="rId1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5F9DD-CC96-4F39-ACC3-FD9DE8D7D975}">
  <dimension ref="B1:R75"/>
  <sheetViews>
    <sheetView topLeftCell="A32" workbookViewId="0">
      <selection activeCell="D53" sqref="D53"/>
    </sheetView>
  </sheetViews>
  <sheetFormatPr defaultRowHeight="15.75"/>
  <cols>
    <col min="1" max="1" width="9.140625" style="382"/>
    <col min="2" max="2" width="34.28515625" style="382" customWidth="1"/>
    <col min="3" max="3" width="30.28515625" style="382" customWidth="1"/>
    <col min="4" max="4" width="40.28515625" style="382" customWidth="1"/>
    <col min="5" max="5" width="26.7109375" style="382" bestFit="1" customWidth="1"/>
    <col min="6" max="6" width="28.140625" style="382" customWidth="1"/>
    <col min="7" max="7" width="37.7109375" style="382" bestFit="1" customWidth="1"/>
    <col min="8" max="8" width="39" style="382" customWidth="1"/>
    <col min="9" max="9" width="32.7109375" style="382" bestFit="1" customWidth="1"/>
    <col min="10" max="10" width="20.42578125" style="382" customWidth="1"/>
    <col min="11" max="11" width="16.28515625" style="382" customWidth="1"/>
    <col min="12" max="12" width="31.7109375" style="382" customWidth="1"/>
    <col min="13" max="13" width="20" style="382" bestFit="1" customWidth="1"/>
    <col min="14" max="15" width="9.140625" style="382"/>
    <col min="16" max="16" width="30.85546875" style="382" bestFit="1" customWidth="1"/>
    <col min="17" max="16384" width="9.140625" style="382"/>
  </cols>
  <sheetData>
    <row r="1" spans="2:18">
      <c r="C1" s="383"/>
      <c r="G1" s="383"/>
      <c r="K1" s="383"/>
    </row>
    <row r="2" spans="2:18" ht="30.75" customHeight="1">
      <c r="B2" s="807" t="s">
        <v>987</v>
      </c>
      <c r="C2" s="808"/>
      <c r="D2" s="386"/>
      <c r="E2" s="809" t="s">
        <v>988</v>
      </c>
      <c r="F2" s="810"/>
      <c r="G2" s="811"/>
      <c r="H2" s="386"/>
      <c r="I2" s="814" t="s">
        <v>989</v>
      </c>
      <c r="J2" s="815"/>
      <c r="K2" s="815"/>
      <c r="L2" s="815"/>
      <c r="M2" s="816"/>
    </row>
    <row r="3" spans="2:18">
      <c r="B3" s="440" t="s">
        <v>289</v>
      </c>
      <c r="C3" s="440" t="s">
        <v>290</v>
      </c>
      <c r="E3" s="439" t="s">
        <v>291</v>
      </c>
      <c r="F3" s="439" t="s">
        <v>281</v>
      </c>
      <c r="G3" s="439" t="s">
        <v>362</v>
      </c>
      <c r="I3" s="437" t="s">
        <v>990</v>
      </c>
      <c r="J3" s="437" t="s">
        <v>991</v>
      </c>
      <c r="K3" s="437" t="s">
        <v>992</v>
      </c>
      <c r="L3" s="437" t="s">
        <v>255</v>
      </c>
      <c r="M3" s="437" t="s">
        <v>993</v>
      </c>
      <c r="N3" s="388"/>
      <c r="O3" s="388"/>
      <c r="P3" s="388"/>
      <c r="Q3" s="388"/>
      <c r="R3" s="389"/>
    </row>
    <row r="4" spans="2:18">
      <c r="B4" s="390" t="s">
        <v>306</v>
      </c>
      <c r="C4" s="390" t="s">
        <v>994</v>
      </c>
      <c r="E4" s="387" t="s">
        <v>995</v>
      </c>
      <c r="F4" s="430" t="s">
        <v>996</v>
      </c>
      <c r="G4" s="387" t="s">
        <v>997</v>
      </c>
      <c r="I4" s="385" t="s">
        <v>998</v>
      </c>
      <c r="J4" s="387">
        <v>6</v>
      </c>
      <c r="K4" s="387">
        <v>15</v>
      </c>
      <c r="L4" s="387">
        <v>0</v>
      </c>
      <c r="M4" s="385">
        <v>21</v>
      </c>
      <c r="N4" s="388"/>
      <c r="O4" s="388"/>
      <c r="P4" s="388"/>
      <c r="Q4" s="388"/>
      <c r="R4" s="389"/>
    </row>
    <row r="5" spans="2:18" ht="30.75">
      <c r="B5" s="390" t="s">
        <v>999</v>
      </c>
      <c r="C5" s="390" t="s">
        <v>1000</v>
      </c>
      <c r="E5" s="387" t="s">
        <v>1001</v>
      </c>
      <c r="F5" s="430" t="s">
        <v>1002</v>
      </c>
      <c r="G5" s="387" t="s">
        <v>1003</v>
      </c>
      <c r="I5" s="385" t="s">
        <v>1004</v>
      </c>
      <c r="J5" s="387">
        <v>6</v>
      </c>
      <c r="K5" s="387">
        <v>15</v>
      </c>
      <c r="L5" s="387">
        <v>150</v>
      </c>
      <c r="M5" s="385">
        <v>171</v>
      </c>
      <c r="N5" s="388"/>
      <c r="O5" s="388"/>
      <c r="P5" s="388"/>
      <c r="Q5" s="388"/>
      <c r="R5" s="389"/>
    </row>
    <row r="6" spans="2:18" ht="30.75">
      <c r="B6" s="390" t="s">
        <v>1005</v>
      </c>
      <c r="C6" s="390" t="s">
        <v>1006</v>
      </c>
      <c r="E6" s="387" t="s">
        <v>1007</v>
      </c>
      <c r="F6" s="430" t="s">
        <v>1008</v>
      </c>
      <c r="G6" s="387" t="s">
        <v>1009</v>
      </c>
      <c r="I6" s="385" t="s">
        <v>1010</v>
      </c>
      <c r="J6" s="387">
        <v>6</v>
      </c>
      <c r="K6" s="387">
        <v>15</v>
      </c>
      <c r="L6" s="387">
        <v>600</v>
      </c>
      <c r="M6" s="385">
        <v>621</v>
      </c>
      <c r="N6" s="388"/>
      <c r="O6" s="388"/>
      <c r="P6" s="388"/>
      <c r="Q6" s="388"/>
      <c r="R6" s="389"/>
    </row>
    <row r="7" spans="2:18" ht="30.75">
      <c r="B7" s="390" t="s">
        <v>346</v>
      </c>
      <c r="C7" s="390" t="s">
        <v>1011</v>
      </c>
      <c r="E7" s="387" t="s">
        <v>1012</v>
      </c>
      <c r="F7" s="430" t="s">
        <v>1013</v>
      </c>
      <c r="G7" s="387" t="s">
        <v>1014</v>
      </c>
      <c r="I7" s="385" t="s">
        <v>1015</v>
      </c>
      <c r="J7" s="387">
        <v>6</v>
      </c>
      <c r="K7" s="387">
        <v>15</v>
      </c>
      <c r="L7" s="391">
        <v>3000</v>
      </c>
      <c r="M7" s="392">
        <v>3021</v>
      </c>
      <c r="N7" s="388"/>
      <c r="O7" s="388"/>
      <c r="P7" s="388"/>
      <c r="Q7" s="388"/>
      <c r="R7" s="389"/>
    </row>
    <row r="8" spans="2:18" ht="30.75">
      <c r="B8" s="390" t="s">
        <v>354</v>
      </c>
      <c r="C8" s="390" t="s">
        <v>1016</v>
      </c>
      <c r="F8" s="393"/>
      <c r="G8" s="394"/>
      <c r="I8" s="395"/>
      <c r="J8" s="395"/>
      <c r="K8" s="389"/>
      <c r="L8" s="47"/>
      <c r="M8" s="389"/>
      <c r="N8" s="388"/>
      <c r="O8" s="388"/>
      <c r="P8" s="388"/>
      <c r="Q8" s="388"/>
      <c r="R8" s="389"/>
    </row>
    <row r="9" spans="2:18" ht="45.75" customHeight="1">
      <c r="B9" s="390" t="s">
        <v>368</v>
      </c>
      <c r="C9" s="390" t="s">
        <v>1017</v>
      </c>
      <c r="E9" s="812" t="s">
        <v>1018</v>
      </c>
      <c r="F9" s="813"/>
      <c r="K9" s="389"/>
      <c r="L9" s="47"/>
    </row>
    <row r="10" spans="2:18" ht="45.75">
      <c r="B10" s="390" t="s">
        <v>383</v>
      </c>
      <c r="C10" s="390" t="s">
        <v>1019</v>
      </c>
      <c r="E10" s="438" t="s">
        <v>291</v>
      </c>
      <c r="F10" s="438" t="s">
        <v>281</v>
      </c>
      <c r="K10" s="389"/>
      <c r="L10" s="47"/>
      <c r="M10" s="389"/>
      <c r="N10" s="388"/>
      <c r="O10" s="388"/>
      <c r="P10" s="388"/>
      <c r="Q10" s="388"/>
      <c r="R10" s="389"/>
    </row>
    <row r="11" spans="2:18" ht="30.75">
      <c r="B11" s="390" t="s">
        <v>393</v>
      </c>
      <c r="C11" s="390" t="s">
        <v>1020</v>
      </c>
      <c r="D11" s="396"/>
      <c r="E11" s="387" t="s">
        <v>1021</v>
      </c>
      <c r="F11" s="431" t="s">
        <v>1022</v>
      </c>
      <c r="G11" s="388"/>
      <c r="H11" s="395"/>
      <c r="K11" s="389"/>
      <c r="L11" s="397"/>
      <c r="M11" s="389"/>
      <c r="N11" s="388"/>
      <c r="O11" s="388"/>
      <c r="P11" s="388"/>
      <c r="Q11" s="388"/>
      <c r="R11" s="389"/>
    </row>
    <row r="12" spans="2:18" ht="30.75">
      <c r="B12" s="390" t="s">
        <v>1023</v>
      </c>
      <c r="C12" s="390" t="s">
        <v>1024</v>
      </c>
      <c r="D12" s="398"/>
      <c r="E12" s="387" t="s">
        <v>1025</v>
      </c>
      <c r="F12" s="431" t="s">
        <v>1004</v>
      </c>
      <c r="G12" s="388"/>
      <c r="H12" s="388"/>
      <c r="I12" s="388"/>
      <c r="J12" s="388"/>
      <c r="K12" s="389"/>
      <c r="L12" s="47"/>
      <c r="M12" s="389"/>
      <c r="N12" s="388"/>
      <c r="O12" s="388"/>
      <c r="P12" s="388"/>
      <c r="Q12" s="388"/>
      <c r="R12" s="389"/>
    </row>
    <row r="13" spans="2:18" ht="30.75">
      <c r="B13" s="390" t="s">
        <v>1026</v>
      </c>
      <c r="C13" s="390" t="s">
        <v>1027</v>
      </c>
      <c r="D13" s="398"/>
      <c r="E13" s="387" t="s">
        <v>1028</v>
      </c>
      <c r="F13" s="431" t="s">
        <v>1010</v>
      </c>
      <c r="G13" s="388"/>
      <c r="H13" s="388"/>
    </row>
    <row r="14" spans="2:18" ht="30.75">
      <c r="B14" s="390" t="s">
        <v>1029</v>
      </c>
      <c r="C14" s="390" t="s">
        <v>1030</v>
      </c>
      <c r="D14" s="386"/>
      <c r="E14" s="387" t="s">
        <v>1031</v>
      </c>
      <c r="F14" s="431" t="s">
        <v>1015</v>
      </c>
      <c r="G14" s="386"/>
      <c r="H14" s="386"/>
      <c r="O14" s="388"/>
      <c r="P14" s="388"/>
      <c r="Q14" s="388"/>
      <c r="R14" s="389"/>
    </row>
    <row r="15" spans="2:18">
      <c r="B15" s="393"/>
      <c r="F15" s="399"/>
      <c r="H15" s="394"/>
      <c r="O15" s="388"/>
      <c r="P15" s="388"/>
      <c r="Q15" s="388"/>
      <c r="R15" s="389"/>
    </row>
    <row r="16" spans="2:18" ht="30.75" customHeight="1">
      <c r="B16" s="817" t="s">
        <v>1032</v>
      </c>
      <c r="C16" s="817"/>
      <c r="D16" s="817"/>
      <c r="F16" s="818" t="s">
        <v>1033</v>
      </c>
      <c r="G16" s="818"/>
      <c r="H16" s="394"/>
      <c r="O16" s="388"/>
      <c r="P16" s="388"/>
      <c r="Q16" s="388"/>
      <c r="R16" s="389"/>
    </row>
    <row r="17" spans="2:18">
      <c r="B17" s="440" t="s">
        <v>291</v>
      </c>
      <c r="C17" s="439" t="s">
        <v>281</v>
      </c>
      <c r="D17" s="439" t="s">
        <v>456</v>
      </c>
      <c r="E17" s="383"/>
      <c r="F17" s="439" t="s">
        <v>291</v>
      </c>
      <c r="G17" s="439" t="s">
        <v>281</v>
      </c>
      <c r="O17" s="388"/>
      <c r="P17" s="388"/>
      <c r="Q17" s="388"/>
      <c r="R17" s="389"/>
    </row>
    <row r="18" spans="2:18">
      <c r="B18" s="390" t="s">
        <v>1034</v>
      </c>
      <c r="C18" s="430" t="s">
        <v>1035</v>
      </c>
      <c r="D18" s="387"/>
      <c r="F18" s="387" t="s">
        <v>1036</v>
      </c>
      <c r="G18" s="430" t="s">
        <v>1037</v>
      </c>
    </row>
    <row r="19" spans="2:18">
      <c r="B19" s="390" t="s">
        <v>1038</v>
      </c>
      <c r="C19" s="436">
        <v>0.2</v>
      </c>
      <c r="D19" s="387"/>
      <c r="F19" s="387" t="s">
        <v>1023</v>
      </c>
      <c r="G19" s="436">
        <v>0.8</v>
      </c>
      <c r="H19" s="386"/>
      <c r="I19" s="386"/>
      <c r="J19" s="393"/>
      <c r="K19" s="389"/>
      <c r="L19" s="397"/>
    </row>
    <row r="20" spans="2:18">
      <c r="B20" s="390" t="s">
        <v>1039</v>
      </c>
      <c r="C20" s="430" t="s">
        <v>1040</v>
      </c>
      <c r="D20" s="387"/>
      <c r="F20" s="387" t="s">
        <v>1041</v>
      </c>
      <c r="G20" s="436">
        <v>0.9</v>
      </c>
      <c r="L20" s="47"/>
    </row>
    <row r="21" spans="2:18">
      <c r="B21" s="390" t="s">
        <v>1042</v>
      </c>
      <c r="C21" s="436">
        <v>0.25</v>
      </c>
      <c r="D21" s="387"/>
      <c r="F21" s="387" t="s">
        <v>1043</v>
      </c>
      <c r="G21" s="430" t="s">
        <v>1044</v>
      </c>
      <c r="H21" s="388"/>
      <c r="I21" s="388"/>
      <c r="J21" s="388"/>
      <c r="K21" s="389"/>
      <c r="L21" s="47"/>
    </row>
    <row r="22" spans="2:18">
      <c r="B22" s="390" t="s">
        <v>1045</v>
      </c>
      <c r="C22" s="430">
        <v>0.75</v>
      </c>
      <c r="D22" s="387"/>
      <c r="F22" s="389"/>
      <c r="G22" s="388"/>
      <c r="H22" s="388"/>
      <c r="I22" s="388"/>
      <c r="J22" s="388"/>
      <c r="K22" s="389"/>
      <c r="L22" s="47"/>
    </row>
    <row r="23" spans="2:18">
      <c r="B23" s="390" t="s">
        <v>1046</v>
      </c>
      <c r="C23" s="430" t="s">
        <v>1047</v>
      </c>
      <c r="D23" s="387" t="s">
        <v>1048</v>
      </c>
      <c r="E23" s="386"/>
      <c r="F23" s="400"/>
      <c r="G23" s="388"/>
      <c r="H23" s="386"/>
      <c r="I23" s="386"/>
      <c r="J23" s="386"/>
      <c r="K23" s="386"/>
      <c r="L23" s="397"/>
    </row>
    <row r="24" spans="2:18">
      <c r="C24" s="393"/>
      <c r="F24" s="400"/>
      <c r="G24" s="388"/>
      <c r="K24" s="401"/>
      <c r="L24" s="47"/>
    </row>
    <row r="25" spans="2:18">
      <c r="B25" s="806" t="s">
        <v>1049</v>
      </c>
      <c r="C25" s="806"/>
      <c r="D25" s="806"/>
      <c r="E25" s="806"/>
      <c r="F25" s="806"/>
      <c r="G25" s="806"/>
      <c r="H25" s="806"/>
      <c r="I25" s="806"/>
      <c r="J25" s="806"/>
      <c r="K25" s="401"/>
      <c r="L25" s="47"/>
    </row>
    <row r="26" spans="2:18">
      <c r="B26" s="439" t="s">
        <v>188</v>
      </c>
      <c r="C26" s="439" t="s">
        <v>281</v>
      </c>
      <c r="D26" s="441"/>
      <c r="E26" s="439" t="s">
        <v>990</v>
      </c>
      <c r="F26" s="439" t="s">
        <v>296</v>
      </c>
      <c r="G26" s="440" t="s">
        <v>1050</v>
      </c>
      <c r="H26" s="439" t="s">
        <v>1051</v>
      </c>
      <c r="I26" s="439" t="s">
        <v>1052</v>
      </c>
      <c r="J26" s="439" t="s">
        <v>1053</v>
      </c>
      <c r="K26" s="401"/>
      <c r="L26" s="47"/>
    </row>
    <row r="27" spans="2:18">
      <c r="B27" s="387" t="s">
        <v>1054</v>
      </c>
      <c r="C27" s="387" t="s">
        <v>1055</v>
      </c>
      <c r="E27" s="385" t="s">
        <v>998</v>
      </c>
      <c r="F27" s="387">
        <v>21</v>
      </c>
      <c r="G27" s="390">
        <v>4.24</v>
      </c>
      <c r="H27" s="387">
        <v>11</v>
      </c>
      <c r="I27" s="387">
        <v>36</v>
      </c>
      <c r="J27" s="387">
        <v>4.0000000000000001E-3</v>
      </c>
      <c r="K27" s="401"/>
      <c r="L27" s="47"/>
    </row>
    <row r="28" spans="2:18">
      <c r="C28" s="393"/>
      <c r="E28" s="385" t="s">
        <v>1004</v>
      </c>
      <c r="F28" s="387">
        <v>171</v>
      </c>
      <c r="G28" s="390">
        <v>34.549999999999997</v>
      </c>
      <c r="H28" s="387">
        <v>87</v>
      </c>
      <c r="I28" s="387">
        <v>294</v>
      </c>
      <c r="J28" s="387">
        <v>2.9000000000000001E-2</v>
      </c>
      <c r="K28" s="401"/>
      <c r="L28" s="47"/>
    </row>
    <row r="29" spans="2:18">
      <c r="C29" s="393"/>
      <c r="E29" s="385" t="s">
        <v>1010</v>
      </c>
      <c r="F29" s="387">
        <v>621</v>
      </c>
      <c r="G29" s="390">
        <v>125.45</v>
      </c>
      <c r="H29" s="387">
        <v>314</v>
      </c>
      <c r="I29" s="391">
        <v>1066</v>
      </c>
      <c r="J29" s="387">
        <v>0.107</v>
      </c>
      <c r="K29" s="401"/>
      <c r="L29" s="47"/>
    </row>
    <row r="30" spans="2:18">
      <c r="C30" s="393"/>
      <c r="E30" s="385" t="s">
        <v>1015</v>
      </c>
      <c r="F30" s="391">
        <v>3021</v>
      </c>
      <c r="G30" s="390">
        <v>610.29999999999995</v>
      </c>
      <c r="H30" s="391">
        <v>1526</v>
      </c>
      <c r="I30" s="391">
        <v>5188</v>
      </c>
      <c r="J30" s="387">
        <v>0.51900000000000002</v>
      </c>
      <c r="K30" s="401"/>
      <c r="L30" s="47"/>
    </row>
    <row r="31" spans="2:18">
      <c r="C31" s="393"/>
      <c r="F31" s="400"/>
      <c r="G31" s="388"/>
      <c r="K31" s="401"/>
      <c r="L31" s="47"/>
    </row>
    <row r="32" spans="2:18">
      <c r="C32" s="393"/>
      <c r="F32" s="400"/>
      <c r="G32" s="388"/>
      <c r="K32" s="401"/>
      <c r="L32" s="47"/>
    </row>
    <row r="33" spans="2:11">
      <c r="B33" s="803" t="s">
        <v>1056</v>
      </c>
      <c r="C33" s="803"/>
      <c r="D33" s="803"/>
      <c r="E33" s="803"/>
      <c r="F33" s="803"/>
      <c r="G33" s="803"/>
      <c r="H33" s="803"/>
      <c r="J33" s="402"/>
      <c r="K33" s="402"/>
    </row>
    <row r="34" spans="2:11">
      <c r="B34" s="440" t="s">
        <v>291</v>
      </c>
      <c r="C34" s="440" t="s">
        <v>601</v>
      </c>
      <c r="D34" s="441"/>
      <c r="E34" s="439" t="s">
        <v>990</v>
      </c>
      <c r="F34" s="439" t="s">
        <v>1057</v>
      </c>
      <c r="G34" s="439" t="s">
        <v>1058</v>
      </c>
      <c r="H34" s="439" t="s">
        <v>1059</v>
      </c>
      <c r="J34" s="402"/>
      <c r="K34" s="402"/>
    </row>
    <row r="35" spans="2:11" ht="30" customHeight="1">
      <c r="B35" s="390" t="s">
        <v>1060</v>
      </c>
      <c r="C35" s="384" t="s">
        <v>1061</v>
      </c>
      <c r="D35" s="403"/>
      <c r="E35" s="385" t="s">
        <v>998</v>
      </c>
      <c r="F35" s="387">
        <v>7</v>
      </c>
      <c r="G35" s="387">
        <v>7.78</v>
      </c>
      <c r="H35" s="385">
        <v>9.7200000000000006</v>
      </c>
    </row>
    <row r="36" spans="2:11" ht="31.5" customHeight="1">
      <c r="B36" s="390" t="s">
        <v>1062</v>
      </c>
      <c r="C36" s="384" t="s">
        <v>1063</v>
      </c>
      <c r="D36" s="404"/>
      <c r="E36" s="385" t="s">
        <v>1004</v>
      </c>
      <c r="F36" s="387">
        <v>57</v>
      </c>
      <c r="G36" s="387">
        <v>63.33</v>
      </c>
      <c r="H36" s="385">
        <v>79.17</v>
      </c>
    </row>
    <row r="37" spans="2:11">
      <c r="B37" s="390" t="s">
        <v>1064</v>
      </c>
      <c r="C37" s="384" t="s">
        <v>1065</v>
      </c>
      <c r="D37" s="386"/>
      <c r="E37" s="385" t="s">
        <v>1010</v>
      </c>
      <c r="F37" s="387">
        <v>207</v>
      </c>
      <c r="G37" s="387">
        <v>230</v>
      </c>
      <c r="H37" s="385">
        <v>287.5</v>
      </c>
    </row>
    <row r="38" spans="2:11">
      <c r="D38" s="405"/>
      <c r="E38" s="385" t="s">
        <v>1015</v>
      </c>
      <c r="F38" s="391">
        <v>1007</v>
      </c>
      <c r="G38" s="432">
        <v>1118.8900000000001</v>
      </c>
      <c r="H38" s="435">
        <v>1398.61</v>
      </c>
    </row>
    <row r="39" spans="2:11">
      <c r="D39" s="405"/>
      <c r="E39" s="405"/>
      <c r="G39" s="404"/>
    </row>
    <row r="40" spans="2:11">
      <c r="B40" s="804" t="s">
        <v>1066</v>
      </c>
      <c r="C40" s="804"/>
      <c r="D40" s="804"/>
      <c r="E40" s="804"/>
      <c r="F40" s="804"/>
      <c r="G40" s="804"/>
      <c r="H40" s="804"/>
      <c r="I40" s="804"/>
    </row>
    <row r="41" spans="2:11">
      <c r="B41" s="439" t="s">
        <v>1067</v>
      </c>
      <c r="C41" s="439" t="s">
        <v>1068</v>
      </c>
      <c r="D41" s="442"/>
      <c r="E41" s="439" t="s">
        <v>990</v>
      </c>
      <c r="F41" s="439" t="s">
        <v>1069</v>
      </c>
      <c r="G41" s="439" t="s">
        <v>1070</v>
      </c>
      <c r="H41" s="439" t="s">
        <v>1071</v>
      </c>
      <c r="I41" s="439" t="s">
        <v>1072</v>
      </c>
    </row>
    <row r="42" spans="2:11">
      <c r="B42" s="387" t="s">
        <v>1073</v>
      </c>
      <c r="C42" s="387" t="s">
        <v>1074</v>
      </c>
      <c r="D42" s="404"/>
      <c r="E42" s="385" t="s">
        <v>998</v>
      </c>
      <c r="F42" s="391">
        <v>5088</v>
      </c>
      <c r="G42" s="391">
        <v>3888</v>
      </c>
      <c r="H42" s="391">
        <v>4500</v>
      </c>
      <c r="I42" s="392">
        <v>13476</v>
      </c>
    </row>
    <row r="43" spans="2:11">
      <c r="B43" s="387" t="s">
        <v>1075</v>
      </c>
      <c r="C43" s="387" t="s">
        <v>1076</v>
      </c>
      <c r="D43" s="403"/>
      <c r="E43" s="385" t="s">
        <v>1004</v>
      </c>
      <c r="F43" s="391">
        <v>41460</v>
      </c>
      <c r="G43" s="391">
        <v>31668</v>
      </c>
      <c r="H43" s="391">
        <v>30000</v>
      </c>
      <c r="I43" s="392">
        <v>103128</v>
      </c>
    </row>
    <row r="44" spans="2:11">
      <c r="B44" s="387" t="s">
        <v>1077</v>
      </c>
      <c r="C44" s="387" t="s">
        <v>1078</v>
      </c>
      <c r="D44" s="404"/>
      <c r="E44" s="385" t="s">
        <v>1010</v>
      </c>
      <c r="F44" s="391">
        <v>150540</v>
      </c>
      <c r="G44" s="391">
        <v>115000</v>
      </c>
      <c r="H44" s="391">
        <v>110000</v>
      </c>
      <c r="I44" s="392">
        <v>375540</v>
      </c>
    </row>
    <row r="45" spans="2:11">
      <c r="B45" s="404"/>
      <c r="C45" s="406"/>
      <c r="D45" s="404"/>
      <c r="E45" s="385" t="s">
        <v>1015</v>
      </c>
      <c r="F45" s="391">
        <v>732360</v>
      </c>
      <c r="G45" s="391">
        <v>559444</v>
      </c>
      <c r="H45" s="391">
        <v>540000</v>
      </c>
      <c r="I45" s="392">
        <v>1831804</v>
      </c>
    </row>
    <row r="46" spans="2:11">
      <c r="B46" s="407"/>
      <c r="C46" s="408"/>
      <c r="D46" s="409"/>
      <c r="E46" s="409"/>
      <c r="F46" s="409"/>
      <c r="G46" s="409"/>
    </row>
    <row r="47" spans="2:11">
      <c r="B47" s="409"/>
      <c r="C47" s="410"/>
      <c r="D47" s="409"/>
      <c r="E47" s="411"/>
      <c r="F47" s="411"/>
      <c r="G47" s="409"/>
    </row>
    <row r="48" spans="2:11">
      <c r="B48" s="805" t="s">
        <v>1079</v>
      </c>
      <c r="C48" s="805"/>
      <c r="D48" s="805"/>
      <c r="E48" s="805"/>
      <c r="F48" s="805"/>
      <c r="G48" s="805"/>
      <c r="H48" s="805"/>
      <c r="I48" s="805"/>
      <c r="J48" s="805"/>
    </row>
    <row r="49" spans="2:10">
      <c r="B49" s="439" t="s">
        <v>291</v>
      </c>
      <c r="C49" s="439" t="s">
        <v>281</v>
      </c>
      <c r="D49" s="443"/>
      <c r="E49" s="439" t="s">
        <v>990</v>
      </c>
      <c r="F49" s="439" t="s">
        <v>1080</v>
      </c>
      <c r="G49" s="439" t="s">
        <v>1081</v>
      </c>
      <c r="H49" s="444" t="s">
        <v>1082</v>
      </c>
      <c r="I49" s="439" t="s">
        <v>1083</v>
      </c>
      <c r="J49" s="439" t="s">
        <v>1084</v>
      </c>
    </row>
    <row r="50" spans="2:10">
      <c r="B50" s="387" t="s">
        <v>1085</v>
      </c>
      <c r="C50" s="387" t="s">
        <v>1086</v>
      </c>
      <c r="D50" s="407"/>
      <c r="E50" s="385" t="s">
        <v>998</v>
      </c>
      <c r="F50" s="387">
        <v>8.4</v>
      </c>
      <c r="G50" s="391">
        <v>3066</v>
      </c>
      <c r="H50" s="433">
        <v>270</v>
      </c>
      <c r="I50" s="391">
        <v>2796</v>
      </c>
      <c r="J50" s="385">
        <v>4.82</v>
      </c>
    </row>
    <row r="51" spans="2:10">
      <c r="B51" s="387" t="s">
        <v>1087</v>
      </c>
      <c r="C51" s="387">
        <v>365</v>
      </c>
      <c r="D51" s="407"/>
      <c r="E51" s="385" t="s">
        <v>1004</v>
      </c>
      <c r="F51" s="387">
        <v>68.400000000000006</v>
      </c>
      <c r="G51" s="391">
        <v>24966</v>
      </c>
      <c r="H51" s="434">
        <v>2063</v>
      </c>
      <c r="I51" s="391">
        <v>22903</v>
      </c>
      <c r="J51" s="385">
        <v>4.5</v>
      </c>
    </row>
    <row r="52" spans="2:10">
      <c r="B52" s="387" t="s">
        <v>627</v>
      </c>
      <c r="C52" s="387" t="s">
        <v>1088</v>
      </c>
      <c r="E52" s="385" t="s">
        <v>1010</v>
      </c>
      <c r="F52" s="387">
        <v>248.4</v>
      </c>
      <c r="G52" s="391">
        <v>90666</v>
      </c>
      <c r="H52" s="434">
        <v>7511</v>
      </c>
      <c r="I52" s="391">
        <v>83155</v>
      </c>
      <c r="J52" s="385">
        <v>4.5199999999999996</v>
      </c>
    </row>
    <row r="53" spans="2:10">
      <c r="B53" s="412"/>
      <c r="C53" s="413"/>
      <c r="D53" s="414"/>
      <c r="E53" s="385" t="s">
        <v>1015</v>
      </c>
      <c r="F53" s="432">
        <v>1208.4000000000001</v>
      </c>
      <c r="G53" s="391">
        <v>441066</v>
      </c>
      <c r="H53" s="434">
        <v>36636</v>
      </c>
      <c r="I53" s="391">
        <v>404430</v>
      </c>
      <c r="J53" s="385">
        <v>4.53</v>
      </c>
    </row>
    <row r="54" spans="2:10">
      <c r="B54" s="414"/>
      <c r="C54" s="415"/>
      <c r="D54" s="414"/>
      <c r="E54" s="414"/>
      <c r="F54" s="412"/>
      <c r="G54" s="416"/>
    </row>
    <row r="55" spans="2:10">
      <c r="B55" s="414"/>
      <c r="C55" s="415"/>
      <c r="D55" s="414"/>
      <c r="E55" s="414"/>
      <c r="F55" s="414"/>
      <c r="G55" s="414"/>
    </row>
    <row r="56" spans="2:10">
      <c r="B56" s="414"/>
      <c r="C56" s="415"/>
      <c r="D56" s="414"/>
      <c r="E56" s="412"/>
      <c r="F56" s="412"/>
      <c r="G56" s="414"/>
    </row>
    <row r="57" spans="2:10">
      <c r="B57" s="414"/>
      <c r="C57" s="413"/>
      <c r="D57" s="412"/>
      <c r="E57" s="417"/>
      <c r="F57" s="417"/>
      <c r="G57" s="414"/>
    </row>
    <row r="58" spans="2:10">
      <c r="B58" s="412"/>
      <c r="C58" s="413"/>
      <c r="D58" s="412"/>
      <c r="E58" s="412"/>
      <c r="F58" s="412"/>
      <c r="G58" s="414"/>
    </row>
    <row r="60" spans="2:10">
      <c r="B60" s="418"/>
      <c r="C60" s="419"/>
      <c r="D60" s="420"/>
      <c r="E60" s="420"/>
      <c r="F60" s="420"/>
      <c r="G60" s="420"/>
    </row>
    <row r="61" spans="2:10">
      <c r="B61" s="420"/>
      <c r="C61" s="421"/>
      <c r="D61" s="420"/>
      <c r="E61" s="420"/>
      <c r="F61" s="420"/>
      <c r="G61" s="422"/>
    </row>
    <row r="62" spans="2:10">
      <c r="B62" s="420"/>
      <c r="C62" s="421"/>
      <c r="D62" s="420"/>
      <c r="E62" s="420"/>
      <c r="F62" s="420"/>
      <c r="G62" s="420"/>
    </row>
    <row r="63" spans="2:10">
      <c r="B63" s="420"/>
      <c r="C63" s="421"/>
      <c r="D63" s="420"/>
      <c r="E63" s="423"/>
      <c r="F63" s="423"/>
      <c r="G63" s="420"/>
    </row>
    <row r="64" spans="2:10">
      <c r="B64" s="418"/>
      <c r="C64" s="419"/>
      <c r="D64" s="418"/>
      <c r="E64" s="424"/>
      <c r="F64" s="424"/>
      <c r="G64" s="420"/>
    </row>
    <row r="65" spans="2:8">
      <c r="B65" s="418"/>
      <c r="C65" s="419"/>
      <c r="D65" s="418"/>
      <c r="E65" s="424"/>
      <c r="F65" s="424"/>
      <c r="G65" s="422"/>
    </row>
    <row r="66" spans="2:8">
      <c r="B66" s="418"/>
      <c r="C66" s="419"/>
      <c r="D66" s="418"/>
      <c r="E66" s="424"/>
      <c r="F66" s="424"/>
      <c r="G66" s="420"/>
    </row>
    <row r="67" spans="2:8">
      <c r="B67" s="418"/>
      <c r="C67" s="419"/>
      <c r="D67" s="418"/>
      <c r="E67" s="424"/>
      <c r="F67" s="424"/>
      <c r="G67" s="420"/>
      <c r="H67" s="425"/>
    </row>
    <row r="69" spans="2:8">
      <c r="B69" s="426"/>
      <c r="C69" s="427"/>
      <c r="D69" s="388"/>
      <c r="E69" s="388"/>
      <c r="F69" s="388"/>
      <c r="G69" s="388"/>
    </row>
    <row r="70" spans="2:8">
      <c r="B70" s="388"/>
      <c r="C70" s="389"/>
      <c r="D70" s="388"/>
      <c r="E70" s="388"/>
      <c r="F70" s="388"/>
      <c r="G70" s="388"/>
    </row>
    <row r="71" spans="2:8">
      <c r="B71" s="388"/>
      <c r="C71" s="389"/>
      <c r="D71" s="428"/>
      <c r="E71" s="388"/>
      <c r="F71" s="388"/>
      <c r="G71" s="388"/>
    </row>
    <row r="72" spans="2:8">
      <c r="B72" s="426"/>
      <c r="C72" s="427"/>
      <c r="D72" s="426"/>
      <c r="E72" s="426"/>
      <c r="F72" s="426"/>
      <c r="G72" s="429"/>
    </row>
    <row r="73" spans="2:8">
      <c r="B73" s="388"/>
      <c r="C73" s="389"/>
      <c r="D73" s="388"/>
      <c r="E73" s="388"/>
      <c r="F73" s="388"/>
      <c r="G73" s="388"/>
    </row>
    <row r="74" spans="2:8">
      <c r="B74" s="388"/>
      <c r="C74" s="389"/>
      <c r="D74" s="388"/>
      <c r="E74" s="388"/>
      <c r="F74" s="388"/>
      <c r="G74" s="388"/>
    </row>
    <row r="75" spans="2:8">
      <c r="B75" s="388"/>
      <c r="C75" s="389"/>
      <c r="D75" s="388"/>
      <c r="E75" s="388"/>
      <c r="F75" s="388"/>
      <c r="G75" s="429"/>
    </row>
  </sheetData>
  <mergeCells count="10">
    <mergeCell ref="B33:H33"/>
    <mergeCell ref="B40:I40"/>
    <mergeCell ref="B48:J48"/>
    <mergeCell ref="B25:J25"/>
    <mergeCell ref="B2:C2"/>
    <mergeCell ref="E2:G2"/>
    <mergeCell ref="E9:F9"/>
    <mergeCell ref="I2:M2"/>
    <mergeCell ref="B16:D16"/>
    <mergeCell ref="F16:G1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D1EB9-DCF8-4E0D-A2D2-EFBE00CED3CD}">
  <dimension ref="F4:K99"/>
  <sheetViews>
    <sheetView topLeftCell="F1" workbookViewId="0">
      <selection activeCell="G100" sqref="G100"/>
    </sheetView>
  </sheetViews>
  <sheetFormatPr defaultRowHeight="15"/>
  <cols>
    <col min="6" max="6" width="74.42578125" customWidth="1"/>
    <col min="7" max="7" width="50.28515625" style="307" customWidth="1"/>
    <col min="8" max="8" width="46.85546875" customWidth="1"/>
    <col min="9" max="9" width="127.28515625" customWidth="1"/>
    <col min="10" max="10" width="36.28515625" customWidth="1"/>
    <col min="11" max="11" width="36.7109375" customWidth="1"/>
  </cols>
  <sheetData>
    <row r="4" spans="6:11" ht="19.5">
      <c r="F4" s="134" t="s">
        <v>990</v>
      </c>
      <c r="G4" s="135" t="s">
        <v>1089</v>
      </c>
      <c r="H4" s="135" t="s">
        <v>1090</v>
      </c>
      <c r="I4" s="135" t="s">
        <v>1091</v>
      </c>
      <c r="J4" s="135" t="s">
        <v>1092</v>
      </c>
      <c r="K4" s="138" t="s">
        <v>1093</v>
      </c>
    </row>
    <row r="5" spans="6:11" ht="19.5">
      <c r="F5" s="136" t="s">
        <v>1094</v>
      </c>
      <c r="G5" s="137">
        <v>37</v>
      </c>
      <c r="H5" s="137">
        <v>7.5</v>
      </c>
      <c r="I5" s="137">
        <v>19</v>
      </c>
      <c r="J5" s="137">
        <v>52</v>
      </c>
      <c r="K5" s="137">
        <v>6.3</v>
      </c>
    </row>
    <row r="6" spans="6:11">
      <c r="G6" s="587"/>
      <c r="H6" t="s">
        <v>122</v>
      </c>
    </row>
    <row r="7" spans="6:11" ht="18.75">
      <c r="F7" s="589"/>
      <c r="G7" s="822" t="s">
        <v>1095</v>
      </c>
      <c r="H7" s="822"/>
      <c r="I7" s="76"/>
    </row>
    <row r="8" spans="6:11" ht="18.75">
      <c r="F8" s="589" t="s">
        <v>291</v>
      </c>
      <c r="G8" s="589" t="s">
        <v>1096</v>
      </c>
      <c r="H8" s="589" t="s">
        <v>281</v>
      </c>
      <c r="I8" s="589" t="s">
        <v>449</v>
      </c>
    </row>
    <row r="9" spans="6:11" ht="18.75">
      <c r="F9" s="594" t="s">
        <v>990</v>
      </c>
      <c r="G9" s="594" t="s">
        <v>150</v>
      </c>
      <c r="H9" s="594" t="s">
        <v>1094</v>
      </c>
      <c r="I9" s="594" t="s">
        <v>1097</v>
      </c>
    </row>
    <row r="10" spans="6:11" ht="18.75">
      <c r="F10" s="594" t="s">
        <v>1098</v>
      </c>
      <c r="G10" s="594" t="s">
        <v>577</v>
      </c>
      <c r="H10" s="594">
        <v>37</v>
      </c>
      <c r="I10" s="594" t="s">
        <v>1099</v>
      </c>
    </row>
    <row r="11" spans="6:11" ht="18.75">
      <c r="F11" s="594" t="s">
        <v>1100</v>
      </c>
      <c r="G11" s="594" t="s">
        <v>1101</v>
      </c>
      <c r="H11" s="594">
        <v>7.5</v>
      </c>
      <c r="I11" s="594" t="s">
        <v>1102</v>
      </c>
    </row>
    <row r="12" spans="6:11" ht="18.75">
      <c r="F12" s="594" t="s">
        <v>1100</v>
      </c>
      <c r="G12" s="594" t="s">
        <v>1101</v>
      </c>
      <c r="H12" s="594">
        <v>6</v>
      </c>
      <c r="I12" s="594" t="s">
        <v>1103</v>
      </c>
    </row>
    <row r="13" spans="6:11" ht="18.75">
      <c r="F13" s="594" t="s">
        <v>1104</v>
      </c>
      <c r="G13" s="594" t="s">
        <v>1105</v>
      </c>
      <c r="H13" s="594">
        <v>19</v>
      </c>
      <c r="I13" s="594" t="s">
        <v>1106</v>
      </c>
    </row>
    <row r="14" spans="6:11" ht="18.75">
      <c r="F14" s="594" t="s">
        <v>1104</v>
      </c>
      <c r="G14" s="594" t="s">
        <v>1105</v>
      </c>
      <c r="H14" s="594">
        <v>15</v>
      </c>
      <c r="I14" s="594" t="s">
        <v>1107</v>
      </c>
    </row>
    <row r="15" spans="6:11" ht="18.75">
      <c r="F15" s="594" t="s">
        <v>1108</v>
      </c>
      <c r="G15" s="594" t="s">
        <v>1109</v>
      </c>
      <c r="H15" s="594">
        <v>52</v>
      </c>
      <c r="I15" s="594" t="s">
        <v>1110</v>
      </c>
    </row>
    <row r="16" spans="6:11" ht="18.75">
      <c r="F16" s="594" t="s">
        <v>1111</v>
      </c>
      <c r="G16" s="594" t="s">
        <v>748</v>
      </c>
      <c r="H16" s="594">
        <v>6.3</v>
      </c>
      <c r="I16" s="594" t="s">
        <v>1112</v>
      </c>
    </row>
    <row r="19" spans="6:9" ht="18.75">
      <c r="F19" s="589"/>
      <c r="G19" s="821" t="s">
        <v>1113</v>
      </c>
      <c r="H19" s="822"/>
      <c r="I19" s="589"/>
    </row>
    <row r="20" spans="6:9" ht="18.75">
      <c r="F20" s="76"/>
      <c r="G20" s="594"/>
      <c r="H20" s="76"/>
      <c r="I20" s="76"/>
    </row>
    <row r="21" spans="6:9" ht="18.75">
      <c r="F21" s="589" t="s">
        <v>291</v>
      </c>
      <c r="G21" s="589" t="s">
        <v>1096</v>
      </c>
      <c r="H21" s="589" t="s">
        <v>281</v>
      </c>
      <c r="I21" s="589" t="s">
        <v>449</v>
      </c>
    </row>
    <row r="22" spans="6:9" ht="18.75">
      <c r="F22" s="594" t="s">
        <v>1098</v>
      </c>
      <c r="G22" s="594" t="s">
        <v>577</v>
      </c>
      <c r="H22" s="594">
        <v>37</v>
      </c>
      <c r="I22" s="594" t="s">
        <v>1114</v>
      </c>
    </row>
    <row r="23" spans="6:9" ht="18.75">
      <c r="F23" s="594" t="s">
        <v>1115</v>
      </c>
      <c r="G23" s="594" t="s">
        <v>1101</v>
      </c>
      <c r="H23" s="594">
        <v>7.6</v>
      </c>
      <c r="I23" s="594" t="s">
        <v>1116</v>
      </c>
    </row>
    <row r="24" spans="6:9" ht="18.75">
      <c r="F24" s="594" t="s">
        <v>1117</v>
      </c>
      <c r="G24" s="594" t="s">
        <v>1101</v>
      </c>
      <c r="H24" s="594">
        <v>6</v>
      </c>
      <c r="I24" s="594" t="s">
        <v>1118</v>
      </c>
    </row>
    <row r="25" spans="6:9" ht="18.75">
      <c r="F25" s="594" t="s">
        <v>1119</v>
      </c>
      <c r="G25" s="594" t="s">
        <v>1105</v>
      </c>
      <c r="H25" s="594">
        <v>19</v>
      </c>
      <c r="I25" s="594" t="s">
        <v>1120</v>
      </c>
    </row>
    <row r="26" spans="6:9" ht="18.75">
      <c r="F26" s="594" t="s">
        <v>1121</v>
      </c>
      <c r="G26" s="594" t="s">
        <v>1105</v>
      </c>
      <c r="H26" s="594">
        <v>15</v>
      </c>
      <c r="I26" s="594" t="s">
        <v>1122</v>
      </c>
    </row>
    <row r="27" spans="6:9" ht="18.75">
      <c r="F27" s="594" t="s">
        <v>1123</v>
      </c>
      <c r="G27" s="594" t="s">
        <v>481</v>
      </c>
      <c r="H27" s="594">
        <v>43825</v>
      </c>
      <c r="I27" s="594" t="s">
        <v>1124</v>
      </c>
    </row>
    <row r="28" spans="6:9" ht="18.75">
      <c r="F28" s="594" t="s">
        <v>1125</v>
      </c>
      <c r="G28" s="594" t="s">
        <v>481</v>
      </c>
      <c r="H28" s="594">
        <v>42850</v>
      </c>
      <c r="I28" s="594" t="s">
        <v>1126</v>
      </c>
    </row>
    <row r="29" spans="6:9" ht="18.75">
      <c r="F29" s="594" t="s">
        <v>1127</v>
      </c>
      <c r="G29" s="594" t="s">
        <v>114</v>
      </c>
      <c r="H29" s="594">
        <v>32</v>
      </c>
      <c r="I29" s="133" t="s">
        <v>1128</v>
      </c>
    </row>
    <row r="30" spans="6:9" ht="18.75">
      <c r="F30" s="594" t="s">
        <v>1129</v>
      </c>
      <c r="G30" s="594" t="s">
        <v>114</v>
      </c>
      <c r="H30" s="594">
        <v>31</v>
      </c>
      <c r="I30" s="133" t="s">
        <v>1128</v>
      </c>
    </row>
    <row r="31" spans="6:9" ht="18.75">
      <c r="F31" s="594" t="s">
        <v>1130</v>
      </c>
      <c r="G31" s="594" t="s">
        <v>464</v>
      </c>
      <c r="H31" s="594">
        <v>1351</v>
      </c>
      <c r="I31" s="133" t="s">
        <v>1131</v>
      </c>
    </row>
    <row r="32" spans="6:9" ht="21">
      <c r="F32" s="294"/>
      <c r="G32" s="294"/>
      <c r="H32" s="294"/>
      <c r="I32" s="294"/>
    </row>
    <row r="33" spans="6:10" ht="21">
      <c r="F33" s="294"/>
      <c r="G33" s="294"/>
      <c r="H33" s="294"/>
      <c r="I33" s="294"/>
    </row>
    <row r="34" spans="6:10" ht="18.75">
      <c r="F34" s="310"/>
      <c r="G34" s="826" t="s">
        <v>1132</v>
      </c>
      <c r="H34" s="826"/>
      <c r="I34" s="589"/>
    </row>
    <row r="35" spans="6:10" ht="18.75">
      <c r="F35" s="311"/>
      <c r="G35" s="591"/>
      <c r="H35" s="311"/>
      <c r="I35" s="589"/>
    </row>
    <row r="36" spans="6:10" ht="15" customHeight="1">
      <c r="F36" s="589" t="s">
        <v>291</v>
      </c>
      <c r="G36" s="589" t="s">
        <v>1096</v>
      </c>
      <c r="H36" s="589" t="s">
        <v>281</v>
      </c>
      <c r="I36" s="589" t="s">
        <v>449</v>
      </c>
    </row>
    <row r="37" spans="6:10" ht="30" customHeight="1">
      <c r="F37" s="594" t="s">
        <v>1133</v>
      </c>
      <c r="G37" s="594" t="s">
        <v>577</v>
      </c>
      <c r="H37" s="594">
        <v>17</v>
      </c>
      <c r="I37" s="594" t="s">
        <v>1134</v>
      </c>
    </row>
    <row r="38" spans="6:10" ht="18.75">
      <c r="F38" s="594" t="s">
        <v>1135</v>
      </c>
      <c r="G38" s="594" t="s">
        <v>577</v>
      </c>
      <c r="H38" s="594">
        <v>7</v>
      </c>
      <c r="I38" s="594" t="s">
        <v>1136</v>
      </c>
    </row>
    <row r="39" spans="6:10" ht="21">
      <c r="F39" s="594" t="s">
        <v>1137</v>
      </c>
      <c r="G39" s="594" t="s">
        <v>577</v>
      </c>
      <c r="H39" s="594">
        <v>5</v>
      </c>
      <c r="I39" s="594" t="s">
        <v>1138</v>
      </c>
      <c r="J39" s="24"/>
    </row>
    <row r="40" spans="6:10" ht="21">
      <c r="F40" s="594" t="s">
        <v>1139</v>
      </c>
      <c r="G40" s="594" t="s">
        <v>577</v>
      </c>
      <c r="H40" s="594">
        <v>4</v>
      </c>
      <c r="I40" s="594" t="s">
        <v>1140</v>
      </c>
      <c r="J40" s="25"/>
    </row>
    <row r="41" spans="6:10" ht="21">
      <c r="F41" s="594" t="s">
        <v>1141</v>
      </c>
      <c r="G41" s="594" t="s">
        <v>577</v>
      </c>
      <c r="H41" s="594">
        <v>2</v>
      </c>
      <c r="I41" s="594" t="s">
        <v>1142</v>
      </c>
      <c r="J41" s="25"/>
    </row>
    <row r="42" spans="6:10" ht="21">
      <c r="F42" s="594" t="s">
        <v>1143</v>
      </c>
      <c r="G42" s="594" t="s">
        <v>577</v>
      </c>
      <c r="H42" s="594">
        <v>2</v>
      </c>
      <c r="I42" s="594" t="s">
        <v>1144</v>
      </c>
      <c r="J42" s="25"/>
    </row>
    <row r="43" spans="6:10" ht="21">
      <c r="F43" s="594" t="s">
        <v>240</v>
      </c>
      <c r="G43" s="594" t="s">
        <v>577</v>
      </c>
      <c r="H43" s="594">
        <f>SUM(H37:H42)</f>
        <v>37</v>
      </c>
      <c r="I43" s="594" t="s">
        <v>1145</v>
      </c>
      <c r="J43" s="25"/>
    </row>
    <row r="44" spans="6:10" ht="21">
      <c r="F44" s="25"/>
      <c r="G44" s="25"/>
      <c r="H44" s="25"/>
      <c r="I44" s="25"/>
      <c r="J44" s="25"/>
    </row>
    <row r="45" spans="6:10" ht="21">
      <c r="F45" s="309"/>
      <c r="G45" s="824" t="s">
        <v>1146</v>
      </c>
      <c r="H45" s="825"/>
      <c r="I45" s="309"/>
      <c r="J45" s="26"/>
    </row>
    <row r="46" spans="6:10" ht="18.75">
      <c r="F46" s="76"/>
      <c r="G46" s="594"/>
      <c r="H46" s="76"/>
      <c r="I46" s="76"/>
    </row>
    <row r="47" spans="6:10" ht="18.75">
      <c r="F47" s="589" t="s">
        <v>291</v>
      </c>
      <c r="G47" s="589" t="s">
        <v>1096</v>
      </c>
      <c r="H47" s="589" t="s">
        <v>281</v>
      </c>
      <c r="I47" s="589" t="s">
        <v>449</v>
      </c>
    </row>
    <row r="48" spans="6:10" ht="18.75">
      <c r="F48" s="594" t="s">
        <v>1147</v>
      </c>
      <c r="G48" s="594" t="s">
        <v>1101</v>
      </c>
      <c r="H48" s="594">
        <f>PRODUCT(H13,0.4)</f>
        <v>7.6000000000000005</v>
      </c>
      <c r="I48" s="594" t="s">
        <v>1148</v>
      </c>
    </row>
    <row r="49" spans="6:10" ht="18.75">
      <c r="F49" s="594" t="s">
        <v>1149</v>
      </c>
      <c r="G49" s="594" t="s">
        <v>1101</v>
      </c>
      <c r="H49" s="594">
        <f>PRODUCT(H26,0.4)</f>
        <v>6</v>
      </c>
      <c r="I49" s="594" t="s">
        <v>1150</v>
      </c>
    </row>
    <row r="50" spans="6:10" ht="18.75">
      <c r="F50" s="594" t="s">
        <v>1151</v>
      </c>
      <c r="G50" s="594" t="s">
        <v>358</v>
      </c>
      <c r="H50" s="594">
        <v>30</v>
      </c>
      <c r="I50" s="594" t="s">
        <v>1152</v>
      </c>
    </row>
    <row r="51" spans="6:10" ht="21">
      <c r="F51" s="594" t="s">
        <v>1153</v>
      </c>
      <c r="G51" s="594" t="s">
        <v>358</v>
      </c>
      <c r="H51" s="594">
        <v>-20</v>
      </c>
      <c r="I51" s="594" t="s">
        <v>1154</v>
      </c>
      <c r="J51" s="294"/>
    </row>
    <row r="52" spans="6:10" ht="21">
      <c r="F52" s="590"/>
      <c r="G52" s="88"/>
      <c r="H52" s="88"/>
      <c r="I52" s="590"/>
      <c r="J52" s="23"/>
    </row>
    <row r="53" spans="6:10" ht="21">
      <c r="F53" s="590"/>
      <c r="G53" s="821" t="s">
        <v>1155</v>
      </c>
      <c r="H53" s="823"/>
      <c r="I53" s="590"/>
      <c r="J53" s="590"/>
    </row>
    <row r="54" spans="6:10" ht="21">
      <c r="F54" s="589" t="s">
        <v>291</v>
      </c>
      <c r="G54" s="589" t="s">
        <v>1096</v>
      </c>
      <c r="H54" s="589" t="s">
        <v>281</v>
      </c>
      <c r="I54" s="589" t="s">
        <v>449</v>
      </c>
      <c r="J54" s="23"/>
    </row>
    <row r="55" spans="6:10" ht="21">
      <c r="F55" s="594" t="s">
        <v>1156</v>
      </c>
      <c r="G55" s="594" t="s">
        <v>481</v>
      </c>
      <c r="H55" s="594">
        <v>9000</v>
      </c>
      <c r="I55" s="594" t="s">
        <v>1157</v>
      </c>
      <c r="J55" s="590"/>
    </row>
    <row r="56" spans="6:10" ht="21">
      <c r="F56" s="594" t="s">
        <v>1158</v>
      </c>
      <c r="G56" s="594" t="s">
        <v>481</v>
      </c>
      <c r="H56" s="594">
        <v>7200</v>
      </c>
      <c r="I56" s="594" t="s">
        <v>1126</v>
      </c>
      <c r="J56" s="23"/>
    </row>
    <row r="57" spans="6:10" ht="18.75">
      <c r="F57" s="594" t="s">
        <v>1159</v>
      </c>
      <c r="G57" s="594" t="s">
        <v>481</v>
      </c>
      <c r="H57" s="594">
        <v>3000</v>
      </c>
      <c r="I57" s="594" t="s">
        <v>1160</v>
      </c>
    </row>
    <row r="58" spans="6:10" ht="18.75">
      <c r="F58" s="594" t="s">
        <v>1161</v>
      </c>
      <c r="G58" s="594" t="s">
        <v>481</v>
      </c>
      <c r="H58" s="594">
        <v>10875</v>
      </c>
      <c r="I58" s="594" t="s">
        <v>1162</v>
      </c>
    </row>
    <row r="59" spans="6:10" ht="18" customHeight="1">
      <c r="F59" s="594" t="s">
        <v>1163</v>
      </c>
      <c r="G59" s="594" t="s">
        <v>481</v>
      </c>
      <c r="H59" s="594">
        <v>8700</v>
      </c>
      <c r="I59" s="594" t="s">
        <v>1126</v>
      </c>
    </row>
    <row r="60" spans="6:10" ht="15" customHeight="1">
      <c r="F60" s="594" t="s">
        <v>1108</v>
      </c>
      <c r="G60" s="594" t="s">
        <v>481</v>
      </c>
      <c r="H60" s="594">
        <f>PRODUCT(52*400)</f>
        <v>20800</v>
      </c>
      <c r="I60" s="594" t="s">
        <v>1164</v>
      </c>
    </row>
    <row r="61" spans="6:10" ht="15" customHeight="1">
      <c r="F61" s="594" t="s">
        <v>1077</v>
      </c>
      <c r="G61" s="594" t="s">
        <v>481</v>
      </c>
      <c r="H61" s="594">
        <f>PRODUCT(6.3,500)</f>
        <v>3150</v>
      </c>
      <c r="I61" s="594" t="s">
        <v>1165</v>
      </c>
    </row>
    <row r="62" spans="6:10" ht="15" customHeight="1">
      <c r="F62" s="594" t="s">
        <v>1166</v>
      </c>
      <c r="G62" s="594" t="s">
        <v>481</v>
      </c>
      <c r="H62" s="594">
        <f>SUM(H55,H58,H60,H61)</f>
        <v>43825</v>
      </c>
      <c r="I62" s="594" t="s">
        <v>1167</v>
      </c>
    </row>
    <row r="63" spans="6:10" ht="15" customHeight="1">
      <c r="F63" s="594" t="s">
        <v>1168</v>
      </c>
      <c r="G63" s="594" t="s">
        <v>481</v>
      </c>
      <c r="H63" s="594">
        <f>SUM(H56,H57,H59,H60,H61)</f>
        <v>42850</v>
      </c>
      <c r="I63" s="594" t="s">
        <v>1167</v>
      </c>
    </row>
    <row r="64" spans="6:10" ht="15" customHeight="1">
      <c r="F64" s="594" t="s">
        <v>1169</v>
      </c>
      <c r="G64" s="594" t="s">
        <v>481</v>
      </c>
      <c r="H64" s="594">
        <f>H63-H62</f>
        <v>-975</v>
      </c>
      <c r="I64" s="594" t="s">
        <v>1170</v>
      </c>
    </row>
    <row r="65" spans="6:9" ht="15" customHeight="1">
      <c r="F65" s="132"/>
      <c r="G65" s="313"/>
    </row>
    <row r="66" spans="6:9" ht="15" customHeight="1">
      <c r="F66" s="132"/>
      <c r="G66" s="313"/>
    </row>
    <row r="67" spans="6:9" ht="15" customHeight="1">
      <c r="F67" s="308"/>
      <c r="G67" s="822" t="s">
        <v>1171</v>
      </c>
      <c r="H67" s="822"/>
      <c r="I67" s="76"/>
    </row>
    <row r="68" spans="6:9" ht="15" customHeight="1">
      <c r="F68" s="589" t="s">
        <v>291</v>
      </c>
      <c r="G68" s="589" t="s">
        <v>1096</v>
      </c>
      <c r="H68" s="589" t="s">
        <v>281</v>
      </c>
      <c r="I68" s="589" t="s">
        <v>449</v>
      </c>
    </row>
    <row r="69" spans="6:9" ht="15" customHeight="1">
      <c r="F69" s="594" t="s">
        <v>1172</v>
      </c>
      <c r="G69" s="594" t="s">
        <v>586</v>
      </c>
      <c r="H69" s="594">
        <f>PRODUCT(H43,365)</f>
        <v>13505</v>
      </c>
      <c r="I69" s="594" t="s">
        <v>1173</v>
      </c>
    </row>
    <row r="70" spans="6:9" ht="15" customHeight="1">
      <c r="F70" s="594" t="s">
        <v>1174</v>
      </c>
      <c r="G70" s="594" t="s">
        <v>1175</v>
      </c>
      <c r="H70" s="594">
        <v>0.1</v>
      </c>
      <c r="I70" s="594" t="s">
        <v>1176</v>
      </c>
    </row>
    <row r="71" spans="6:9" ht="15" customHeight="1">
      <c r="F71" s="594" t="s">
        <v>1130</v>
      </c>
      <c r="G71" s="594" t="s">
        <v>464</v>
      </c>
      <c r="H71" s="594">
        <f>ROUND(PRODUCT(H69,H70),0)</f>
        <v>1351</v>
      </c>
      <c r="I71" s="594" t="s">
        <v>1177</v>
      </c>
    </row>
    <row r="72" spans="6:9" ht="15" customHeight="1">
      <c r="F72" s="594" t="s">
        <v>1123</v>
      </c>
      <c r="G72" s="594" t="s">
        <v>481</v>
      </c>
      <c r="H72" s="594">
        <v>43825</v>
      </c>
      <c r="I72" s="594" t="s">
        <v>1178</v>
      </c>
    </row>
    <row r="73" spans="6:9" ht="15" customHeight="1">
      <c r="F73" s="594" t="s">
        <v>1125</v>
      </c>
      <c r="G73" s="594" t="s">
        <v>481</v>
      </c>
      <c r="H73" s="594">
        <v>42850</v>
      </c>
      <c r="I73" s="594" t="s">
        <v>1178</v>
      </c>
    </row>
    <row r="74" spans="6:9" ht="15" customHeight="1">
      <c r="F74" s="594" t="s">
        <v>1179</v>
      </c>
      <c r="G74" s="594" t="s">
        <v>114</v>
      </c>
      <c r="H74" s="594">
        <f>ROUND(QUOTIENT(H72,H71),1)</f>
        <v>32</v>
      </c>
      <c r="I74" s="594" t="s">
        <v>1180</v>
      </c>
    </row>
    <row r="75" spans="6:9" ht="18.75">
      <c r="F75" s="594" t="s">
        <v>1181</v>
      </c>
      <c r="G75" s="594" t="s">
        <v>114</v>
      </c>
      <c r="H75" s="594">
        <f>ROUND(QUOTIENT(H73,H71),1)</f>
        <v>31</v>
      </c>
      <c r="I75" s="594" t="s">
        <v>1180</v>
      </c>
    </row>
    <row r="78" spans="6:9" ht="18.75">
      <c r="F78" s="76"/>
      <c r="G78" s="822" t="s">
        <v>1182</v>
      </c>
      <c r="H78" s="822"/>
      <c r="I78" s="76"/>
    </row>
    <row r="79" spans="6:9" ht="18.75">
      <c r="F79" s="589" t="s">
        <v>291</v>
      </c>
      <c r="G79" s="589" t="s">
        <v>1096</v>
      </c>
      <c r="H79" s="589" t="s">
        <v>1183</v>
      </c>
      <c r="I79" s="589" t="s">
        <v>449</v>
      </c>
    </row>
    <row r="80" spans="6:9" ht="18.75">
      <c r="F80" s="594" t="s">
        <v>1184</v>
      </c>
      <c r="G80" s="594" t="s">
        <v>1185</v>
      </c>
      <c r="H80" s="594">
        <v>50</v>
      </c>
      <c r="I80" s="594" t="s">
        <v>1186</v>
      </c>
    </row>
    <row r="81" spans="6:9" ht="18.75">
      <c r="F81" s="594" t="s">
        <v>1187</v>
      </c>
      <c r="G81" s="594" t="s">
        <v>718</v>
      </c>
      <c r="H81" s="594">
        <v>30</v>
      </c>
      <c r="I81" s="594" t="s">
        <v>1188</v>
      </c>
    </row>
    <row r="82" spans="6:9" ht="18.75">
      <c r="F82" s="594" t="s">
        <v>1189</v>
      </c>
      <c r="G82" s="594" t="s">
        <v>114</v>
      </c>
      <c r="H82" s="594">
        <v>26</v>
      </c>
      <c r="I82" s="594" t="s">
        <v>1190</v>
      </c>
    </row>
    <row r="86" spans="6:9" ht="18.75">
      <c r="G86" s="819" t="s">
        <v>1191</v>
      </c>
      <c r="H86" s="820"/>
    </row>
    <row r="88" spans="6:9" ht="18.75">
      <c r="F88" s="589" t="s">
        <v>291</v>
      </c>
      <c r="G88" s="589" t="s">
        <v>1096</v>
      </c>
      <c r="H88" s="589" t="s">
        <v>281</v>
      </c>
      <c r="I88" s="589" t="s">
        <v>449</v>
      </c>
    </row>
    <row r="89" spans="6:9" ht="18.75">
      <c r="F89" s="594" t="s">
        <v>1192</v>
      </c>
      <c r="G89" s="586" t="s">
        <v>595</v>
      </c>
      <c r="H89" s="594" t="s">
        <v>1193</v>
      </c>
      <c r="I89" s="594" t="s">
        <v>1194</v>
      </c>
    </row>
    <row r="90" spans="6:9" ht="18.75">
      <c r="F90" s="594" t="s">
        <v>1195</v>
      </c>
      <c r="G90" s="594" t="s">
        <v>577</v>
      </c>
      <c r="H90" s="594">
        <v>37</v>
      </c>
      <c r="I90" s="594" t="s">
        <v>1196</v>
      </c>
    </row>
    <row r="91" spans="6:9" ht="37.5">
      <c r="F91" s="594" t="s">
        <v>1197</v>
      </c>
      <c r="G91" s="594" t="s">
        <v>1198</v>
      </c>
      <c r="H91" s="594">
        <v>400</v>
      </c>
      <c r="I91" s="315" t="s">
        <v>1199</v>
      </c>
    </row>
    <row r="92" spans="6:9" ht="18.75">
      <c r="F92" s="594" t="s">
        <v>1200</v>
      </c>
      <c r="G92" s="594" t="s">
        <v>1101</v>
      </c>
      <c r="H92" s="594">
        <v>6</v>
      </c>
      <c r="I92" s="594" t="s">
        <v>1201</v>
      </c>
    </row>
    <row r="93" spans="6:9" ht="18.75">
      <c r="F93" s="594" t="s">
        <v>1202</v>
      </c>
      <c r="G93" s="594" t="s">
        <v>718</v>
      </c>
      <c r="H93" s="594">
        <v>30</v>
      </c>
      <c r="I93" s="594" t="s">
        <v>1203</v>
      </c>
    </row>
    <row r="94" spans="6:9" ht="19.5" customHeight="1">
      <c r="F94" s="312" t="s">
        <v>1204</v>
      </c>
      <c r="G94" s="314" t="s">
        <v>1205</v>
      </c>
      <c r="H94" s="594">
        <v>0.05</v>
      </c>
      <c r="I94" s="314" t="s">
        <v>1206</v>
      </c>
    </row>
    <row r="95" spans="6:9" ht="18.75">
      <c r="F95" s="594" t="s">
        <v>1207</v>
      </c>
      <c r="G95" s="594" t="s">
        <v>1208</v>
      </c>
      <c r="H95" s="594">
        <f>PRODUCT(H69,H94)</f>
        <v>675.25</v>
      </c>
      <c r="I95" s="594" t="s">
        <v>1209</v>
      </c>
    </row>
    <row r="96" spans="6:9" ht="18.75">
      <c r="F96" s="594" t="s">
        <v>1210</v>
      </c>
      <c r="G96" s="594" t="s">
        <v>1208</v>
      </c>
      <c r="H96" s="594">
        <f>PRODUCT(H69,0.5)</f>
        <v>6752.5</v>
      </c>
      <c r="I96" s="594" t="s">
        <v>1211</v>
      </c>
    </row>
    <row r="97" spans="6:9" ht="18.75">
      <c r="F97" s="594" t="s">
        <v>1212</v>
      </c>
      <c r="G97" s="594" t="s">
        <v>358</v>
      </c>
      <c r="H97" s="594">
        <f>(1-H95/H96)*100</f>
        <v>90</v>
      </c>
      <c r="I97" s="594" t="s">
        <v>1213</v>
      </c>
    </row>
    <row r="98" spans="6:9" ht="18.75">
      <c r="F98" s="594" t="s">
        <v>1214</v>
      </c>
      <c r="G98" s="594" t="s">
        <v>1215</v>
      </c>
      <c r="H98" s="594" t="s">
        <v>1216</v>
      </c>
      <c r="I98" s="594" t="s">
        <v>1217</v>
      </c>
    </row>
    <row r="99" spans="6:9" ht="18.75">
      <c r="F99" s="594" t="s">
        <v>1218</v>
      </c>
      <c r="G99" s="594" t="s">
        <v>1219</v>
      </c>
      <c r="H99" s="594" t="s">
        <v>1220</v>
      </c>
      <c r="I99" s="594" t="s">
        <v>1221</v>
      </c>
    </row>
  </sheetData>
  <mergeCells count="8">
    <mergeCell ref="G86:H86"/>
    <mergeCell ref="G19:H19"/>
    <mergeCell ref="G7:H7"/>
    <mergeCell ref="G78:H78"/>
    <mergeCell ref="G67:H67"/>
    <mergeCell ref="G53:H53"/>
    <mergeCell ref="G45:H45"/>
    <mergeCell ref="G34:H3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54EDA-2722-47B6-B216-52DE8B402746}">
  <dimension ref="A1:M47"/>
  <sheetViews>
    <sheetView workbookViewId="0">
      <selection activeCell="A26" sqref="A26"/>
    </sheetView>
  </sheetViews>
  <sheetFormatPr defaultRowHeight="15"/>
  <cols>
    <col min="1" max="1" width="93.28515625" customWidth="1"/>
    <col min="2" max="2" width="125" customWidth="1"/>
    <col min="3" max="3" width="21.42578125" customWidth="1"/>
    <col min="4" max="4" width="17.7109375" customWidth="1"/>
    <col min="5" max="5" width="21.42578125" customWidth="1"/>
    <col min="6" max="7" width="40.85546875" customWidth="1"/>
    <col min="8" max="8" width="70.140625" customWidth="1"/>
    <col min="9" max="9" width="110.28515625" customWidth="1"/>
    <col min="10" max="10" width="29.28515625" customWidth="1"/>
    <col min="11" max="11" width="40.7109375" customWidth="1"/>
    <col min="12" max="12" width="38.85546875" customWidth="1"/>
  </cols>
  <sheetData>
    <row r="1" spans="1:13" ht="24">
      <c r="A1" s="827" t="s">
        <v>1222</v>
      </c>
      <c r="B1" s="827"/>
      <c r="C1" s="827"/>
      <c r="D1" s="827"/>
      <c r="E1" s="827"/>
      <c r="F1" s="827"/>
      <c r="G1" s="827"/>
      <c r="H1" s="827"/>
      <c r="I1" s="827"/>
      <c r="J1" s="827"/>
    </row>
    <row r="3" spans="1:13" ht="21">
      <c r="A3" s="27" t="s">
        <v>1223</v>
      </c>
      <c r="B3" s="27" t="s">
        <v>1224</v>
      </c>
      <c r="C3" s="27" t="s">
        <v>1225</v>
      </c>
      <c r="D3" s="27" t="s">
        <v>1226</v>
      </c>
      <c r="E3" s="27" t="s">
        <v>1227</v>
      </c>
      <c r="F3" s="35" t="s">
        <v>1228</v>
      </c>
      <c r="G3" s="36" t="s">
        <v>1229</v>
      </c>
      <c r="H3" s="27" t="s">
        <v>148</v>
      </c>
      <c r="I3" s="36" t="s">
        <v>1230</v>
      </c>
      <c r="J3" s="27" t="s">
        <v>1231</v>
      </c>
      <c r="K3" s="27" t="s">
        <v>1232</v>
      </c>
      <c r="L3" s="27" t="s">
        <v>1233</v>
      </c>
      <c r="M3" s="590"/>
    </row>
    <row r="4" spans="1:13" ht="21">
      <c r="A4" s="28" t="s">
        <v>1234</v>
      </c>
      <c r="B4" s="28" t="s">
        <v>1235</v>
      </c>
      <c r="C4" s="28">
        <v>8</v>
      </c>
      <c r="D4" s="28">
        <v>6</v>
      </c>
      <c r="E4" s="28">
        <v>48</v>
      </c>
      <c r="F4" s="30" t="s">
        <v>1236</v>
      </c>
      <c r="G4" s="37" t="s">
        <v>1237</v>
      </c>
      <c r="H4" s="28" t="s">
        <v>1238</v>
      </c>
      <c r="I4" s="37" t="s">
        <v>1239</v>
      </c>
      <c r="J4" s="29">
        <v>3000</v>
      </c>
      <c r="K4" s="28">
        <v>500</v>
      </c>
      <c r="L4" s="28">
        <v>1.5</v>
      </c>
      <c r="M4" s="590"/>
    </row>
    <row r="5" spans="1:13" ht="21">
      <c r="A5" s="28" t="s">
        <v>1240</v>
      </c>
      <c r="B5" s="28" t="s">
        <v>1241</v>
      </c>
      <c r="C5" s="28">
        <v>6</v>
      </c>
      <c r="D5" s="28">
        <v>5</v>
      </c>
      <c r="E5" s="28">
        <v>30</v>
      </c>
      <c r="F5" s="30" t="s">
        <v>1242</v>
      </c>
      <c r="G5" s="37" t="s">
        <v>1243</v>
      </c>
      <c r="H5" s="28" t="s">
        <v>1244</v>
      </c>
      <c r="I5" s="37" t="s">
        <v>1245</v>
      </c>
      <c r="J5" s="29">
        <v>5000</v>
      </c>
      <c r="K5" s="29">
        <v>1000</v>
      </c>
      <c r="L5" s="28" t="s">
        <v>1246</v>
      </c>
      <c r="M5" s="590"/>
    </row>
    <row r="6" spans="1:13" ht="21">
      <c r="A6" s="28" t="s">
        <v>1247</v>
      </c>
      <c r="B6" s="28" t="s">
        <v>1248</v>
      </c>
      <c r="C6" s="28">
        <v>20</v>
      </c>
      <c r="D6" s="28">
        <v>12</v>
      </c>
      <c r="E6" s="28">
        <v>240</v>
      </c>
      <c r="F6" s="30" t="s">
        <v>1249</v>
      </c>
      <c r="G6" s="37" t="s">
        <v>1250</v>
      </c>
      <c r="H6" s="28" t="s">
        <v>1251</v>
      </c>
      <c r="I6" s="37" t="s">
        <v>1252</v>
      </c>
      <c r="J6" s="29">
        <v>10000</v>
      </c>
      <c r="K6" s="29">
        <v>1500</v>
      </c>
      <c r="L6" s="28">
        <v>8</v>
      </c>
      <c r="M6" s="590"/>
    </row>
    <row r="7" spans="1:13" ht="21">
      <c r="A7" s="28" t="s">
        <v>1253</v>
      </c>
      <c r="B7" s="28" t="s">
        <v>1254</v>
      </c>
      <c r="C7" s="28">
        <v>7</v>
      </c>
      <c r="D7" s="28">
        <v>5</v>
      </c>
      <c r="E7" s="28">
        <v>35</v>
      </c>
      <c r="F7" s="30" t="s">
        <v>1255</v>
      </c>
      <c r="G7" s="37" t="s">
        <v>1256</v>
      </c>
      <c r="H7" s="28" t="s">
        <v>1257</v>
      </c>
      <c r="I7" s="37" t="s">
        <v>1258</v>
      </c>
      <c r="J7" s="29">
        <v>6000</v>
      </c>
      <c r="K7" s="29">
        <v>1000</v>
      </c>
      <c r="L7" s="28">
        <v>2</v>
      </c>
      <c r="M7" s="590"/>
    </row>
    <row r="8" spans="1:13" ht="21">
      <c r="A8" s="28" t="s">
        <v>1259</v>
      </c>
      <c r="B8" s="28" t="s">
        <v>1260</v>
      </c>
      <c r="C8" s="28">
        <v>5</v>
      </c>
      <c r="D8" s="28">
        <v>4</v>
      </c>
      <c r="E8" s="28">
        <v>20</v>
      </c>
      <c r="F8" s="31" t="s">
        <v>1261</v>
      </c>
      <c r="G8" s="37" t="s">
        <v>1262</v>
      </c>
      <c r="H8" s="28" t="s">
        <v>1263</v>
      </c>
      <c r="I8" s="37" t="s">
        <v>1264</v>
      </c>
      <c r="J8" s="29">
        <v>8000</v>
      </c>
      <c r="K8" s="29">
        <v>1200</v>
      </c>
      <c r="L8" s="28">
        <v>5</v>
      </c>
      <c r="M8" s="590"/>
    </row>
    <row r="9" spans="1:13" ht="21">
      <c r="A9" s="28" t="s">
        <v>1265</v>
      </c>
      <c r="B9" s="28" t="s">
        <v>1266</v>
      </c>
      <c r="C9" s="28">
        <v>8</v>
      </c>
      <c r="D9" s="28">
        <v>6</v>
      </c>
      <c r="E9" s="28">
        <v>48</v>
      </c>
      <c r="F9" s="30" t="s">
        <v>1236</v>
      </c>
      <c r="G9" s="37" t="s">
        <v>1237</v>
      </c>
      <c r="H9" s="28" t="s">
        <v>1267</v>
      </c>
      <c r="I9" s="37" t="s">
        <v>1268</v>
      </c>
      <c r="J9" s="29">
        <v>2000</v>
      </c>
      <c r="K9" s="28">
        <v>400</v>
      </c>
      <c r="L9" s="28">
        <v>1</v>
      </c>
      <c r="M9" s="590"/>
    </row>
    <row r="10" spans="1:13" ht="21">
      <c r="A10" s="28" t="s">
        <v>1269</v>
      </c>
      <c r="B10" s="28" t="s">
        <v>1270</v>
      </c>
      <c r="C10" s="28">
        <v>4</v>
      </c>
      <c r="D10" s="28">
        <v>3</v>
      </c>
      <c r="E10" s="28">
        <v>12</v>
      </c>
      <c r="F10" s="30" t="s">
        <v>1271</v>
      </c>
      <c r="G10" s="37" t="s">
        <v>1271</v>
      </c>
      <c r="H10" s="28" t="s">
        <v>1272</v>
      </c>
      <c r="I10" s="37" t="s">
        <v>1273</v>
      </c>
      <c r="J10" s="29">
        <v>12000</v>
      </c>
      <c r="K10" s="29">
        <v>2000</v>
      </c>
      <c r="L10" s="28" t="s">
        <v>1271</v>
      </c>
      <c r="M10" s="590"/>
    </row>
    <row r="11" spans="1:13" ht="21">
      <c r="A11" s="28" t="s">
        <v>1274</v>
      </c>
      <c r="B11" s="28" t="s">
        <v>1275</v>
      </c>
      <c r="C11" s="28">
        <v>6</v>
      </c>
      <c r="D11" s="28">
        <v>4</v>
      </c>
      <c r="E11" s="28">
        <v>24</v>
      </c>
      <c r="F11" s="30" t="s">
        <v>1276</v>
      </c>
      <c r="G11" s="37" t="s">
        <v>1237</v>
      </c>
      <c r="H11" s="28" t="s">
        <v>1277</v>
      </c>
      <c r="I11" s="37" t="s">
        <v>1278</v>
      </c>
      <c r="J11" s="29">
        <v>5000</v>
      </c>
      <c r="K11" s="28">
        <v>800</v>
      </c>
      <c r="L11" s="28">
        <v>0.5</v>
      </c>
      <c r="M11" s="590"/>
    </row>
    <row r="14" spans="1:13" ht="20.25">
      <c r="A14" s="34" t="s">
        <v>1279</v>
      </c>
    </row>
    <row r="15" spans="1:13" ht="20.25">
      <c r="A15" s="32" t="s">
        <v>1280</v>
      </c>
      <c r="B15" s="27" t="s">
        <v>1281</v>
      </c>
    </row>
    <row r="16" spans="1:13" ht="20.25">
      <c r="A16" s="32" t="s">
        <v>1282</v>
      </c>
      <c r="B16" s="38" t="s">
        <v>1283</v>
      </c>
    </row>
    <row r="17" spans="1:2" ht="20.25">
      <c r="A17" s="32" t="s">
        <v>1284</v>
      </c>
      <c r="B17" s="38" t="s">
        <v>1285</v>
      </c>
    </row>
    <row r="18" spans="1:2" ht="20.25">
      <c r="A18" s="32" t="s">
        <v>1286</v>
      </c>
      <c r="B18" s="40"/>
    </row>
    <row r="19" spans="1:2" ht="20.25">
      <c r="A19" s="32" t="s">
        <v>1287</v>
      </c>
      <c r="B19" s="39"/>
    </row>
    <row r="20" spans="1:2" ht="20.25">
      <c r="A20" s="33" t="s">
        <v>1288</v>
      </c>
      <c r="B20" s="39"/>
    </row>
    <row r="21" spans="1:2" ht="20.25">
      <c r="A21" s="33" t="s">
        <v>1289</v>
      </c>
    </row>
    <row r="22" spans="1:2" ht="20.25">
      <c r="A22" s="38" t="s">
        <v>1290</v>
      </c>
    </row>
    <row r="27" spans="1:2" ht="15" customHeight="1">
      <c r="A27" s="47"/>
      <c r="B27" s="828" t="s">
        <v>1291</v>
      </c>
    </row>
    <row r="28" spans="1:2">
      <c r="B28" s="828"/>
    </row>
    <row r="29" spans="1:2">
      <c r="B29" s="828"/>
    </row>
    <row r="30" spans="1:2">
      <c r="B30" s="828"/>
    </row>
    <row r="31" spans="1:2">
      <c r="B31" s="828"/>
    </row>
    <row r="32" spans="1:2">
      <c r="B32" s="828"/>
    </row>
    <row r="33" spans="2:2">
      <c r="B33" s="828"/>
    </row>
    <row r="34" spans="2:2">
      <c r="B34" s="828"/>
    </row>
    <row r="35" spans="2:2">
      <c r="B35" s="828"/>
    </row>
    <row r="36" spans="2:2">
      <c r="B36" s="828"/>
    </row>
    <row r="37" spans="2:2">
      <c r="B37" s="828"/>
    </row>
    <row r="38" spans="2:2">
      <c r="B38" s="828"/>
    </row>
    <row r="39" spans="2:2">
      <c r="B39" s="828"/>
    </row>
    <row r="40" spans="2:2">
      <c r="B40" s="828"/>
    </row>
    <row r="41" spans="2:2">
      <c r="B41" s="828"/>
    </row>
    <row r="42" spans="2:2">
      <c r="B42" s="828"/>
    </row>
    <row r="43" spans="2:2">
      <c r="B43" s="828"/>
    </row>
    <row r="44" spans="2:2">
      <c r="B44" s="828"/>
    </row>
    <row r="45" spans="2:2">
      <c r="B45" s="828"/>
    </row>
    <row r="46" spans="2:2">
      <c r="B46" s="828"/>
    </row>
    <row r="47" spans="2:2">
      <c r="B47" s="828"/>
    </row>
  </sheetData>
  <mergeCells count="2">
    <mergeCell ref="A1:J1"/>
    <mergeCell ref="B27:B4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53FAB-D4DF-4407-AE90-24D8E540EE36}">
  <dimension ref="A1:I52"/>
  <sheetViews>
    <sheetView workbookViewId="0">
      <selection activeCell="B14" sqref="B14"/>
    </sheetView>
  </sheetViews>
  <sheetFormatPr defaultRowHeight="15"/>
  <cols>
    <col min="1" max="1" width="32.5703125" customWidth="1"/>
    <col min="2" max="2" width="58.5703125" customWidth="1"/>
    <col min="3" max="3" width="30.42578125" customWidth="1"/>
    <col min="4" max="4" width="27.140625" customWidth="1"/>
    <col min="5" max="5" width="14.28515625" customWidth="1"/>
    <col min="6" max="6" width="10.85546875" bestFit="1" customWidth="1"/>
    <col min="7" max="7" width="20.42578125" customWidth="1"/>
    <col min="8" max="8" width="50.5703125" customWidth="1"/>
    <col min="9" max="9" width="26.28515625" customWidth="1"/>
  </cols>
  <sheetData>
    <row r="1" spans="1:5" ht="25.5">
      <c r="B1" s="840" t="s">
        <v>1292</v>
      </c>
      <c r="C1" s="841"/>
      <c r="D1" s="841"/>
    </row>
    <row r="2" spans="1:5" ht="18.75" customHeight="1">
      <c r="B2" s="115"/>
      <c r="C2" s="115"/>
      <c r="D2" s="115"/>
    </row>
    <row r="3" spans="1:5" ht="22.5" customHeight="1">
      <c r="B3" s="115"/>
      <c r="C3" s="115"/>
      <c r="D3" s="115"/>
    </row>
    <row r="4" spans="1:5" ht="18.75">
      <c r="A4" s="114" t="s">
        <v>1293</v>
      </c>
      <c r="B4" s="113"/>
      <c r="C4" s="110"/>
      <c r="D4" s="110"/>
    </row>
    <row r="5" spans="1:5">
      <c r="A5" s="8"/>
      <c r="B5" s="8"/>
      <c r="C5" s="8"/>
      <c r="D5" s="9"/>
    </row>
    <row r="6" spans="1:5">
      <c r="A6" s="18" t="s">
        <v>1294</v>
      </c>
      <c r="B6" s="18" t="s">
        <v>1295</v>
      </c>
      <c r="C6" s="18" t="s">
        <v>1296</v>
      </c>
      <c r="D6" s="18" t="s">
        <v>1297</v>
      </c>
      <c r="E6" s="18" t="s">
        <v>1298</v>
      </c>
    </row>
    <row r="7" spans="1:5">
      <c r="A7" s="16" t="s">
        <v>1299</v>
      </c>
      <c r="B7" s="116">
        <v>80</v>
      </c>
      <c r="C7" s="116">
        <v>160</v>
      </c>
      <c r="D7" s="116">
        <v>80</v>
      </c>
      <c r="E7" s="119">
        <v>1</v>
      </c>
    </row>
    <row r="8" spans="1:5">
      <c r="A8" s="16" t="s">
        <v>1300</v>
      </c>
      <c r="B8" s="116" t="s">
        <v>1301</v>
      </c>
      <c r="C8" s="116" t="s">
        <v>1302</v>
      </c>
      <c r="D8" s="118" t="s">
        <v>1303</v>
      </c>
      <c r="E8" s="120" t="s">
        <v>1304</v>
      </c>
    </row>
    <row r="9" spans="1:5">
      <c r="A9" s="16" t="s">
        <v>1305</v>
      </c>
      <c r="B9" s="116" t="s">
        <v>1306</v>
      </c>
      <c r="C9" s="116">
        <v>0</v>
      </c>
      <c r="D9" s="118" t="s">
        <v>1307</v>
      </c>
      <c r="E9" s="119">
        <v>1</v>
      </c>
    </row>
    <row r="10" spans="1:5">
      <c r="A10" s="16" t="s">
        <v>1308</v>
      </c>
      <c r="B10" s="117">
        <v>0.55000000000000004</v>
      </c>
      <c r="C10" s="117">
        <v>0.85</v>
      </c>
      <c r="D10" s="117">
        <v>0.3</v>
      </c>
      <c r="E10" s="120" t="s">
        <v>1309</v>
      </c>
    </row>
    <row r="11" spans="1:5">
      <c r="A11" s="16" t="s">
        <v>1310</v>
      </c>
      <c r="B11" s="117">
        <v>0.6</v>
      </c>
      <c r="C11" s="117">
        <v>0.92</v>
      </c>
      <c r="D11" s="117">
        <v>0.32</v>
      </c>
      <c r="E11" s="120" t="s">
        <v>1311</v>
      </c>
    </row>
    <row r="12" spans="1:5">
      <c r="A12" s="16" t="s">
        <v>1312</v>
      </c>
      <c r="B12" s="116">
        <v>5</v>
      </c>
      <c r="C12" s="116">
        <v>9</v>
      </c>
      <c r="D12" s="116">
        <v>4</v>
      </c>
      <c r="E12" s="119">
        <v>0.8</v>
      </c>
    </row>
    <row r="13" spans="1:5">
      <c r="B13" s="10"/>
      <c r="C13" s="10"/>
    </row>
    <row r="14" spans="1:5">
      <c r="B14" s="112" t="s">
        <v>1313</v>
      </c>
    </row>
    <row r="15" spans="1:5">
      <c r="A15" s="17"/>
      <c r="B15" s="17"/>
    </row>
    <row r="16" spans="1:5">
      <c r="A16" s="2" t="s">
        <v>1314</v>
      </c>
      <c r="B16" s="2" t="s">
        <v>150</v>
      </c>
      <c r="C16" s="121" t="s">
        <v>1315</v>
      </c>
    </row>
    <row r="17" spans="1:9" ht="18.75">
      <c r="A17" s="12" t="s">
        <v>1316</v>
      </c>
      <c r="B17" s="12" t="s">
        <v>1317</v>
      </c>
      <c r="C17" s="122">
        <v>1.8320000000000001</v>
      </c>
      <c r="D17" s="20"/>
    </row>
    <row r="18" spans="1:9" ht="24">
      <c r="A18" s="11" t="s">
        <v>1318</v>
      </c>
      <c r="B18" s="11" t="s">
        <v>1319</v>
      </c>
      <c r="C18" s="122">
        <v>1.3740000000000001</v>
      </c>
      <c r="H18" s="575" t="s">
        <v>234</v>
      </c>
    </row>
    <row r="19" spans="1:9">
      <c r="A19" s="12" t="s">
        <v>1320</v>
      </c>
      <c r="B19" s="12" t="s">
        <v>1321</v>
      </c>
      <c r="C19" s="122">
        <v>916</v>
      </c>
    </row>
    <row r="20" spans="1:9">
      <c r="A20" s="11" t="s">
        <v>1322</v>
      </c>
      <c r="B20" s="11" t="s">
        <v>1323</v>
      </c>
      <c r="C20" s="122">
        <v>458</v>
      </c>
      <c r="F20" s="2"/>
      <c r="G20" s="149" t="s">
        <v>362</v>
      </c>
      <c r="H20" s="156" t="s">
        <v>150</v>
      </c>
      <c r="I20" s="150" t="s">
        <v>363</v>
      </c>
    </row>
    <row r="21" spans="1:9">
      <c r="A21" s="12" t="s">
        <v>1324</v>
      </c>
      <c r="B21" s="12" t="s">
        <v>1325</v>
      </c>
      <c r="C21" s="122">
        <v>611</v>
      </c>
      <c r="G21" s="154" t="s">
        <v>1326</v>
      </c>
      <c r="H21" s="157" t="s">
        <v>1327</v>
      </c>
      <c r="I21" s="155" t="s">
        <v>1328</v>
      </c>
    </row>
    <row r="22" spans="1:9">
      <c r="A22" s="11" t="s">
        <v>1329</v>
      </c>
      <c r="B22" s="11" t="s">
        <v>1330</v>
      </c>
      <c r="C22" s="122">
        <v>458</v>
      </c>
      <c r="G22" s="153" t="s">
        <v>1331</v>
      </c>
      <c r="H22" s="158" t="s">
        <v>1332</v>
      </c>
      <c r="I22" s="155" t="s">
        <v>1333</v>
      </c>
    </row>
    <row r="23" spans="1:9">
      <c r="A23" s="12" t="s">
        <v>1334</v>
      </c>
      <c r="B23" s="12" t="s">
        <v>1335</v>
      </c>
      <c r="C23" s="122">
        <v>1.8320000000000001</v>
      </c>
      <c r="G23" s="151" t="s">
        <v>1336</v>
      </c>
      <c r="H23" s="159" t="s">
        <v>1337</v>
      </c>
      <c r="I23" s="160" t="s">
        <v>1338</v>
      </c>
    </row>
    <row r="24" spans="1:9">
      <c r="A24" s="11" t="s">
        <v>1339</v>
      </c>
      <c r="B24" s="11" t="s">
        <v>1340</v>
      </c>
      <c r="C24" s="122">
        <v>229</v>
      </c>
      <c r="G24" s="154" t="s">
        <v>1341</v>
      </c>
      <c r="H24" s="161" t="s">
        <v>1342</v>
      </c>
      <c r="I24" s="152" t="s">
        <v>1343</v>
      </c>
    </row>
    <row r="25" spans="1:9">
      <c r="A25" s="12" t="s">
        <v>1344</v>
      </c>
      <c r="B25" s="12" t="s">
        <v>1345</v>
      </c>
      <c r="C25" s="122">
        <v>763</v>
      </c>
      <c r="G25" s="153" t="s">
        <v>1346</v>
      </c>
      <c r="H25" s="157" t="s">
        <v>1347</v>
      </c>
      <c r="I25" s="160" t="s">
        <v>1348</v>
      </c>
    </row>
    <row r="26" spans="1:9">
      <c r="A26" s="123" t="s">
        <v>1349</v>
      </c>
      <c r="B26" s="11"/>
      <c r="C26" s="122">
        <v>8.4730000000000008</v>
      </c>
    </row>
    <row r="27" spans="1:9">
      <c r="A27" s="17"/>
      <c r="B27" s="17"/>
    </row>
    <row r="30" spans="1:9" ht="31.5" customHeight="1">
      <c r="D30" s="111"/>
    </row>
    <row r="31" spans="1:9" ht="15" customHeight="1">
      <c r="C31" s="111"/>
      <c r="D31" s="111"/>
    </row>
    <row r="33" spans="2:9" ht="15" customHeight="1">
      <c r="B33" s="843"/>
      <c r="C33" s="843"/>
      <c r="D33" s="843"/>
      <c r="E33" s="836"/>
      <c r="F33" s="836"/>
      <c r="G33" s="836"/>
      <c r="H33" s="836"/>
      <c r="I33" s="836"/>
    </row>
    <row r="34" spans="2:9" ht="15" customHeight="1">
      <c r="B34" s="843"/>
      <c r="C34" s="843"/>
      <c r="D34" s="843"/>
      <c r="E34" s="836"/>
      <c r="F34" s="836"/>
      <c r="G34" s="836"/>
      <c r="H34" s="836"/>
      <c r="I34" s="836"/>
    </row>
    <row r="35" spans="2:9">
      <c r="B35" s="19"/>
      <c r="C35" s="19"/>
      <c r="D35" s="838"/>
      <c r="E35" s="834"/>
      <c r="F35" s="834"/>
      <c r="G35" s="834"/>
      <c r="H35" s="839"/>
      <c r="I35" s="837"/>
    </row>
    <row r="36" spans="2:9">
      <c r="B36" s="19"/>
      <c r="C36" s="19"/>
      <c r="D36" s="838"/>
      <c r="E36" s="834"/>
      <c r="F36" s="834"/>
      <c r="G36" s="834"/>
      <c r="H36" s="837"/>
      <c r="I36" s="837"/>
    </row>
    <row r="37" spans="2:9">
      <c r="B37" s="19"/>
      <c r="C37" s="19"/>
      <c r="D37" s="838"/>
      <c r="E37" s="829"/>
      <c r="F37" s="829"/>
      <c r="G37" s="592"/>
      <c r="H37" s="837"/>
      <c r="I37" s="837"/>
    </row>
    <row r="38" spans="2:9">
      <c r="B38" s="842"/>
      <c r="C38" s="108"/>
      <c r="D38" s="833"/>
      <c r="E38" s="829"/>
      <c r="F38" s="829"/>
      <c r="G38" s="592"/>
      <c r="H38" s="837"/>
      <c r="I38" s="837"/>
    </row>
    <row r="39" spans="2:9">
      <c r="B39" s="842"/>
      <c r="C39" s="108"/>
      <c r="D39" s="833"/>
      <c r="E39" s="829"/>
      <c r="F39" s="829"/>
      <c r="G39" s="592"/>
      <c r="H39" s="837"/>
      <c r="I39" s="837"/>
    </row>
    <row r="40" spans="2:9" ht="18.75">
      <c r="B40" s="19"/>
      <c r="C40" s="109"/>
      <c r="D40" s="833"/>
      <c r="E40" s="830"/>
      <c r="F40" s="830"/>
      <c r="G40" s="830"/>
      <c r="H40" s="829"/>
      <c r="I40" s="829"/>
    </row>
    <row r="41" spans="2:9">
      <c r="B41" s="19"/>
      <c r="C41" s="108"/>
      <c r="D41" s="833"/>
      <c r="E41" s="834"/>
      <c r="F41" s="834"/>
      <c r="G41" s="834"/>
      <c r="H41" s="829"/>
      <c r="I41" s="829"/>
    </row>
    <row r="42" spans="2:9">
      <c r="B42" s="19"/>
      <c r="C42" s="108"/>
      <c r="D42" s="835"/>
      <c r="E42" s="834"/>
      <c r="F42" s="834"/>
      <c r="G42" s="834"/>
      <c r="H42" s="829"/>
      <c r="I42" s="829"/>
    </row>
    <row r="43" spans="2:9">
      <c r="B43" s="19"/>
      <c r="C43" s="108"/>
      <c r="D43" s="835"/>
      <c r="E43" s="834"/>
      <c r="F43" s="834"/>
      <c r="G43" s="834"/>
      <c r="H43" s="829"/>
      <c r="I43" s="829"/>
    </row>
    <row r="44" spans="2:9">
      <c r="B44" s="19"/>
      <c r="C44" s="108"/>
      <c r="D44" s="3"/>
      <c r="E44" s="834"/>
      <c r="F44" s="834"/>
      <c r="G44" s="834"/>
      <c r="H44" s="829"/>
      <c r="I44" s="829"/>
    </row>
    <row r="45" spans="2:9">
      <c r="B45" s="19"/>
      <c r="C45" s="3"/>
      <c r="D45" s="3"/>
      <c r="E45" s="829"/>
      <c r="F45" s="829"/>
      <c r="G45" s="829"/>
      <c r="H45" s="829"/>
      <c r="I45" s="829"/>
    </row>
    <row r="46" spans="2:9" ht="18.75">
      <c r="B46" s="822"/>
      <c r="C46" s="830"/>
      <c r="D46" s="830"/>
      <c r="E46" s="830"/>
      <c r="F46" s="830"/>
      <c r="G46" s="830"/>
      <c r="H46" s="830"/>
      <c r="I46" s="830"/>
    </row>
    <row r="47" spans="2:9">
      <c r="B47" s="831"/>
      <c r="C47" s="832"/>
      <c r="D47" s="832"/>
      <c r="E47" s="832"/>
      <c r="F47" s="832"/>
      <c r="G47" s="832"/>
      <c r="H47" s="832"/>
      <c r="I47" s="832"/>
    </row>
    <row r="48" spans="2:9">
      <c r="B48" s="831"/>
      <c r="C48" s="832"/>
      <c r="D48" s="832"/>
      <c r="E48" s="832"/>
      <c r="F48" s="832"/>
      <c r="G48" s="832"/>
      <c r="H48" s="832"/>
      <c r="I48" s="832"/>
    </row>
    <row r="49" spans="2:9">
      <c r="B49" s="831"/>
      <c r="C49" s="832"/>
      <c r="D49" s="832"/>
      <c r="E49" s="832"/>
      <c r="F49" s="832"/>
      <c r="G49" s="832"/>
      <c r="H49" s="832"/>
      <c r="I49" s="832"/>
    </row>
    <row r="50" spans="2:9">
      <c r="B50" s="831"/>
      <c r="C50" s="832"/>
      <c r="D50" s="108"/>
      <c r="E50" s="108"/>
      <c r="F50" s="108"/>
      <c r="G50" s="108"/>
      <c r="H50" s="108"/>
      <c r="I50" s="108"/>
    </row>
    <row r="51" spans="2:9">
      <c r="B51" s="820"/>
      <c r="C51" s="829"/>
      <c r="D51" s="829"/>
      <c r="E51" s="829"/>
      <c r="F51" s="829"/>
      <c r="G51" s="829"/>
      <c r="H51" s="829"/>
      <c r="I51" s="829"/>
    </row>
    <row r="52" spans="2:9">
      <c r="B52" s="820"/>
      <c r="C52" s="829"/>
      <c r="D52" s="829"/>
      <c r="E52" s="829"/>
      <c r="F52" s="829"/>
      <c r="G52" s="829"/>
      <c r="H52" s="829"/>
      <c r="I52" s="829"/>
    </row>
  </sheetData>
  <mergeCells count="43">
    <mergeCell ref="B1:D1"/>
    <mergeCell ref="B38:B39"/>
    <mergeCell ref="B33:B34"/>
    <mergeCell ref="C33:C34"/>
    <mergeCell ref="D33:D34"/>
    <mergeCell ref="E33:G34"/>
    <mergeCell ref="H33:I34"/>
    <mergeCell ref="H37:I37"/>
    <mergeCell ref="D38:D39"/>
    <mergeCell ref="E38:F38"/>
    <mergeCell ref="H38:I38"/>
    <mergeCell ref="E39:F39"/>
    <mergeCell ref="H39:I39"/>
    <mergeCell ref="D35:D37"/>
    <mergeCell ref="E35:G36"/>
    <mergeCell ref="H35:I35"/>
    <mergeCell ref="H36:I36"/>
    <mergeCell ref="E37:F37"/>
    <mergeCell ref="D40:D41"/>
    <mergeCell ref="E40:G40"/>
    <mergeCell ref="H40:I40"/>
    <mergeCell ref="E41:G42"/>
    <mergeCell ref="H41:I41"/>
    <mergeCell ref="D42:D43"/>
    <mergeCell ref="H42:I42"/>
    <mergeCell ref="E43:G44"/>
    <mergeCell ref="H43:I43"/>
    <mergeCell ref="H44:I44"/>
    <mergeCell ref="B52:C52"/>
    <mergeCell ref="D52:I52"/>
    <mergeCell ref="B48:C48"/>
    <mergeCell ref="D48:I48"/>
    <mergeCell ref="B49:C49"/>
    <mergeCell ref="D49:I49"/>
    <mergeCell ref="B50:C50"/>
    <mergeCell ref="B51:C51"/>
    <mergeCell ref="D51:I51"/>
    <mergeCell ref="E45:G45"/>
    <mergeCell ref="H45:I45"/>
    <mergeCell ref="B46:C46"/>
    <mergeCell ref="D46:I46"/>
    <mergeCell ref="B47:C47"/>
    <mergeCell ref="D47:I47"/>
  </mergeCells>
  <hyperlinks>
    <hyperlink ref="I21" r:id="rId1" xr:uid="{A83005F9-9E8C-408D-A67B-0D420BF30FED}"/>
    <hyperlink ref="I22" r:id="rId2" xr:uid="{3658C3A9-568B-4253-9023-32BCCB263DD3}"/>
    <hyperlink ref="I23" r:id="rId3" xr:uid="{66CEED87-CD66-4B54-9E24-66380CAE3532}"/>
    <hyperlink ref="I24" r:id="rId4" xr:uid="{9B8D6045-F19D-430B-9B81-1D7D59ECE25C}"/>
    <hyperlink ref="I25" r:id="rId5" xr:uid="{9FA20EE3-726B-4ABE-93A8-A74F8C13026E}"/>
  </hyperlinks>
  <pageMargins left="0.7" right="0.7" top="0.75" bottom="0.75" header="0.3" footer="0.3"/>
  <tableParts count="3">
    <tablePart r:id="rId6"/>
    <tablePart r:id="rId7"/>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08243-7A27-4CF1-A63F-80603506DB4B}">
  <dimension ref="A1:F56"/>
  <sheetViews>
    <sheetView workbookViewId="0">
      <selection activeCell="A42" sqref="A42"/>
    </sheetView>
  </sheetViews>
  <sheetFormatPr defaultRowHeight="18.75"/>
  <cols>
    <col min="1" max="1" width="136.140625" style="76" customWidth="1"/>
    <col min="2" max="2" width="111.28515625" style="76" customWidth="1"/>
    <col min="3" max="3" width="75.85546875" style="76" customWidth="1"/>
    <col min="4" max="4" width="43.85546875" style="76" customWidth="1"/>
    <col min="5" max="5" width="48.28515625" style="76" customWidth="1"/>
    <col min="6" max="6" width="60.28515625" style="76" customWidth="1"/>
    <col min="7" max="16384" width="9.140625" style="76"/>
  </cols>
  <sheetData>
    <row r="1" spans="1:6">
      <c r="A1" s="297" t="s">
        <v>1350</v>
      </c>
    </row>
    <row r="2" spans="1:6">
      <c r="A2" s="239"/>
      <c r="B2" s="239"/>
      <c r="C2" s="239"/>
    </row>
    <row r="3" spans="1:6" ht="19.5">
      <c r="A3" s="239" t="s">
        <v>1351</v>
      </c>
      <c r="B3" s="239" t="s">
        <v>1352</v>
      </c>
      <c r="C3" s="295" t="s">
        <v>1353</v>
      </c>
    </row>
    <row r="4" spans="1:6" ht="19.5">
      <c r="A4" s="296" t="s">
        <v>1354</v>
      </c>
      <c r="B4" s="303">
        <f>SUM(E29:E30)</f>
        <v>11770</v>
      </c>
      <c r="C4" s="296" t="s">
        <v>1355</v>
      </c>
    </row>
    <row r="5" spans="1:6" ht="39">
      <c r="A5" s="296" t="s">
        <v>1130</v>
      </c>
      <c r="B5" s="303">
        <f>SUM(B45:B47)</f>
        <v>27400</v>
      </c>
      <c r="C5" s="296" t="s">
        <v>1356</v>
      </c>
    </row>
    <row r="6" spans="1:6" ht="39">
      <c r="A6" s="296" t="s">
        <v>1357</v>
      </c>
      <c r="B6" s="297">
        <f>B53/B54</f>
        <v>0.42956204379562046</v>
      </c>
      <c r="C6" s="296" t="s">
        <v>1358</v>
      </c>
    </row>
    <row r="7" spans="1:6" ht="19.5">
      <c r="A7" s="296" t="s">
        <v>1359</v>
      </c>
      <c r="B7" s="298">
        <f>B54/B53</f>
        <v>2.3279524214103655</v>
      </c>
      <c r="C7" s="90" t="s">
        <v>1360</v>
      </c>
    </row>
    <row r="9" spans="1:6">
      <c r="B9" s="844"/>
      <c r="C9" s="844"/>
      <c r="D9" s="844"/>
      <c r="E9" s="844"/>
      <c r="F9" s="844"/>
    </row>
    <row r="10" spans="1:6">
      <c r="A10" s="297" t="s">
        <v>1361</v>
      </c>
      <c r="B10" s="844"/>
      <c r="C10" s="844"/>
      <c r="D10" s="844"/>
      <c r="E10" s="844"/>
      <c r="F10" s="844"/>
    </row>
    <row r="11" spans="1:6">
      <c r="B11" s="844"/>
      <c r="C11" s="844"/>
      <c r="D11" s="844"/>
      <c r="E11" s="844"/>
      <c r="F11" s="844"/>
    </row>
    <row r="12" spans="1:6">
      <c r="A12" s="76" t="s">
        <v>188</v>
      </c>
      <c r="B12" s="76" t="s">
        <v>1362</v>
      </c>
    </row>
    <row r="13" spans="1:6" ht="19.5">
      <c r="A13" s="296" t="s">
        <v>1363</v>
      </c>
      <c r="B13" s="296" t="s">
        <v>1364</v>
      </c>
    </row>
    <row r="14" spans="1:6" ht="19.5">
      <c r="A14" s="296" t="s">
        <v>1365</v>
      </c>
      <c r="B14" s="296" t="s">
        <v>1366</v>
      </c>
    </row>
    <row r="15" spans="1:6" ht="19.5">
      <c r="A15" s="296" t="s">
        <v>1367</v>
      </c>
      <c r="B15" s="296" t="s">
        <v>1368</v>
      </c>
    </row>
    <row r="16" spans="1:6" ht="19.5">
      <c r="A16" s="296" t="s">
        <v>1369</v>
      </c>
      <c r="B16" s="296" t="s">
        <v>1370</v>
      </c>
    </row>
    <row r="17" spans="1:6">
      <c r="A17" s="299" t="s">
        <v>1371</v>
      </c>
      <c r="B17" s="299" t="s">
        <v>1372</v>
      </c>
    </row>
    <row r="18" spans="1:6">
      <c r="A18" s="299" t="s">
        <v>1373</v>
      </c>
      <c r="B18" s="76" t="s">
        <v>1374</v>
      </c>
    </row>
    <row r="19" spans="1:6">
      <c r="B19" s="844"/>
      <c r="C19" s="844"/>
      <c r="D19" s="844"/>
      <c r="E19" s="844"/>
      <c r="F19" s="844"/>
    </row>
    <row r="20" spans="1:6" ht="19.5">
      <c r="A20" s="296" t="s">
        <v>1375</v>
      </c>
      <c r="B20" s="844"/>
      <c r="C20" s="844"/>
      <c r="D20" s="844"/>
      <c r="E20" s="844"/>
      <c r="F20" s="844"/>
    </row>
    <row r="21" spans="1:6">
      <c r="B21" s="844"/>
      <c r="C21" s="844"/>
      <c r="D21" s="844"/>
      <c r="E21" s="844"/>
      <c r="F21" s="844"/>
    </row>
    <row r="22" spans="1:6">
      <c r="A22" s="76" t="s">
        <v>1067</v>
      </c>
      <c r="B22" s="76" t="s">
        <v>293</v>
      </c>
      <c r="C22" s="76" t="s">
        <v>445</v>
      </c>
      <c r="D22" s="76" t="s">
        <v>1376</v>
      </c>
      <c r="E22" s="76" t="s">
        <v>1377</v>
      </c>
      <c r="F22" s="76" t="s">
        <v>1378</v>
      </c>
    </row>
    <row r="23" spans="1:6">
      <c r="A23" s="76" t="s">
        <v>1379</v>
      </c>
      <c r="B23" s="76" t="s">
        <v>1380</v>
      </c>
      <c r="C23" s="76">
        <v>9</v>
      </c>
      <c r="D23" s="90">
        <v>600</v>
      </c>
      <c r="E23" s="76">
        <f>Tableau11[[#This Row],[Quantity]]*Tableau11[[#This Row],[Unit Cost (€)]]</f>
        <v>5400</v>
      </c>
      <c r="F23" s="76" t="s">
        <v>1381</v>
      </c>
    </row>
    <row r="24" spans="1:6">
      <c r="A24" s="76" t="s">
        <v>1382</v>
      </c>
      <c r="B24" s="76" t="s">
        <v>462</v>
      </c>
      <c r="C24" s="76">
        <v>12</v>
      </c>
      <c r="D24" s="76">
        <v>140</v>
      </c>
      <c r="E24" s="76">
        <f>Tableau11[[#This Row],[Quantity]]*Tableau11[[#This Row],[Unit Cost (€)]]</f>
        <v>1680</v>
      </c>
      <c r="F24" s="76" t="s">
        <v>1383</v>
      </c>
    </row>
    <row r="25" spans="1:6">
      <c r="A25" s="76" t="s">
        <v>1384</v>
      </c>
      <c r="B25" s="76" t="s">
        <v>462</v>
      </c>
      <c r="C25" s="76">
        <v>2</v>
      </c>
      <c r="D25" s="76">
        <v>190</v>
      </c>
      <c r="E25" s="76">
        <f>Tableau11[[#This Row],[Quantity]]*Tableau11[[#This Row],[Unit Cost (€)]]</f>
        <v>380</v>
      </c>
      <c r="F25" s="76" t="s">
        <v>1385</v>
      </c>
    </row>
    <row r="26" spans="1:6">
      <c r="A26" s="76" t="s">
        <v>1386</v>
      </c>
      <c r="B26" s="76" t="s">
        <v>462</v>
      </c>
      <c r="C26" s="76">
        <v>8</v>
      </c>
      <c r="D26" s="76">
        <v>110</v>
      </c>
      <c r="E26" s="76">
        <f>Tableau11[[#This Row],[Quantity]]*Tableau11[[#This Row],[Unit Cost (€)]]</f>
        <v>880</v>
      </c>
      <c r="F26" s="76" t="s">
        <v>1387</v>
      </c>
    </row>
    <row r="27" spans="1:6">
      <c r="A27" s="76" t="s">
        <v>1388</v>
      </c>
      <c r="B27" s="76" t="s">
        <v>462</v>
      </c>
      <c r="C27" s="76">
        <v>1</v>
      </c>
      <c r="D27" s="76">
        <v>1400</v>
      </c>
      <c r="E27" s="76">
        <f>Tableau11[[#This Row],[Quantity]]*Tableau11[[#This Row],[Unit Cost (€)]]</f>
        <v>1400</v>
      </c>
      <c r="F27" s="76" t="s">
        <v>1389</v>
      </c>
    </row>
    <row r="28" spans="1:6">
      <c r="A28" s="76" t="s">
        <v>1390</v>
      </c>
      <c r="B28" s="76" t="s">
        <v>462</v>
      </c>
      <c r="C28" s="76">
        <v>2</v>
      </c>
      <c r="D28" s="76">
        <v>480</v>
      </c>
      <c r="E28" s="76">
        <f>Tableau11[[#This Row],[Quantity]]*Tableau11[[#This Row],[Unit Cost (€)]]</f>
        <v>960</v>
      </c>
      <c r="F28" s="76" t="s">
        <v>1391</v>
      </c>
    </row>
    <row r="29" spans="1:6">
      <c r="A29" s="76" t="s">
        <v>1392</v>
      </c>
      <c r="E29" s="76">
        <f>SUM(E23:E28)</f>
        <v>10700</v>
      </c>
      <c r="F29" s="90" t="s">
        <v>1392</v>
      </c>
    </row>
    <row r="30" spans="1:6">
      <c r="A30" s="76" t="s">
        <v>1393</v>
      </c>
      <c r="B30" s="90"/>
      <c r="C30" s="90"/>
      <c r="D30" s="90"/>
      <c r="E30" s="76">
        <f>SUM(E23:E28)*10/100</f>
        <v>1070</v>
      </c>
      <c r="F30" s="76" t="s">
        <v>1394</v>
      </c>
    </row>
    <row r="31" spans="1:6">
      <c r="A31" s="76" t="s">
        <v>1395</v>
      </c>
      <c r="B31" s="90"/>
      <c r="C31" s="90"/>
      <c r="D31" s="90"/>
      <c r="E31" s="76">
        <f>SUM(E29:E30)</f>
        <v>11770</v>
      </c>
      <c r="F31" s="76" t="s">
        <v>1395</v>
      </c>
    </row>
    <row r="32" spans="1:6">
      <c r="B32" s="90"/>
      <c r="C32" s="90"/>
      <c r="D32" s="90"/>
    </row>
    <row r="33" spans="1:6">
      <c r="A33" s="297" t="s">
        <v>1396</v>
      </c>
      <c r="B33" s="90"/>
      <c r="C33" s="90"/>
      <c r="D33" s="90"/>
    </row>
    <row r="34" spans="1:6">
      <c r="B34" s="90"/>
      <c r="C34" s="90"/>
      <c r="D34" s="90"/>
    </row>
    <row r="35" spans="1:6">
      <c r="A35" s="76" t="s">
        <v>1397</v>
      </c>
      <c r="B35" s="76" t="s">
        <v>281</v>
      </c>
      <c r="C35" s="90"/>
      <c r="D35" s="90"/>
    </row>
    <row r="36" spans="1:6" ht="19.5">
      <c r="A36" s="296" t="s">
        <v>1398</v>
      </c>
      <c r="B36" s="302">
        <v>10000</v>
      </c>
      <c r="C36" s="90"/>
      <c r="D36" s="90"/>
    </row>
    <row r="37" spans="1:6" ht="19.5">
      <c r="A37" s="296" t="s">
        <v>1399</v>
      </c>
      <c r="B37" s="302">
        <v>20000</v>
      </c>
      <c r="C37" s="90"/>
      <c r="D37" s="90"/>
    </row>
    <row r="38" spans="1:6" ht="19.5">
      <c r="A38" s="296" t="s">
        <v>1400</v>
      </c>
      <c r="B38" s="302">
        <v>36000</v>
      </c>
      <c r="C38" s="90"/>
      <c r="D38" s="90"/>
    </row>
    <row r="39" spans="1:6" ht="19.5">
      <c r="A39" s="296" t="s">
        <v>1401</v>
      </c>
      <c r="B39" s="304">
        <v>0.2</v>
      </c>
      <c r="C39" s="90"/>
      <c r="D39" s="90"/>
    </row>
    <row r="40" spans="1:6" ht="19.5">
      <c r="A40" s="296" t="s">
        <v>1402</v>
      </c>
      <c r="B40" s="305">
        <v>0.15</v>
      </c>
      <c r="C40" s="90"/>
      <c r="D40" s="90"/>
    </row>
    <row r="41" spans="1:6">
      <c r="C41" s="594"/>
      <c r="D41" s="594"/>
      <c r="E41" s="594"/>
      <c r="F41" s="594"/>
    </row>
    <row r="42" spans="1:6">
      <c r="A42" s="300" t="s">
        <v>1403</v>
      </c>
      <c r="B42" s="594"/>
      <c r="C42" s="594"/>
      <c r="D42" s="594"/>
      <c r="E42" s="594"/>
      <c r="F42" s="594"/>
    </row>
    <row r="43" spans="1:6">
      <c r="B43" s="594"/>
      <c r="C43" s="594"/>
      <c r="D43" s="594"/>
      <c r="E43" s="594"/>
      <c r="F43" s="594"/>
    </row>
    <row r="44" spans="1:6" ht="19.5">
      <c r="A44" s="301" t="s">
        <v>1404</v>
      </c>
      <c r="B44" s="301" t="s">
        <v>1405</v>
      </c>
      <c r="C44" s="301" t="s">
        <v>1362</v>
      </c>
    </row>
    <row r="45" spans="1:6" ht="19.5">
      <c r="A45" s="296" t="s">
        <v>1406</v>
      </c>
      <c r="B45" s="302">
        <f>B36*B39</f>
        <v>2000</v>
      </c>
      <c r="C45" s="296" t="s">
        <v>1407</v>
      </c>
    </row>
    <row r="46" spans="1:6" ht="19.5">
      <c r="A46" s="296" t="s">
        <v>1408</v>
      </c>
      <c r="B46" s="302">
        <f>B37</f>
        <v>20000</v>
      </c>
      <c r="C46" s="296" t="s">
        <v>1409</v>
      </c>
    </row>
    <row r="47" spans="1:6" ht="19.5">
      <c r="A47" s="296" t="s">
        <v>1410</v>
      </c>
      <c r="B47" s="302">
        <f>B38*B40</f>
        <v>5400</v>
      </c>
      <c r="C47" s="296" t="s">
        <v>1411</v>
      </c>
    </row>
    <row r="48" spans="1:6" ht="19.5">
      <c r="A48" s="296" t="s">
        <v>1412</v>
      </c>
      <c r="B48" s="302">
        <f>SUM(B45:B47)</f>
        <v>27400</v>
      </c>
      <c r="C48" s="299" t="s">
        <v>1412</v>
      </c>
    </row>
    <row r="49" spans="1:6">
      <c r="B49" s="844"/>
      <c r="C49" s="844"/>
      <c r="D49" s="844"/>
      <c r="E49" s="844"/>
      <c r="F49" s="844"/>
    </row>
    <row r="50" spans="1:6">
      <c r="A50" s="297" t="s">
        <v>1413</v>
      </c>
      <c r="B50" s="844"/>
      <c r="C50" s="844"/>
      <c r="D50" s="844"/>
      <c r="E50" s="844"/>
      <c r="F50" s="844"/>
    </row>
    <row r="51" spans="1:6">
      <c r="B51" s="844"/>
      <c r="C51" s="844"/>
      <c r="D51" s="844"/>
      <c r="E51" s="844"/>
      <c r="F51" s="844"/>
    </row>
    <row r="52" spans="1:6" ht="19.5">
      <c r="A52" s="301" t="s">
        <v>1294</v>
      </c>
      <c r="B52" s="301" t="s">
        <v>281</v>
      </c>
      <c r="C52" s="301" t="s">
        <v>601</v>
      </c>
    </row>
    <row r="53" spans="1:6" ht="19.5">
      <c r="A53" s="296" t="s">
        <v>1354</v>
      </c>
      <c r="B53" s="303">
        <f>SUM(E29:E30)</f>
        <v>11770</v>
      </c>
      <c r="C53" s="296"/>
    </row>
    <row r="54" spans="1:6" ht="19.5">
      <c r="A54" s="296" t="s">
        <v>1130</v>
      </c>
      <c r="B54" s="303">
        <f>SUM(B45:B47)</f>
        <v>27400</v>
      </c>
      <c r="C54" s="296"/>
    </row>
    <row r="55" spans="1:6" ht="19.5">
      <c r="A55" s="296" t="s">
        <v>1357</v>
      </c>
      <c r="B55" s="296" t="s">
        <v>1414</v>
      </c>
      <c r="C55" s="296">
        <f>B53/B54</f>
        <v>0.42956204379562046</v>
      </c>
    </row>
    <row r="56" spans="1:6" ht="19.5">
      <c r="A56" s="296" t="s">
        <v>1359</v>
      </c>
      <c r="B56" s="306">
        <v>2.33</v>
      </c>
      <c r="C56" s="296">
        <f>B54/B53</f>
        <v>2.3279524214103655</v>
      </c>
    </row>
  </sheetData>
  <mergeCells count="3">
    <mergeCell ref="B9:F11"/>
    <mergeCell ref="B19:F21"/>
    <mergeCell ref="B49:F51"/>
  </mergeCells>
  <pageMargins left="0.7" right="0.7" top="0.75" bottom="0.75" header="0.3" footer="0.3"/>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Bénéwendé Arcus Marie ZOUNGRANA</cp:lastModifiedBy>
  <cp:revision/>
  <dcterms:created xsi:type="dcterms:W3CDTF">2025-09-13T16:22:16Z</dcterms:created>
  <dcterms:modified xsi:type="dcterms:W3CDTF">2026-07-17T11:27:18Z</dcterms:modified>
  <cp:category/>
  <cp:contentStatus/>
</cp:coreProperties>
</file>