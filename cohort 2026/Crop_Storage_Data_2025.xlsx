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age Capacity 2025" sheetId="1" state="visible" r:id="rId3"/>
    <sheet name="Smart Dryer 2025" sheetId="2" state="visible" r:id="rId4"/>
    <sheet name="Problems &amp; Solutions" sheetId="3" state="visible" r:id="rId5"/>
    <sheet name="Dashboard Data Poi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<sst xmlns="http://schemas.openxmlformats.org/spreadsheetml/2006/main" count="192" uniqueCount="164">
  <si>
    <t xml:space="preserve">STORAGE CAPACITY — 2025 Warehouse Design (source: Narcisse tab)</t>
  </si>
  <si>
    <t xml:space="preserve">Source: sustainable_farm2025.xlsx, tab 'Narcisse' — Design of an Energy-Efficient Warehouse for Preserving Dried Mangoes Until Distribution.</t>
  </si>
  <si>
    <t xml:space="preserve">Zone</t>
  </si>
  <si>
    <t xml:space="preserve">Purpose</t>
  </si>
  <si>
    <t xml:space="preserve">Length (m)</t>
  </si>
  <si>
    <t xml:space="preserve">Width (m)</t>
  </si>
  <si>
    <t xml:space="preserve">Area (m²)</t>
  </si>
  <si>
    <t xml:space="preserve">Target Temp (°C)</t>
  </si>
  <si>
    <t xml:space="preserve">Target RH (%)</t>
  </si>
  <si>
    <t xml:space="preserve">Key Equipment</t>
  </si>
  <si>
    <t xml:space="preserve">Receiving &amp; Inspection</t>
  </si>
  <si>
    <t xml:space="preserve">Unloading trucks, quality check, initial sorting</t>
  </si>
  <si>
    <t xml:space="preserve">20 to 25</t>
  </si>
  <si>
    <t xml:space="preserve">40-60</t>
  </si>
  <si>
    <t xml:space="preserve">Unloading table, scales, pallets</t>
  </si>
  <si>
    <t xml:space="preserve">Conditioning / Re-drying</t>
  </si>
  <si>
    <t xml:space="preserve">Optional re-drying or moisture equilibration</t>
  </si>
  <si>
    <t xml:space="preserve">40 to 60 (process)</t>
  </si>
  <si>
    <t xml:space="preserve">10-20 (process)</t>
  </si>
  <si>
    <t xml:space="preserve">Hot air oven, hygrometer</t>
  </si>
  <si>
    <t xml:space="preserve">Bulk Dry Storage (racked)</t>
  </si>
  <si>
    <t xml:space="preserve">Main storage for dried mango in bulk or boxes</t>
  </si>
  <si>
    <t xml:space="preserve">15 to 20</t>
  </si>
  <si>
    <t xml:space="preserve">50-55</t>
  </si>
  <si>
    <t xml:space="preserve">Racks, fans, dehumidifier</t>
  </si>
  <si>
    <t xml:space="preserve">Packaging &amp; Sealing</t>
  </si>
  <si>
    <t xml:space="preserve">Weighing, packaging, vacuum/MAP sealing, labeling</t>
  </si>
  <si>
    <t xml:space="preserve">18 to 22</t>
  </si>
  <si>
    <t xml:space="preserve">50-60</t>
  </si>
  <si>
    <t xml:space="preserve">Tables, scales, MAP sealer, labeler</t>
  </si>
  <si>
    <t xml:space="preserve">Cold Holding (optional)</t>
  </si>
  <si>
    <t xml:space="preserve">Short-term holding for packaged product before shipment</t>
  </si>
  <si>
    <t xml:space="preserve">10 to 15</t>
  </si>
  <si>
    <t xml:space="preserve">30-50</t>
  </si>
  <si>
    <t xml:space="preserve">Cold room, mobile racks</t>
  </si>
  <si>
    <t xml:space="preserve">Loading &amp; Dispatch</t>
  </si>
  <si>
    <t xml:space="preserve">Staging for outbound shipments</t>
  </si>
  <si>
    <t xml:space="preserve">Pallets, pallet jacks</t>
  </si>
  <si>
    <t xml:space="preserve">Utilities &amp; Mechanical</t>
  </si>
  <si>
    <t xml:space="preserve">House HVAC, dehumidifiers, solar inverter, backup generator</t>
  </si>
  <si>
    <t xml:space="preserve">—</t>
  </si>
  <si>
    <t xml:space="preserve">Central HVAC, dehumidifier, inverter, generator</t>
  </si>
  <si>
    <t xml:space="preserve">Office &amp; QC Lab</t>
  </si>
  <si>
    <t xml:space="preserve">Admin, quality control testing, record keeping</t>
  </si>
  <si>
    <t xml:space="preserve">20 to 24</t>
  </si>
  <si>
    <t xml:space="preserve">Desks, PCs, microscopes, scales</t>
  </si>
  <si>
    <t xml:space="preserve">TOTAL WAREHOUSE</t>
  </si>
  <si>
    <t xml:space="preserve">KEY FIGURE FOR THE DASHBOARD: the 'Bulk Dry Storage' zone (240 m², 15-20°C, 50-55% RH) is the main capacity constraint to track in the Crop Storage app — this is the zone the Excellence Program feedback (July 30) asked about.</t>
  </si>
  <si>
    <t xml:space="preserve">ESTIMATED TOTALS (from 2025 design)</t>
  </si>
  <si>
    <t xml:space="preserve">Metric</t>
  </si>
  <si>
    <t xml:space="preserve">Value</t>
  </si>
  <si>
    <t xml:space="preserve">Comment</t>
  </si>
  <si>
    <t xml:space="preserve">Total CAPEX</t>
  </si>
  <si>
    <t xml:space="preserve">≈ €51,000</t>
  </si>
  <si>
    <t xml:space="preserve">Sum of all zone CAPEX estimates</t>
  </si>
  <si>
    <t xml:space="preserve">Total annual OPEX</t>
  </si>
  <si>
    <t xml:space="preserve">≈ €8,400</t>
  </si>
  <si>
    <t xml:space="preserve">Sum of all zone OPEX estimates</t>
  </si>
  <si>
    <t xml:space="preserve">SMART DRYER — Key Figures from 2025 Work (source: Cedric tab)</t>
  </si>
  <si>
    <t xml:space="preserve">Source: sustainable_farm2025.xlsx, tab 'Smart Dryer(Cedric)' — Smart dryer financial planning (10 years), 2 ha scenario.</t>
  </si>
  <si>
    <t xml:space="preserve">Parameter</t>
  </si>
  <si>
    <t xml:space="preserve">Unit / Note</t>
  </si>
  <si>
    <t xml:space="preserve">Relevance for Crop Storage</t>
  </si>
  <si>
    <t xml:space="preserve">Recovery rate (fresh mango usable after storage/handling)</t>
  </si>
  <si>
    <t xml:space="preserve">80%</t>
  </si>
  <si>
    <t xml:space="preserve">Implies ~20% loss — use as storage/handling loss baseline</t>
  </si>
  <si>
    <t xml:space="preserve">Transformation ratio (fresh to dried)</t>
  </si>
  <si>
    <t xml:space="preserve">4 → 0.4</t>
  </si>
  <si>
    <t xml:space="preserve">kg fresh → kg dried (10%)</t>
  </si>
  <si>
    <t xml:space="preserve">Needed to size batch tracking</t>
  </si>
  <si>
    <t xml:space="preserve">Capacity per drying cycle</t>
  </si>
  <si>
    <t xml:space="preserve">kg fresh/cycle</t>
  </si>
  <si>
    <t xml:space="preserve">Input for capacity planning</t>
  </si>
  <si>
    <t xml:space="preserve">Campaign duration</t>
  </si>
  <si>
    <t xml:space="preserve">days (4 months)</t>
  </si>
  <si>
    <t xml:space="preserve">Defines the storage/processing season</t>
  </si>
  <si>
    <t xml:space="preserve">Max cycles per dryer (per campaign)</t>
  </si>
  <si>
    <t xml:space="preserve">cycles</t>
  </si>
  <si>
    <t xml:space="preserve">Throughput reference</t>
  </si>
  <si>
    <t xml:space="preserve">Annual dried output (2 ha)</t>
  </si>
  <si>
    <t xml:space="preserve">kg/year</t>
  </si>
  <si>
    <t xml:space="preserve">Output baseline</t>
  </si>
  <si>
    <t xml:space="preserve">Unit cost (2 ha)</t>
  </si>
  <si>
    <t xml:space="preserve">€/kg dried</t>
  </si>
  <si>
    <t xml:space="preserve">Cost baseline for loss calculations</t>
  </si>
  <si>
    <t xml:space="preserve">Export price</t>
  </si>
  <si>
    <t xml:space="preserve">Revenue baseline</t>
  </si>
  <si>
    <t xml:space="preserve">CAPEX — full processing chain</t>
  </si>
  <si>
    <t xml:space="preserve">€</t>
  </si>
  <si>
    <t xml:space="preserve">Investment reference</t>
  </si>
  <si>
    <t xml:space="preserve">CAPEX — dryers (2 units) + IoT sensors/gateway</t>
  </si>
  <si>
    <t xml:space="preserve">€ (IoT add-on)</t>
  </si>
  <si>
    <t xml:space="preserve">IoT sensors/gateway are BUDGETED, not yet installed → real-time monitoring = 0% today</t>
  </si>
  <si>
    <t xml:space="preserve">Total CAPEX (dryers + IoT)</t>
  </si>
  <si>
    <t xml:space="preserve">Total OPEX (annual)</t>
  </si>
  <si>
    <t xml:space="preserve">€/year</t>
  </si>
  <si>
    <t xml:space="preserve">Net profit (yearly)</t>
  </si>
  <si>
    <t xml:space="preserve">ROI (first year)</t>
  </si>
  <si>
    <t xml:space="preserve">ratio</t>
  </si>
  <si>
    <t xml:space="preserve">Long-term ROI (annual)</t>
  </si>
  <si>
    <t xml:space="preserve">%</t>
  </si>
  <si>
    <t xml:space="preserve">NO FIFO DATA FOUND anywhere in the 2025 file → confirms FIFO compliance = 0% (no tracking system existed).</t>
  </si>
  <si>
    <t xml:space="preserve">NO REAL-TIME TEMPERATURE MONITORING found in operational data → IoT sensors only appear in the 2025 CAPEX budget (planned, not yet deployed).</t>
  </si>
  <si>
    <t xml:space="preserve">PROBLEMS IDENTIFIED — 2025 DATA → PROPOSED SOLUTIONS</t>
  </si>
  <si>
    <t xml:space="preserve">Use this table directly for the 'Data Analysis' slide of the Friday presentation.</t>
  </si>
  <si>
    <t xml:space="preserve">Problem</t>
  </si>
  <si>
    <t xml:space="preserve">Current situation (2025 data)</t>
  </si>
  <si>
    <t xml:space="preserve">Proposed solution</t>
  </si>
  <si>
    <t xml:space="preserve">Source</t>
  </si>
  <si>
    <t xml:space="preserve">Mango loss during storage/handling</t>
  </si>
  <si>
    <t xml:space="preserve">Recovery rate = 80% → ~20% implied loss</t>
  </si>
  <si>
    <t xml:space="preserve">Batch-level loss tracking (quantity + reason) in the dashboard</t>
  </si>
  <si>
    <t xml:space="preserve">Smart Dryer 2025 sheet</t>
  </si>
  <si>
    <t xml:space="preserve">No real-time storage monitoring</t>
  </si>
  <si>
    <t xml:space="preserve">IoT sensors only budgeted (€152), not yet installed</t>
  </si>
  <si>
    <t xml:space="preserve">Deploy temperature/humidity sensors on Bulk Dry Storage zone (240 m²)</t>
  </si>
  <si>
    <t xml:space="preserve">Smart Dryer 2025 / Narcisse warehouse design</t>
  </si>
  <si>
    <t xml:space="preserve">No FIFO system</t>
  </si>
  <si>
    <t xml:space="preserve">No FIFO data or process found in 2025 files</t>
  </si>
  <si>
    <t xml:space="preserve">QR-code / batch-ID system to flag oldest batch first</t>
  </si>
  <si>
    <t xml:space="preserve">Absence in 2025 file (all tabs)</t>
  </si>
  <si>
    <t xml:space="preserve">No visibility on storage capacity</t>
  </si>
  <si>
    <t xml:space="preserve">Bulk Dry Storage = 240 m², target 15-20°C / 50-55% RH — not tracked live</t>
  </si>
  <si>
    <t xml:space="preserve">Capacity status widget: m² used / 240 m² available, updated per batch</t>
  </si>
  <si>
    <t xml:space="preserve">Narcisse warehouse design (feedback July 30)</t>
  </si>
  <si>
    <t xml:space="preserve">No structured batch data</t>
  </si>
  <si>
    <t xml:space="preserve">Batches (500 kg fresh/cycle, 32 cycles/campaign) exist only in financial planning, not in an operational system</t>
  </si>
  <si>
    <t xml:space="preserve">Digital batch entry: ID, quantity, entry date, storage location</t>
  </si>
  <si>
    <t xml:space="preserve">KEY DATA POINTS FOR THE CROP STORAGE DASHBOARD</t>
  </si>
  <si>
    <t xml:space="preserve">Field list for the first mockup — mark cells in the 'Status' column (yellow) as you confirm each field with the team.</t>
  </si>
  <si>
    <t xml:space="preserve">Field</t>
  </si>
  <si>
    <t xml:space="preserve">Type / Unit</t>
  </si>
  <si>
    <t xml:space="preserve">Why it matters</t>
  </si>
  <si>
    <t xml:space="preserve">Status</t>
  </si>
  <si>
    <t xml:space="preserve">Batch ID</t>
  </si>
  <si>
    <t xml:space="preserve">Text</t>
  </si>
  <si>
    <t xml:space="preserve">Unique identifier per batch entering storage</t>
  </si>
  <si>
    <t xml:space="preserve">To confirm</t>
  </si>
  <si>
    <t xml:space="preserve">Quantity</t>
  </si>
  <si>
    <t xml:space="preserve">kg</t>
  </si>
  <si>
    <t xml:space="preserve">Tracks stock precisely</t>
  </si>
  <si>
    <t xml:space="preserve">Entry date</t>
  </si>
  <si>
    <t xml:space="preserve">Date</t>
  </si>
  <si>
    <t xml:space="preserve">Basis for FIFO logic</t>
  </si>
  <si>
    <t xml:space="preserve">Storage location / zone</t>
  </si>
  <si>
    <t xml:space="preserve">Text (e.g. Bulk Dry Storage)</t>
  </si>
  <si>
    <t xml:space="preserve">Links batch to the 240 m² capacity zone</t>
  </si>
  <si>
    <t xml:space="preserve">Temperature</t>
  </si>
  <si>
    <t xml:space="preserve">°C (target 15-20°C for Bulk Dry Storage)</t>
  </si>
  <si>
    <t xml:space="preserve">Quality control alert threshold</t>
  </si>
  <si>
    <t xml:space="preserve">Humidity</t>
  </si>
  <si>
    <t xml:space="preserve">% RH (target 50-55%)</t>
  </si>
  <si>
    <t xml:space="preserve">Loss quantity</t>
  </si>
  <si>
    <t xml:space="preserve">Tracks the ~20% implied loss from recovery rate</t>
  </si>
  <si>
    <t xml:space="preserve">Loss reason</t>
  </si>
  <si>
    <t xml:space="preserve">Text (category)</t>
  </si>
  <si>
    <t xml:space="preserve">Root-cause analysis</t>
  </si>
  <si>
    <t xml:space="preserve">Capacity used</t>
  </si>
  <si>
    <t xml:space="preserve">m² or % of 240 m²</t>
  </si>
  <si>
    <t xml:space="preserve">Direct answer to July 30 feedback</t>
  </si>
  <si>
    <t xml:space="preserve">Capacity available</t>
  </si>
  <si>
    <t xml:space="preserve">Processing status</t>
  </si>
  <si>
    <t xml:space="preserve">Text (in storage / drying / packaged / shipped)</t>
  </si>
  <si>
    <t xml:space="preserve">Tracks batch through the value chain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</si>
</sst>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5A623"/>
        <bgColor rgb="FFFFCC00"/>
      </patternFill>
    </fill>
    <fill>
      <patternFill patternType="solid">
        <fgColor rgb="FF1A1A1A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5" min="3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6" t="n">
        <v>8</v>
      </c>
      <c r="D5" s="6" t="n">
        <v>6</v>
      </c>
      <c r="E5" s="6" t="n">
        <f aca="false">C5*D5</f>
        <v>48</v>
      </c>
      <c r="F5" s="6" t="s">
        <v>12</v>
      </c>
      <c r="G5" s="6" t="s">
        <v>13</v>
      </c>
      <c r="H5" s="5" t="s">
        <v>14</v>
      </c>
    </row>
    <row r="6" customFormat="false" ht="23.85" hidden="false" customHeight="false" outlineLevel="0" collapsed="false">
      <c r="A6" s="4" t="s">
        <v>15</v>
      </c>
      <c r="B6" s="5" t="s">
        <v>16</v>
      </c>
      <c r="C6" s="6" t="n">
        <v>6</v>
      </c>
      <c r="D6" s="6" t="n">
        <v>5</v>
      </c>
      <c r="E6" s="6" t="n">
        <f aca="false">C6*D6</f>
        <v>30</v>
      </c>
      <c r="F6" s="6" t="s">
        <v>17</v>
      </c>
      <c r="G6" s="6" t="s">
        <v>18</v>
      </c>
      <c r="H6" s="5" t="s">
        <v>19</v>
      </c>
    </row>
    <row r="7" customFormat="false" ht="23.85" hidden="false" customHeight="false" outlineLevel="0" collapsed="false">
      <c r="A7" s="4" t="s">
        <v>20</v>
      </c>
      <c r="B7" s="5" t="s">
        <v>21</v>
      </c>
      <c r="C7" s="6" t="n">
        <v>20</v>
      </c>
      <c r="D7" s="6" t="n">
        <v>12</v>
      </c>
      <c r="E7" s="6" t="n">
        <f aca="false">C7*D7</f>
        <v>240</v>
      </c>
      <c r="F7" s="6" t="s">
        <v>22</v>
      </c>
      <c r="G7" s="6" t="s">
        <v>23</v>
      </c>
      <c r="H7" s="5" t="s">
        <v>24</v>
      </c>
    </row>
    <row r="8" customFormat="false" ht="23.85" hidden="false" customHeight="false" outlineLevel="0" collapsed="false">
      <c r="A8" s="4" t="s">
        <v>25</v>
      </c>
      <c r="B8" s="5" t="s">
        <v>26</v>
      </c>
      <c r="C8" s="6" t="n">
        <v>7</v>
      </c>
      <c r="D8" s="6" t="n">
        <v>5</v>
      </c>
      <c r="E8" s="6" t="n">
        <f aca="false">C8*D8</f>
        <v>35</v>
      </c>
      <c r="F8" s="6" t="s">
        <v>27</v>
      </c>
      <c r="G8" s="6" t="s">
        <v>28</v>
      </c>
      <c r="H8" s="5" t="s">
        <v>29</v>
      </c>
    </row>
    <row r="9" customFormat="false" ht="23.85" hidden="false" customHeight="false" outlineLevel="0" collapsed="false">
      <c r="A9" s="4" t="s">
        <v>30</v>
      </c>
      <c r="B9" s="5" t="s">
        <v>31</v>
      </c>
      <c r="C9" s="6" t="n">
        <v>5</v>
      </c>
      <c r="D9" s="6" t="n">
        <v>4</v>
      </c>
      <c r="E9" s="6" t="n">
        <f aca="false">C9*D9</f>
        <v>20</v>
      </c>
      <c r="F9" s="6" t="s">
        <v>32</v>
      </c>
      <c r="G9" s="6" t="s">
        <v>33</v>
      </c>
      <c r="H9" s="5" t="s">
        <v>34</v>
      </c>
    </row>
    <row r="10" customFormat="false" ht="15" hidden="false" customHeight="false" outlineLevel="0" collapsed="false">
      <c r="A10" s="4" t="s">
        <v>35</v>
      </c>
      <c r="B10" s="5" t="s">
        <v>36</v>
      </c>
      <c r="C10" s="6" t="n">
        <v>8</v>
      </c>
      <c r="D10" s="6" t="n">
        <v>6</v>
      </c>
      <c r="E10" s="6" t="n">
        <f aca="false">C10*D10</f>
        <v>48</v>
      </c>
      <c r="F10" s="6" t="s">
        <v>12</v>
      </c>
      <c r="G10" s="6" t="s">
        <v>13</v>
      </c>
      <c r="H10" s="5" t="s">
        <v>37</v>
      </c>
    </row>
    <row r="11" customFormat="false" ht="23.85" hidden="false" customHeight="false" outlineLevel="0" collapsed="false">
      <c r="A11" s="4" t="s">
        <v>38</v>
      </c>
      <c r="B11" s="5" t="s">
        <v>39</v>
      </c>
      <c r="C11" s="6" t="n">
        <v>4</v>
      </c>
      <c r="D11" s="6" t="n">
        <v>3</v>
      </c>
      <c r="E11" s="6" t="n">
        <f aca="false">C11*D11</f>
        <v>12</v>
      </c>
      <c r="F11" s="6" t="s">
        <v>40</v>
      </c>
      <c r="G11" s="6" t="s">
        <v>40</v>
      </c>
      <c r="H11" s="5" t="s">
        <v>41</v>
      </c>
    </row>
    <row r="12" customFormat="false" ht="23.85" hidden="false" customHeight="false" outlineLevel="0" collapsed="false">
      <c r="A12" s="4" t="s">
        <v>42</v>
      </c>
      <c r="B12" s="5" t="s">
        <v>43</v>
      </c>
      <c r="C12" s="6" t="n">
        <v>6</v>
      </c>
      <c r="D12" s="6" t="n">
        <v>4</v>
      </c>
      <c r="E12" s="6" t="n">
        <f aca="false">C12*D12</f>
        <v>24</v>
      </c>
      <c r="F12" s="6" t="s">
        <v>44</v>
      </c>
      <c r="G12" s="6" t="s">
        <v>13</v>
      </c>
      <c r="H12" s="5" t="s">
        <v>45</v>
      </c>
    </row>
    <row r="13" customFormat="false" ht="15" hidden="false" customHeight="false" outlineLevel="0" collapsed="false">
      <c r="A13" s="7" t="s">
        <v>46</v>
      </c>
      <c r="B13" s="8"/>
      <c r="C13" s="8"/>
      <c r="D13" s="8"/>
      <c r="E13" s="7" t="n">
        <f aca="false">SUM(E5:E12)</f>
        <v>457</v>
      </c>
      <c r="F13" s="8"/>
      <c r="G13" s="8"/>
      <c r="H13" s="8"/>
    </row>
    <row r="15" customFormat="false" ht="23.85" hidden="false" customHeight="true" outlineLevel="0" collapsed="false">
      <c r="A15" s="9" t="s">
        <v>47</v>
      </c>
      <c r="B15" s="9"/>
      <c r="C15" s="9"/>
      <c r="D15" s="9"/>
      <c r="E15" s="9"/>
      <c r="F15" s="9"/>
      <c r="G15" s="9"/>
      <c r="H15" s="9"/>
    </row>
    <row r="17" customFormat="false" ht="21.75" hidden="false" customHeight="true" outlineLevel="0" collapsed="false">
      <c r="A17" s="1" t="s">
        <v>48</v>
      </c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3" t="s">
        <v>49</v>
      </c>
      <c r="B18" s="3" t="s">
        <v>50</v>
      </c>
      <c r="C18" s="3" t="s">
        <v>51</v>
      </c>
    </row>
    <row r="19" customFormat="false" ht="35.05" hidden="false" customHeight="false" outlineLevel="0" collapsed="false">
      <c r="A19" s="10" t="s">
        <v>52</v>
      </c>
      <c r="B19" s="10" t="s">
        <v>53</v>
      </c>
      <c r="C19" s="10" t="s">
        <v>54</v>
      </c>
    </row>
    <row r="20" customFormat="false" ht="35.05" hidden="false" customHeight="false" outlineLevel="0" collapsed="false">
      <c r="A20" s="10" t="s">
        <v>55</v>
      </c>
      <c r="B20" s="10" t="s">
        <v>56</v>
      </c>
      <c r="C20" s="10" t="s">
        <v>57</v>
      </c>
    </row>
  </sheetData>
  <mergeCells count="4">
    <mergeCell ref="A1:H1"/>
    <mergeCell ref="A2:H2"/>
    <mergeCell ref="A15:H15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2"/>
  </cols>
  <sheetData>
    <row r="1" customFormat="false" ht="21.75" hidden="false" customHeight="true" outlineLevel="0" collapsed="false">
      <c r="A1" s="1" t="s">
        <v>58</v>
      </c>
      <c r="B1" s="1"/>
      <c r="C1" s="1"/>
      <c r="D1" s="1"/>
    </row>
    <row r="2" customFormat="false" ht="15" hidden="false" customHeight="true" outlineLevel="0" collapsed="false">
      <c r="A2" s="2" t="s">
        <v>59</v>
      </c>
      <c r="B2" s="2"/>
      <c r="C2" s="2"/>
      <c r="D2" s="2"/>
    </row>
    <row r="4" customFormat="false" ht="15" hidden="false" customHeight="false" outlineLevel="0" collapsed="false">
      <c r="A4" s="3" t="s">
        <v>60</v>
      </c>
      <c r="B4" s="3" t="s">
        <v>50</v>
      </c>
      <c r="C4" s="3" t="s">
        <v>61</v>
      </c>
      <c r="D4" s="3" t="s">
        <v>62</v>
      </c>
    </row>
    <row r="5" customFormat="false" ht="23.85" hidden="false" customHeight="false" outlineLevel="0" collapsed="false">
      <c r="A5" s="10" t="s">
        <v>63</v>
      </c>
      <c r="B5" s="10" t="n">
        <v>0.8</v>
      </c>
      <c r="C5" s="10" t="s">
        <v>64</v>
      </c>
      <c r="D5" s="10" t="s">
        <v>65</v>
      </c>
    </row>
    <row r="6" customFormat="false" ht="15" hidden="false" customHeight="false" outlineLevel="0" collapsed="false">
      <c r="A6" s="10" t="s">
        <v>66</v>
      </c>
      <c r="B6" s="10" t="s">
        <v>67</v>
      </c>
      <c r="C6" s="10" t="s">
        <v>68</v>
      </c>
      <c r="D6" s="10" t="s">
        <v>69</v>
      </c>
    </row>
    <row r="7" customFormat="false" ht="15" hidden="false" customHeight="false" outlineLevel="0" collapsed="false">
      <c r="A7" s="10" t="s">
        <v>70</v>
      </c>
      <c r="B7" s="10" t="n">
        <v>500</v>
      </c>
      <c r="C7" s="10" t="s">
        <v>71</v>
      </c>
      <c r="D7" s="10" t="s">
        <v>72</v>
      </c>
    </row>
    <row r="8" customFormat="false" ht="15" hidden="false" customHeight="false" outlineLevel="0" collapsed="false">
      <c r="A8" s="10" t="s">
        <v>73</v>
      </c>
      <c r="B8" s="10" t="n">
        <v>120</v>
      </c>
      <c r="C8" s="10" t="s">
        <v>74</v>
      </c>
      <c r="D8" s="10" t="s">
        <v>75</v>
      </c>
    </row>
    <row r="9" customFormat="false" ht="15" hidden="false" customHeight="false" outlineLevel="0" collapsed="false">
      <c r="A9" s="10" t="s">
        <v>76</v>
      </c>
      <c r="B9" s="10" t="n">
        <v>32</v>
      </c>
      <c r="C9" s="10" t="s">
        <v>77</v>
      </c>
      <c r="D9" s="10" t="s">
        <v>78</v>
      </c>
    </row>
    <row r="10" customFormat="false" ht="15" hidden="false" customHeight="false" outlineLevel="0" collapsed="false">
      <c r="A10" s="10" t="s">
        <v>79</v>
      </c>
      <c r="B10" s="10" t="n">
        <v>1600</v>
      </c>
      <c r="C10" s="10" t="s">
        <v>80</v>
      </c>
      <c r="D10" s="10" t="s">
        <v>81</v>
      </c>
    </row>
    <row r="11" customFormat="false" ht="15" hidden="false" customHeight="false" outlineLevel="0" collapsed="false">
      <c r="A11" s="10" t="s">
        <v>82</v>
      </c>
      <c r="B11" s="10" t="n">
        <v>3</v>
      </c>
      <c r="C11" s="10" t="s">
        <v>83</v>
      </c>
      <c r="D11" s="10" t="s">
        <v>84</v>
      </c>
    </row>
    <row r="12" customFormat="false" ht="15" hidden="false" customHeight="false" outlineLevel="0" collapsed="false">
      <c r="A12" s="10" t="s">
        <v>85</v>
      </c>
      <c r="B12" s="10" t="n">
        <v>30</v>
      </c>
      <c r="C12" s="10" t="s">
        <v>83</v>
      </c>
      <c r="D12" s="10" t="s">
        <v>86</v>
      </c>
    </row>
    <row r="13" customFormat="false" ht="15" hidden="false" customHeight="false" outlineLevel="0" collapsed="false">
      <c r="A13" s="10" t="s">
        <v>87</v>
      </c>
      <c r="B13" s="10" t="n">
        <v>8861</v>
      </c>
      <c r="C13" s="10" t="s">
        <v>88</v>
      </c>
      <c r="D13" s="10" t="s">
        <v>89</v>
      </c>
    </row>
    <row r="14" customFormat="false" ht="23.85" hidden="false" customHeight="false" outlineLevel="0" collapsed="false">
      <c r="A14" s="10" t="s">
        <v>90</v>
      </c>
      <c r="B14" s="10" t="n">
        <v>5741</v>
      </c>
      <c r="C14" s="10" t="s">
        <v>91</v>
      </c>
      <c r="D14" s="10" t="s">
        <v>92</v>
      </c>
    </row>
    <row r="15" customFormat="false" ht="15" hidden="false" customHeight="false" outlineLevel="0" collapsed="false">
      <c r="A15" s="10" t="s">
        <v>93</v>
      </c>
      <c r="B15" s="10" t="n">
        <v>14602</v>
      </c>
      <c r="C15" s="10" t="s">
        <v>88</v>
      </c>
      <c r="D15" s="10" t="s">
        <v>40</v>
      </c>
    </row>
    <row r="16" customFormat="false" ht="15" hidden="false" customHeight="false" outlineLevel="0" collapsed="false">
      <c r="A16" s="10" t="s">
        <v>94</v>
      </c>
      <c r="B16" s="10" t="n">
        <v>5213</v>
      </c>
      <c r="C16" s="10" t="s">
        <v>95</v>
      </c>
      <c r="D16" s="10" t="s">
        <v>40</v>
      </c>
    </row>
    <row r="17" customFormat="false" ht="15" hidden="false" customHeight="false" outlineLevel="0" collapsed="false">
      <c r="A17" s="10" t="s">
        <v>96</v>
      </c>
      <c r="B17" s="10" t="n">
        <v>42787</v>
      </c>
      <c r="C17" s="10" t="s">
        <v>88</v>
      </c>
      <c r="D17" s="10" t="s">
        <v>40</v>
      </c>
    </row>
    <row r="18" customFormat="false" ht="15" hidden="false" customHeight="false" outlineLevel="0" collapsed="false">
      <c r="A18" s="10" t="s">
        <v>97</v>
      </c>
      <c r="B18" s="10" t="n">
        <v>2.93</v>
      </c>
      <c r="C18" s="10" t="s">
        <v>98</v>
      </c>
      <c r="D18" s="10" t="s">
        <v>40</v>
      </c>
    </row>
    <row r="19" customFormat="false" ht="15" hidden="false" customHeight="false" outlineLevel="0" collapsed="false">
      <c r="A19" s="10" t="s">
        <v>99</v>
      </c>
      <c r="B19" s="10" t="n">
        <v>8.21</v>
      </c>
      <c r="C19" s="10" t="s">
        <v>100</v>
      </c>
      <c r="D19" s="10" t="s">
        <v>40</v>
      </c>
    </row>
    <row r="21" customFormat="false" ht="15" hidden="false" customHeight="true" outlineLevel="0" collapsed="false">
      <c r="A21" s="9" t="s">
        <v>101</v>
      </c>
      <c r="B21" s="9"/>
      <c r="C21" s="9"/>
      <c r="D21" s="9"/>
    </row>
    <row r="22" customFormat="false" ht="23.85" hidden="false" customHeight="true" outlineLevel="0" collapsed="false">
      <c r="A22" s="9" t="s">
        <v>102</v>
      </c>
      <c r="B22" s="9"/>
      <c r="C22" s="9"/>
      <c r="D22" s="9"/>
    </row>
  </sheetData>
  <mergeCells count="4">
    <mergeCell ref="A1:D1"/>
    <mergeCell ref="A2:D2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2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1" t="s">
        <v>103</v>
      </c>
      <c r="B1" s="1"/>
      <c r="C1" s="1"/>
      <c r="D1" s="1"/>
    </row>
    <row r="2" customFormat="false" ht="15" hidden="false" customHeight="true" outlineLevel="0" collapsed="false">
      <c r="A2" s="2" t="s">
        <v>104</v>
      </c>
      <c r="B2" s="2"/>
      <c r="C2" s="2"/>
      <c r="D2" s="2"/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</row>
    <row r="5" customFormat="false" ht="23.85" hidden="false" customHeight="false" outlineLevel="0" collapsed="false">
      <c r="A5" s="10" t="s">
        <v>109</v>
      </c>
      <c r="B5" s="10" t="s">
        <v>110</v>
      </c>
      <c r="C5" s="10" t="s">
        <v>111</v>
      </c>
      <c r="D5" s="10" t="s">
        <v>112</v>
      </c>
    </row>
    <row r="6" customFormat="false" ht="35.05" hidden="false" customHeight="false" outlineLevel="0" collapsed="false">
      <c r="A6" s="10" t="s">
        <v>113</v>
      </c>
      <c r="B6" s="10" t="s">
        <v>114</v>
      </c>
      <c r="C6" s="10" t="s">
        <v>115</v>
      </c>
      <c r="D6" s="10" t="s">
        <v>116</v>
      </c>
    </row>
    <row r="7" customFormat="false" ht="23.85" hidden="false" customHeight="false" outlineLevel="0" collapsed="false">
      <c r="A7" s="10" t="s">
        <v>117</v>
      </c>
      <c r="B7" s="10" t="s">
        <v>118</v>
      </c>
      <c r="C7" s="10" t="s">
        <v>119</v>
      </c>
      <c r="D7" s="10" t="s">
        <v>120</v>
      </c>
    </row>
    <row r="8" customFormat="false" ht="23.85" hidden="false" customHeight="false" outlineLevel="0" collapsed="false">
      <c r="A8" s="10" t="s">
        <v>121</v>
      </c>
      <c r="B8" s="10" t="s">
        <v>122</v>
      </c>
      <c r="C8" s="10" t="s">
        <v>123</v>
      </c>
      <c r="D8" s="10" t="s">
        <v>124</v>
      </c>
    </row>
    <row r="9" customFormat="false" ht="35.05" hidden="false" customHeight="false" outlineLevel="0" collapsed="false">
      <c r="A9" s="10" t="s">
        <v>125</v>
      </c>
      <c r="B9" s="10" t="s">
        <v>126</v>
      </c>
      <c r="C9" s="10" t="s">
        <v>127</v>
      </c>
      <c r="D9" s="10" t="s">
        <v>112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128</v>
      </c>
      <c r="B1" s="1"/>
      <c r="C1" s="1"/>
      <c r="D1" s="1"/>
    </row>
    <row r="2" customFormat="false" ht="15" hidden="false" customHeight="true" outlineLevel="0" collapsed="false">
      <c r="A2" s="2" t="s">
        <v>129</v>
      </c>
      <c r="B2" s="2"/>
      <c r="C2" s="2"/>
      <c r="D2" s="2"/>
    </row>
    <row r="4" customFormat="false" ht="15" hidden="false" customHeight="false" outlineLevel="0" collapsed="false">
      <c r="A4" s="3" t="s">
        <v>130</v>
      </c>
      <c r="B4" s="3" t="s">
        <v>131</v>
      </c>
      <c r="C4" s="3" t="s">
        <v>132</v>
      </c>
      <c r="D4" s="3" t="s">
        <v>133</v>
      </c>
    </row>
    <row r="5" customFormat="false" ht="15" hidden="false" customHeight="false" outlineLevel="0" collapsed="false">
      <c r="A5" s="10" t="s">
        <v>134</v>
      </c>
      <c r="B5" s="10" t="s">
        <v>135</v>
      </c>
      <c r="C5" s="10" t="s">
        <v>136</v>
      </c>
      <c r="D5" s="11" t="s">
        <v>137</v>
      </c>
    </row>
    <row r="6" customFormat="false" ht="15" hidden="false" customHeight="false" outlineLevel="0" collapsed="false">
      <c r="A6" s="10" t="s">
        <v>138</v>
      </c>
      <c r="B6" s="10" t="s">
        <v>139</v>
      </c>
      <c r="C6" s="10" t="s">
        <v>140</v>
      </c>
      <c r="D6" s="11" t="s">
        <v>137</v>
      </c>
    </row>
    <row r="7" customFormat="false" ht="15" hidden="false" customHeight="false" outlineLevel="0" collapsed="false">
      <c r="A7" s="10" t="s">
        <v>141</v>
      </c>
      <c r="B7" s="10" t="s">
        <v>142</v>
      </c>
      <c r="C7" s="10" t="s">
        <v>143</v>
      </c>
      <c r="D7" s="11" t="s">
        <v>137</v>
      </c>
    </row>
    <row r="8" customFormat="false" ht="15" hidden="false" customHeight="false" outlineLevel="0" collapsed="false">
      <c r="A8" s="10" t="s">
        <v>144</v>
      </c>
      <c r="B8" s="10" t="s">
        <v>145</v>
      </c>
      <c r="C8" s="10" t="s">
        <v>146</v>
      </c>
      <c r="D8" s="11" t="s">
        <v>137</v>
      </c>
    </row>
    <row r="9" customFormat="false" ht="15" hidden="false" customHeight="false" outlineLevel="0" collapsed="false">
      <c r="A9" s="10" t="s">
        <v>147</v>
      </c>
      <c r="B9" s="10" t="s">
        <v>148</v>
      </c>
      <c r="C9" s="10" t="s">
        <v>149</v>
      </c>
      <c r="D9" s="11" t="s">
        <v>137</v>
      </c>
    </row>
    <row r="10" customFormat="false" ht="15" hidden="false" customHeight="false" outlineLevel="0" collapsed="false">
      <c r="A10" s="10" t="s">
        <v>150</v>
      </c>
      <c r="B10" s="10" t="s">
        <v>151</v>
      </c>
      <c r="C10" s="10" t="s">
        <v>149</v>
      </c>
      <c r="D10" s="11" t="s">
        <v>137</v>
      </c>
    </row>
    <row r="11" customFormat="false" ht="15" hidden="false" customHeight="false" outlineLevel="0" collapsed="false">
      <c r="A11" s="10" t="s">
        <v>152</v>
      </c>
      <c r="B11" s="10" t="s">
        <v>139</v>
      </c>
      <c r="C11" s="10" t="s">
        <v>153</v>
      </c>
      <c r="D11" s="11" t="s">
        <v>137</v>
      </c>
    </row>
    <row r="12" customFormat="false" ht="15" hidden="false" customHeight="false" outlineLevel="0" collapsed="false">
      <c r="A12" s="10" t="s">
        <v>154</v>
      </c>
      <c r="B12" s="10" t="s">
        <v>155</v>
      </c>
      <c r="C12" s="10" t="s">
        <v>156</v>
      </c>
      <c r="D12" s="11" t="s">
        <v>137</v>
      </c>
    </row>
    <row r="13" customFormat="false" ht="15" hidden="false" customHeight="false" outlineLevel="0" collapsed="false">
      <c r="A13" s="10" t="s">
        <v>157</v>
      </c>
      <c r="B13" s="10" t="s">
        <v>158</v>
      </c>
      <c r="C13" s="10" t="s">
        <v>159</v>
      </c>
      <c r="D13" s="11" t="s">
        <v>137</v>
      </c>
    </row>
    <row r="14" customFormat="false" ht="15" hidden="false" customHeight="false" outlineLevel="0" collapsed="false">
      <c r="A14" s="10" t="s">
        <v>160</v>
      </c>
      <c r="B14" s="10" t="s">
        <v>158</v>
      </c>
      <c r="C14" s="10" t="s">
        <v>159</v>
      </c>
      <c r="D14" s="11" t="s">
        <v>137</v>
      </c>
    </row>
    <row r="15" customFormat="false" ht="23.85" hidden="false" customHeight="false" outlineLevel="0" collapsed="false">
      <c r="A15" s="10" t="s">
        <v>161</v>
      </c>
      <c r="B15" s="10" t="s">
        <v>162</v>
      </c>
      <c r="C15" s="10" t="s">
        <v>163</v>
      </c>
      <c r="D15" s="11" t="s">
        <v>137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2026-07-30T18:07:54Z</dcterms:created>
  <dc:creator>openpyxl</dc:creator>
  <dc:description/>
  <dc:language>en-US</dc:language>
  <cp:lastModifiedBy/>
  <dcterms:modified xsi:type="dcterms:W3CDTF">2026-07-30T18:07:54Z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