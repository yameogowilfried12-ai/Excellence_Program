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/>
  <xr:revisionPtr revIDLastSave="3748" documentId="11_0B1D56BE9CDCCE836B02CE7A5FB0D4A9BBFD1C62" xr6:coauthVersionLast="47" xr6:coauthVersionMax="47" xr10:uidLastSave="{F32F064F-185E-4565-AFD4-2C00DB60D3F6}"/>
  <bookViews>
    <workbookView xWindow="240" yWindow="105" windowWidth="14805" windowHeight="8010" firstSheet="3" activeTab="3" xr2:uid="{00000000-000D-0000-FFFF-FFFF00000000}"/>
  </bookViews>
  <sheets>
    <sheet name="Overall Farm" sheetId="1" r:id="rId1"/>
    <sheet name="Plants(Zalka)" sheetId="2" r:id="rId2"/>
    <sheet name="Irrigation System(Arcus)" sheetId="3" r:id="rId3"/>
    <sheet name="Processing Machines(Ange Marie)" sheetId="4" r:id="rId4"/>
    <sheet name="Smart Dryer(Cedric)" sheetId="5" r:id="rId5"/>
    <sheet name="Sheet1" sheetId="10" r:id="rId6"/>
    <sheet name="Solar tracking" sheetId="7" r:id="rId7"/>
    <sheet name="Solar PV power plant(Abdoul)" sheetId="6" r:id="rId8"/>
    <sheet name="No Reesa(Afiatou)" sheetId="8" r:id="rId9"/>
    <sheet name="Face Recognition(Yanick)" sheetId="9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" i="10" l="1"/>
  <c r="D57" i="10"/>
  <c r="D56" i="10"/>
  <c r="D55" i="10"/>
  <c r="D54" i="10"/>
  <c r="D53" i="10"/>
  <c r="D52" i="10"/>
  <c r="D51" i="10"/>
  <c r="D50" i="10"/>
  <c r="D49" i="10"/>
  <c r="R6" i="3"/>
  <c r="Q6" i="3"/>
  <c r="S16" i="3"/>
  <c r="S21" i="3"/>
  <c r="S22" i="3"/>
  <c r="D57" i="5"/>
  <c r="F18" i="9"/>
  <c r="D58" i="5"/>
  <c r="D135" i="5" s="1"/>
  <c r="E135" i="5" s="1"/>
  <c r="F135" i="5" s="1"/>
  <c r="E57" i="5"/>
  <c r="H57" i="5" s="1"/>
  <c r="M57" i="5" s="1"/>
  <c r="D56" i="5"/>
  <c r="D133" i="5" s="1"/>
  <c r="E133" i="5" s="1"/>
  <c r="F133" i="5" s="1"/>
  <c r="D55" i="5"/>
  <c r="D132" i="5" s="1"/>
  <c r="E132" i="5" s="1"/>
  <c r="F132" i="5" s="1"/>
  <c r="D54" i="5"/>
  <c r="D131" i="5" s="1"/>
  <c r="E131" i="5" s="1"/>
  <c r="F131" i="5" s="1"/>
  <c r="D53" i="5"/>
  <c r="D130" i="5" s="1"/>
  <c r="E130" i="5" s="1"/>
  <c r="F130" i="5" s="1"/>
  <c r="D52" i="5"/>
  <c r="D129" i="5" s="1"/>
  <c r="E129" i="5" s="1"/>
  <c r="F129" i="5" s="1"/>
  <c r="D51" i="5"/>
  <c r="D128" i="5" s="1"/>
  <c r="E128" i="5" s="1"/>
  <c r="F128" i="5" s="1"/>
  <c r="D50" i="5"/>
  <c r="D127" i="5" s="1"/>
  <c r="E127" i="5" s="1"/>
  <c r="F127" i="5" s="1"/>
  <c r="D49" i="5"/>
  <c r="F57" i="5"/>
  <c r="G6" i="3"/>
  <c r="C16" i="6"/>
  <c r="C10" i="6"/>
  <c r="P13" i="3"/>
  <c r="P14" i="3"/>
  <c r="P15" i="3"/>
  <c r="P16" i="3"/>
  <c r="P17" i="3"/>
  <c r="P12" i="3"/>
  <c r="P18" i="3"/>
  <c r="S13" i="3" s="1"/>
  <c r="C22" i="6"/>
  <c r="C18" i="6"/>
  <c r="H6" i="3"/>
  <c r="D126" i="10" l="1"/>
  <c r="E126" i="10" s="1"/>
  <c r="D108" i="10"/>
  <c r="E108" i="10" s="1"/>
  <c r="D86" i="10"/>
  <c r="E86" i="10" s="1"/>
  <c r="D68" i="10"/>
  <c r="E68" i="10" s="1"/>
  <c r="E49" i="10"/>
  <c r="D127" i="10"/>
  <c r="E127" i="10" s="1"/>
  <c r="D109" i="10"/>
  <c r="E109" i="10" s="1"/>
  <c r="D87" i="10"/>
  <c r="E87" i="10" s="1"/>
  <c r="D69" i="10"/>
  <c r="E69" i="10" s="1"/>
  <c r="E50" i="10"/>
  <c r="D128" i="10"/>
  <c r="E128" i="10" s="1"/>
  <c r="D110" i="10"/>
  <c r="E110" i="10" s="1"/>
  <c r="D88" i="10"/>
  <c r="E88" i="10" s="1"/>
  <c r="D70" i="10"/>
  <c r="E70" i="10" s="1"/>
  <c r="E51" i="10"/>
  <c r="D129" i="10"/>
  <c r="E129" i="10" s="1"/>
  <c r="D111" i="10"/>
  <c r="E111" i="10" s="1"/>
  <c r="D89" i="10"/>
  <c r="E89" i="10" s="1"/>
  <c r="D71" i="10"/>
  <c r="E71" i="10" s="1"/>
  <c r="E52" i="10"/>
  <c r="D130" i="10"/>
  <c r="E130" i="10" s="1"/>
  <c r="D112" i="10"/>
  <c r="E112" i="10" s="1"/>
  <c r="D90" i="10"/>
  <c r="E90" i="10" s="1"/>
  <c r="D72" i="10"/>
  <c r="E72" i="10" s="1"/>
  <c r="E53" i="10"/>
  <c r="D131" i="10"/>
  <c r="E131" i="10" s="1"/>
  <c r="D113" i="10"/>
  <c r="E113" i="10" s="1"/>
  <c r="D91" i="10"/>
  <c r="E91" i="10" s="1"/>
  <c r="D73" i="10"/>
  <c r="E73" i="10" s="1"/>
  <c r="E54" i="10"/>
  <c r="D132" i="10"/>
  <c r="E132" i="10" s="1"/>
  <c r="D114" i="10"/>
  <c r="E114" i="10" s="1"/>
  <c r="D92" i="10"/>
  <c r="E92" i="10" s="1"/>
  <c r="D74" i="10"/>
  <c r="E74" i="10" s="1"/>
  <c r="E55" i="10"/>
  <c r="D133" i="10"/>
  <c r="E133" i="10" s="1"/>
  <c r="D115" i="10"/>
  <c r="E115" i="10" s="1"/>
  <c r="D93" i="10"/>
  <c r="E93" i="10" s="1"/>
  <c r="D75" i="10"/>
  <c r="E75" i="10" s="1"/>
  <c r="E56" i="10"/>
  <c r="D134" i="10"/>
  <c r="E134" i="10" s="1"/>
  <c r="D116" i="10"/>
  <c r="E116" i="10" s="1"/>
  <c r="D94" i="10"/>
  <c r="E94" i="10" s="1"/>
  <c r="D76" i="10"/>
  <c r="E76" i="10" s="1"/>
  <c r="E57" i="10"/>
  <c r="D135" i="10"/>
  <c r="E135" i="10" s="1"/>
  <c r="D117" i="10"/>
  <c r="E117" i="10" s="1"/>
  <c r="D95" i="10"/>
  <c r="E95" i="10" s="1"/>
  <c r="D77" i="10"/>
  <c r="E77" i="10" s="1"/>
  <c r="E58" i="10"/>
  <c r="D108" i="5"/>
  <c r="E108" i="5" s="1"/>
  <c r="D126" i="5"/>
  <c r="E126" i="5" s="1"/>
  <c r="F126" i="5" s="1"/>
  <c r="D116" i="5"/>
  <c r="E116" i="5" s="1"/>
  <c r="D134" i="5"/>
  <c r="E134" i="5" s="1"/>
  <c r="F134" i="5" s="1"/>
  <c r="I6" i="3"/>
  <c r="J6" i="3"/>
  <c r="S15" i="3"/>
  <c r="S23" i="3"/>
  <c r="H126" i="5"/>
  <c r="H127" i="5"/>
  <c r="H128" i="5"/>
  <c r="H129" i="5"/>
  <c r="H130" i="5"/>
  <c r="H131" i="5"/>
  <c r="H132" i="5"/>
  <c r="H133" i="5"/>
  <c r="H134" i="5"/>
  <c r="H135" i="5"/>
  <c r="D87" i="5"/>
  <c r="D109" i="5"/>
  <c r="E109" i="5" s="1"/>
  <c r="D88" i="5"/>
  <c r="E88" i="5" s="1"/>
  <c r="D110" i="5"/>
  <c r="E110" i="5" s="1"/>
  <c r="D89" i="5"/>
  <c r="E89" i="5" s="1"/>
  <c r="D111" i="5"/>
  <c r="E111" i="5" s="1"/>
  <c r="D90" i="5"/>
  <c r="E90" i="5" s="1"/>
  <c r="D112" i="5"/>
  <c r="E112" i="5" s="1"/>
  <c r="D91" i="5"/>
  <c r="E91" i="5" s="1"/>
  <c r="D113" i="5"/>
  <c r="E113" i="5" s="1"/>
  <c r="D92" i="5"/>
  <c r="E92" i="5" s="1"/>
  <c r="D114" i="5"/>
  <c r="E114" i="5" s="1"/>
  <c r="D93" i="5"/>
  <c r="E93" i="5" s="1"/>
  <c r="D115" i="5"/>
  <c r="E115" i="5" s="1"/>
  <c r="D95" i="5"/>
  <c r="E95" i="5" s="1"/>
  <c r="D117" i="5"/>
  <c r="E117" i="5" s="1"/>
  <c r="F109" i="5"/>
  <c r="H109" i="5"/>
  <c r="F110" i="5"/>
  <c r="H110" i="5"/>
  <c r="F111" i="5"/>
  <c r="H111" i="5"/>
  <c r="F112" i="5"/>
  <c r="H112" i="5"/>
  <c r="F113" i="5"/>
  <c r="H113" i="5"/>
  <c r="F114" i="5"/>
  <c r="H114" i="5"/>
  <c r="F115" i="5"/>
  <c r="H115" i="5"/>
  <c r="F116" i="5"/>
  <c r="H116" i="5"/>
  <c r="F117" i="5"/>
  <c r="H117" i="5"/>
  <c r="F108" i="5"/>
  <c r="H108" i="5"/>
  <c r="D86" i="5"/>
  <c r="E86" i="5" s="1"/>
  <c r="H86" i="5" s="1"/>
  <c r="M86" i="5" s="1"/>
  <c r="D68" i="5"/>
  <c r="D76" i="5"/>
  <c r="E76" i="5" s="1"/>
  <c r="D94" i="5"/>
  <c r="E94" i="5" s="1"/>
  <c r="F89" i="5"/>
  <c r="H89" i="5"/>
  <c r="F90" i="5"/>
  <c r="H90" i="5"/>
  <c r="F91" i="5"/>
  <c r="H91" i="5"/>
  <c r="F92" i="5"/>
  <c r="H92" i="5"/>
  <c r="F93" i="5"/>
  <c r="H93" i="5"/>
  <c r="F94" i="5"/>
  <c r="H94" i="5"/>
  <c r="F95" i="5"/>
  <c r="H95" i="5"/>
  <c r="F88" i="5"/>
  <c r="H88" i="5"/>
  <c r="E87" i="5"/>
  <c r="H87" i="5" s="1"/>
  <c r="M87" i="5" s="1"/>
  <c r="F87" i="5"/>
  <c r="F86" i="5"/>
  <c r="E49" i="5"/>
  <c r="E68" i="5"/>
  <c r="E50" i="5"/>
  <c r="D69" i="5"/>
  <c r="E69" i="5" s="1"/>
  <c r="E51" i="5"/>
  <c r="D70" i="5"/>
  <c r="E70" i="5" s="1"/>
  <c r="E52" i="5"/>
  <c r="D71" i="5"/>
  <c r="E71" i="5" s="1"/>
  <c r="E53" i="5"/>
  <c r="D72" i="5"/>
  <c r="E72" i="5" s="1"/>
  <c r="E54" i="5"/>
  <c r="D73" i="5"/>
  <c r="E73" i="5" s="1"/>
  <c r="E55" i="5"/>
  <c r="D74" i="5"/>
  <c r="E74" i="5" s="1"/>
  <c r="E56" i="5"/>
  <c r="D75" i="5"/>
  <c r="E75" i="5" s="1"/>
  <c r="E58" i="5"/>
  <c r="D77" i="5"/>
  <c r="E77" i="5" s="1"/>
  <c r="F77" i="5"/>
  <c r="H77" i="5"/>
  <c r="F76" i="5"/>
  <c r="H76" i="5"/>
  <c r="F75" i="5"/>
  <c r="H75" i="5"/>
  <c r="F74" i="5"/>
  <c r="H74" i="5"/>
  <c r="F73" i="5"/>
  <c r="H73" i="5"/>
  <c r="F72" i="5"/>
  <c r="H72" i="5"/>
  <c r="F71" i="5"/>
  <c r="H71" i="5"/>
  <c r="F70" i="5"/>
  <c r="H70" i="5"/>
  <c r="F69" i="5"/>
  <c r="H69" i="5"/>
  <c r="F68" i="5"/>
  <c r="H68" i="5"/>
  <c r="L57" i="5"/>
  <c r="H58" i="10" l="1"/>
  <c r="F58" i="10"/>
  <c r="H77" i="10"/>
  <c r="F77" i="10"/>
  <c r="H95" i="10"/>
  <c r="F95" i="10"/>
  <c r="H117" i="10"/>
  <c r="F117" i="10"/>
  <c r="H135" i="10"/>
  <c r="F135" i="10"/>
  <c r="H57" i="10"/>
  <c r="F57" i="10"/>
  <c r="H76" i="10"/>
  <c r="F76" i="10"/>
  <c r="H94" i="10"/>
  <c r="F94" i="10"/>
  <c r="H116" i="10"/>
  <c r="F116" i="10"/>
  <c r="H134" i="10"/>
  <c r="F134" i="10"/>
  <c r="H56" i="10"/>
  <c r="F56" i="10"/>
  <c r="H75" i="10"/>
  <c r="F75" i="10"/>
  <c r="H93" i="10"/>
  <c r="F93" i="10"/>
  <c r="H115" i="10"/>
  <c r="F115" i="10"/>
  <c r="H133" i="10"/>
  <c r="F133" i="10"/>
  <c r="H55" i="10"/>
  <c r="F55" i="10"/>
  <c r="H74" i="10"/>
  <c r="F74" i="10"/>
  <c r="H92" i="10"/>
  <c r="F92" i="10"/>
  <c r="H114" i="10"/>
  <c r="F114" i="10"/>
  <c r="H132" i="10"/>
  <c r="F132" i="10"/>
  <c r="H54" i="10"/>
  <c r="F54" i="10"/>
  <c r="H73" i="10"/>
  <c r="F73" i="10"/>
  <c r="H91" i="10"/>
  <c r="F91" i="10"/>
  <c r="H113" i="10"/>
  <c r="F113" i="10"/>
  <c r="H131" i="10"/>
  <c r="F131" i="10"/>
  <c r="H53" i="10"/>
  <c r="F53" i="10"/>
  <c r="H72" i="10"/>
  <c r="F72" i="10"/>
  <c r="H90" i="10"/>
  <c r="F90" i="10"/>
  <c r="H112" i="10"/>
  <c r="F112" i="10"/>
  <c r="H130" i="10"/>
  <c r="F130" i="10"/>
  <c r="H52" i="10"/>
  <c r="F52" i="10"/>
  <c r="H71" i="10"/>
  <c r="F71" i="10"/>
  <c r="H89" i="10"/>
  <c r="F89" i="10"/>
  <c r="H111" i="10"/>
  <c r="F111" i="10"/>
  <c r="H129" i="10"/>
  <c r="F129" i="10"/>
  <c r="H51" i="10"/>
  <c r="F51" i="10"/>
  <c r="H70" i="10"/>
  <c r="F70" i="10"/>
  <c r="H88" i="10"/>
  <c r="F88" i="10"/>
  <c r="H110" i="10"/>
  <c r="F110" i="10"/>
  <c r="H128" i="10"/>
  <c r="F128" i="10"/>
  <c r="H50" i="10"/>
  <c r="F50" i="10"/>
  <c r="H69" i="10"/>
  <c r="F69" i="10"/>
  <c r="H87" i="10"/>
  <c r="F87" i="10"/>
  <c r="H109" i="10"/>
  <c r="F109" i="10"/>
  <c r="H127" i="10"/>
  <c r="F127" i="10"/>
  <c r="H49" i="10"/>
  <c r="F49" i="10"/>
  <c r="H68" i="10"/>
  <c r="F68" i="10"/>
  <c r="H86" i="10"/>
  <c r="F86" i="10"/>
  <c r="H108" i="10"/>
  <c r="F108" i="10"/>
  <c r="H126" i="10"/>
  <c r="F126" i="10"/>
  <c r="L6" i="3"/>
  <c r="M6" i="3" s="1"/>
  <c r="N6" i="3" s="1"/>
  <c r="O6" i="3" s="1"/>
  <c r="K6" i="3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L117" i="5"/>
  <c r="M117" i="5"/>
  <c r="L116" i="5"/>
  <c r="M116" i="5"/>
  <c r="L115" i="5"/>
  <c r="M115" i="5"/>
  <c r="L114" i="5"/>
  <c r="M114" i="5"/>
  <c r="L113" i="5"/>
  <c r="M113" i="5"/>
  <c r="L112" i="5"/>
  <c r="M112" i="5"/>
  <c r="L111" i="5"/>
  <c r="M111" i="5"/>
  <c r="L110" i="5"/>
  <c r="M110" i="5"/>
  <c r="L109" i="5"/>
  <c r="M109" i="5"/>
  <c r="L108" i="5"/>
  <c r="M108" i="5"/>
  <c r="L88" i="5"/>
  <c r="M88" i="5"/>
  <c r="L95" i="5"/>
  <c r="M95" i="5"/>
  <c r="L94" i="5"/>
  <c r="M94" i="5"/>
  <c r="L93" i="5"/>
  <c r="M93" i="5"/>
  <c r="L92" i="5"/>
  <c r="M92" i="5"/>
  <c r="L91" i="5"/>
  <c r="M91" i="5"/>
  <c r="L90" i="5"/>
  <c r="M90" i="5"/>
  <c r="L89" i="5"/>
  <c r="M89" i="5"/>
  <c r="L87" i="5"/>
  <c r="L86" i="5"/>
  <c r="L69" i="5"/>
  <c r="M69" i="5"/>
  <c r="L70" i="5"/>
  <c r="M70" i="5"/>
  <c r="L71" i="5"/>
  <c r="M71" i="5"/>
  <c r="L72" i="5"/>
  <c r="M72" i="5"/>
  <c r="L73" i="5"/>
  <c r="M73" i="5"/>
  <c r="L74" i="5"/>
  <c r="M74" i="5"/>
  <c r="L75" i="5"/>
  <c r="M75" i="5"/>
  <c r="L76" i="5"/>
  <c r="M76" i="5"/>
  <c r="L77" i="5"/>
  <c r="M77" i="5"/>
  <c r="L68" i="5"/>
  <c r="M68" i="5"/>
  <c r="H58" i="5"/>
  <c r="F58" i="5"/>
  <c r="H56" i="5"/>
  <c r="F56" i="5"/>
  <c r="H55" i="5"/>
  <c r="F55" i="5"/>
  <c r="H54" i="5"/>
  <c r="F54" i="5"/>
  <c r="H53" i="5"/>
  <c r="F53" i="5"/>
  <c r="H52" i="5"/>
  <c r="F52" i="5"/>
  <c r="H51" i="5"/>
  <c r="F51" i="5"/>
  <c r="H50" i="5"/>
  <c r="F50" i="5"/>
  <c r="H49" i="5"/>
  <c r="F49" i="5"/>
  <c r="M126" i="10" l="1"/>
  <c r="L126" i="10"/>
  <c r="M108" i="10"/>
  <c r="L108" i="10"/>
  <c r="M86" i="10"/>
  <c r="L86" i="10"/>
  <c r="M68" i="10"/>
  <c r="L68" i="10"/>
  <c r="M49" i="10"/>
  <c r="L49" i="10"/>
  <c r="M127" i="10"/>
  <c r="L127" i="10"/>
  <c r="M109" i="10"/>
  <c r="L109" i="10"/>
  <c r="M87" i="10"/>
  <c r="L87" i="10"/>
  <c r="M69" i="10"/>
  <c r="L69" i="10"/>
  <c r="M50" i="10"/>
  <c r="L50" i="10"/>
  <c r="M128" i="10"/>
  <c r="L128" i="10"/>
  <c r="M110" i="10"/>
  <c r="L110" i="10"/>
  <c r="M88" i="10"/>
  <c r="L88" i="10"/>
  <c r="M70" i="10"/>
  <c r="L70" i="10"/>
  <c r="M51" i="10"/>
  <c r="L51" i="10"/>
  <c r="M129" i="10"/>
  <c r="L129" i="10"/>
  <c r="M111" i="10"/>
  <c r="L111" i="10"/>
  <c r="M89" i="10"/>
  <c r="L89" i="10"/>
  <c r="M71" i="10"/>
  <c r="L71" i="10"/>
  <c r="M52" i="10"/>
  <c r="L52" i="10"/>
  <c r="M130" i="10"/>
  <c r="L130" i="10"/>
  <c r="M112" i="10"/>
  <c r="L112" i="10"/>
  <c r="M90" i="10"/>
  <c r="L90" i="10"/>
  <c r="M72" i="10"/>
  <c r="L72" i="10"/>
  <c r="M53" i="10"/>
  <c r="L53" i="10"/>
  <c r="M131" i="10"/>
  <c r="L131" i="10"/>
  <c r="M113" i="10"/>
  <c r="L113" i="10"/>
  <c r="M91" i="10"/>
  <c r="L91" i="10"/>
  <c r="M73" i="10"/>
  <c r="L73" i="10"/>
  <c r="M54" i="10"/>
  <c r="L54" i="10"/>
  <c r="M132" i="10"/>
  <c r="L132" i="10"/>
  <c r="M114" i="10"/>
  <c r="L114" i="10"/>
  <c r="M92" i="10"/>
  <c r="L92" i="10"/>
  <c r="M74" i="10"/>
  <c r="L74" i="10"/>
  <c r="M55" i="10"/>
  <c r="L55" i="10"/>
  <c r="M133" i="10"/>
  <c r="L133" i="10"/>
  <c r="M115" i="10"/>
  <c r="L115" i="10"/>
  <c r="M93" i="10"/>
  <c r="L93" i="10"/>
  <c r="M75" i="10"/>
  <c r="L75" i="10"/>
  <c r="M56" i="10"/>
  <c r="L56" i="10"/>
  <c r="M134" i="10"/>
  <c r="L134" i="10"/>
  <c r="M116" i="10"/>
  <c r="L116" i="10"/>
  <c r="M94" i="10"/>
  <c r="L94" i="10"/>
  <c r="M76" i="10"/>
  <c r="L76" i="10"/>
  <c r="M57" i="10"/>
  <c r="L57" i="10"/>
  <c r="M135" i="10"/>
  <c r="L135" i="10"/>
  <c r="M117" i="10"/>
  <c r="L117" i="10"/>
  <c r="M95" i="10"/>
  <c r="L95" i="10"/>
  <c r="M77" i="10"/>
  <c r="L77" i="10"/>
  <c r="M58" i="10"/>
  <c r="L58" i="10"/>
  <c r="M49" i="5"/>
  <c r="L49" i="5"/>
  <c r="M50" i="5"/>
  <c r="L50" i="5"/>
  <c r="M51" i="5"/>
  <c r="L51" i="5"/>
  <c r="M52" i="5"/>
  <c r="L52" i="5"/>
  <c r="M53" i="5"/>
  <c r="L53" i="5"/>
  <c r="M54" i="5"/>
  <c r="L54" i="5"/>
  <c r="M55" i="5"/>
  <c r="L55" i="5"/>
  <c r="M56" i="5"/>
  <c r="L56" i="5"/>
  <c r="M58" i="5"/>
  <c r="L5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tc={87341C9E-B9DB-46D3-A2AE-F69101F97733}</author>
    <author>tc={A2EC88CB-F0FA-4B5A-87BE-4EFA3FD8B23F}</author>
    <author>tc={E19C23D8-BDDB-4941-BC67-7D4382D1D427}</author>
    <author>tc={E63A8420-42E4-475E-9B92-4E143EEB8E76}</author>
    <author>tc={19629B0B-C54E-4B3C-8465-8E35837978E0}</author>
    <author>tc={2A25DE7A-0856-4475-AD35-68E9FCF33CAC}</author>
    <author>tc={892C97E1-21AA-4D14-AE88-EC5916786E41}</author>
    <author>tc={4A14AA5F-08E0-4FCB-A3C9-8381563E4600}</author>
    <author>tc={CC67322F-66CC-4932-B3F8-6FFF15835BFE}</author>
    <author>tc={73136E15-C0EE-4511-87AF-28D1D6E443C1}</author>
    <author>tc={76E52E48-D57E-45CC-8C24-B37A110B39FE}</author>
    <author>tc={1F6F246C-E630-4B82-BC73-079414E2AE0A}</author>
    <author>tc={D5590B21-3252-4B15-A613-BD2E41FDBFA8}</author>
    <author>tc={CB6F7D8E-A003-43C3-86F6-5C1E11FFE1C1}</author>
    <author>tc={30737756-ECBA-4179-BDAF-FE843EB63C53}</author>
  </authors>
  <commentList>
    <comment ref="G6" authorId="0" shapeId="0" xr:uid="{87341C9E-B9DB-46D3-A2AE-F69101F97733}">
      <text>
        <t>[Threaded comment]
Your version of Excel allows you to read this threaded comment; however, any edits to it will get removed if the file is opened in a newer version of Excel. Learn more: https://go.microsoft.com/fwlink/?linkid=870924
Comment:
    where does 100 comes from? report, study, guess? 
Reply:
    this depends on how big is the spacing between the trees as well. could you add this parameter to the input column
Reply:
    100 is the estimated number of trees in 1 hectare with a space of 10 m between the trees. You can see the details in the input parameters and definitions</t>
      </text>
    </comment>
    <comment ref="H6" authorId="1" shapeId="0" xr:uid="{A2EC88CB-F0FA-4B5A-87BE-4EFA3FD8B23F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make the formula easy to explain e.g. what is 1000? what is 100? you could make a separate column for  the input parameters
Reply:
    You can find the explanation in the input parameters and definition table</t>
      </text>
    </comment>
    <comment ref="I6" authorId="2" shapeId="0" xr:uid="{E19C23D8-BDDB-4941-BC67-7D4382D1D427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the tree age play a role? e.g. young trees vs mature trees
Reply:
    does this number applies to all year long and all climate conditions e.g. in rainy season the number could be low, ..etc.
Reply:
    this is for mature mango trees in dry season</t>
      </text>
    </comment>
    <comment ref="J6" authorId="3" shapeId="0" xr:uid="{E63A8420-42E4-475E-9B92-4E143EEB8E76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is 5? please explain as suggested with input column
Reply:
    it represents the daily irrigation duration</t>
      </text>
    </comment>
    <comment ref="K6" authorId="4" shapeId="0" xr:uid="{19629B0B-C54E-4B3C-8465-8E35837978E0}">
      <text>
        <t>[Threaded comment]
Your version of Excel allows you to read this threaded comment; however, any edits to it will get removed if the file is opened in a newer version of Excel. Learn more: https://go.microsoft.com/fwlink/?linkid=870924
Comment:
    60 is the number of minutes in 1 hour</t>
      </text>
    </comment>
    <comment ref="P6" authorId="5" shapeId="0" xr:uid="{2A25DE7A-0856-4475-AD35-68E9FCF33CAC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this calculation include any buffer to compensate for losses e.g. efficiency, variations ...etc.?please consider that and adjust your calculations accordingly
Reply:
    yes, it does include any buffer for compensation in case of losses</t>
      </text>
    </comment>
    <comment ref="L10" authorId="6" shapeId="0" xr:uid="{892C97E1-21AA-4D14-AE88-EC5916786E41}">
      <text>
        <t>[Threaded comment]
Your version of Excel allows you to read this threaded comment; however, any edits to it will get removed if the file is opened in a newer version of Excel. Learn more: https://go.microsoft.com/fwlink/?linkid=870924
Comment:
    Some of the cost are local cost. For the smart add-on, drip irrigation, filtration+MPPT costs, it has been estimated basing on the international market</t>
      </text>
    </comment>
    <comment ref="L12" authorId="7" shapeId="0" xr:uid="{4A14AA5F-08E0-4FCB-A3C9-8381563E4600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is the capacity of the tank?</t>
      </text>
    </comment>
    <comment ref="P12" authorId="8" shapeId="0" xr:uid="{CC67322F-66CC-4932-B3F8-6FFF15835BFE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you consider any cheaper alternatives?
Reply:
    Yes I considered now</t>
      </text>
    </comment>
    <comment ref="U13" authorId="9" shapeId="0" xr:uid="{73136E15-C0EE-4511-87AF-28D1D6E443C1}">
      <text>
        <t>[Threaded comment]
Your version of Excel allows you to read this threaded comment; however, any edits to it will get removed if the file is opened in a newer version of Excel. Learn more: https://go.microsoft.com/fwlink/?linkid=870924
Comment:
    CAPEX (Capital Expenditure)</t>
      </text>
    </comment>
    <comment ref="O14" authorId="10" shapeId="0" xr:uid="{76E52E48-D57E-45CC-8C24-B37A110B39FE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which market? burkina faso, china, germany?</t>
      </text>
    </comment>
    <comment ref="P18" authorId="11" shapeId="0" xr:uid="{1F6F246C-E630-4B82-BC73-079414E2AE0A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much time do you think you can get this investment sum repaid back. payback period is short means a profitable project, if payback period is long it means less profitable project. make assumptions to calculate payback period
Reply:
    You can see it on the calculation table</t>
      </text>
    </comment>
    <comment ref="S18" authorId="12" shapeId="0" xr:uid="{D5590B21-3252-4B15-A613-BD2E41FDBF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replaced every 10 years; 2 replacement in total during the project lifetime</t>
      </text>
    </comment>
    <comment ref="S19" authorId="13" shapeId="0" xr:uid="{CB6F7D8E-A003-43C3-86F6-5C1E11FFE1C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replaced every 10 years; 2 replacement in total</t>
      </text>
    </comment>
    <comment ref="S20" authorId="14" shapeId="0" xr:uid="{30737756-ECBA-4179-BDAF-FE843EB63C5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replaced every 10 years also; 2 replacement in total during the project lifetime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tc={3B5B4A5C-1540-4A5C-B265-7A9B69BF94B1}</author>
    <author>tc={55E8B360-440F-4231-87DA-16F19DBD6083}</author>
    <author>tc={DA61F77F-54E6-4B0E-9684-90D85F7012AC}</author>
    <author>tc={5E36174B-72D2-4061-AA6B-C464FF877BA9}</author>
    <author>tc={825DA654-6A40-49AF-B694-1A3FC6FE8696}</author>
    <author>tc={13DC0BDD-8FD5-44D4-980D-3FAC0AA6374D}</author>
  </authors>
  <commentList>
    <comment ref="A2" authorId="0" shapeId="0" xr:uid="{3B5B4A5C-1540-4A5C-B265-7A9B69BF94B1}">
      <text>
        <t>[Threaded comment]
Your version of Excel allows you to read this threaded comment; however, any edits to it will get removed if the file is opened in a newer version of Excel. Learn more: https://go.microsoft.com/fwlink/?linkid=870924
Comment:
    we might not need a ball mill for the mango but what we need are machines which can be used for cutting the mango</t>
      </text>
    </comment>
    <comment ref="B3" authorId="1" shapeId="0" xr:uid="{55E8B360-440F-4231-87DA-16F19DBD6083}">
      <text>
        <t>[Threaded comment]
Your version of Excel allows you to read this threaded comment; however, any edits to it will get removed if the file is opened in a newer version of Excel. Learn more: https://go.microsoft.com/fwlink/?linkid=870924
Comment:
    why are the numbers fluctuating?
Reply:
    The numbers rise and fall because in Burkina Faso there are periods when mango production is very high and when this period passes production also falls.</t>
      </text>
    </comment>
    <comment ref="C3" authorId="2" shapeId="0" xr:uid="{DA61F77F-54E6-4B0E-9684-90D85F7012AC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is this calculated?
Reply:
    The number is based on study showing that the waste generated is around 50% of the quantity of processed mangoes.</t>
      </text>
    </comment>
    <comment ref="D3" authorId="3" shapeId="0" xr:uid="{5E36174B-72D2-4061-AA6B-C464FF877BA9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is biogas calculated? is it assumed or based on study?
Reply:
    The biogas is calculated by following this formula : 1 kg of mango waste gives 0.043 m³ of biogas. This formula is based on study from the net.</t>
      </text>
    </comment>
    <comment ref="Q3" authorId="4" shapeId="0" xr:uid="{825DA654-6A40-49AF-B694-1A3FC6FE8696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annual output is from the plant sheet in the common excel</t>
      </text>
    </comment>
    <comment ref="L4" authorId="5" shapeId="0" xr:uid="{13DC0BDD-8FD5-44D4-980D-3FAC0AA637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biogas volume was used to calculate biogas outputs for each month of the year.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tc={753BF6E2-4B3E-4436-9CF2-5A0882711F66}</author>
    <author>tc={C7EF18BD-B85D-4954-87E5-07E6AE76388A}</author>
    <author>tc={D951C372-0506-4115-8AB7-F872A9CFC94B}</author>
    <author>tc={8C26E72D-0395-4FCD-B593-447B3BF16F18}</author>
    <author>tc={06AD86B0-7E8C-4A63-8CBD-D8D0C8A8EF7A}</author>
    <author>tc={8023BE6E-9434-439C-8570-AF29F0292DA8}</author>
    <author>tc={125BEC1E-245A-4C9A-A0A9-4D2B90AD1CA7}</author>
    <author>tc={F5972CDE-4248-415E-AF64-7D93634046F5}</author>
    <author>tc={DF8695E9-6696-4920-8BDF-FD7B96FB6012}</author>
    <author>tc={D279D25C-3385-411C-B4F1-7B65C1C8AEC6}</author>
    <author>tc={0515190D-1523-48D3-B116-8EDF74B7E455}</author>
    <author>tc={624A26E7-0561-4706-998D-854E8C54F4DD}</author>
    <author>tc={343D0121-6C45-4CAE-8065-B6BA7846309F}</author>
    <author>tc={B24F0E4A-1782-4739-8599-C50F0D4C0E24}</author>
    <author>tc={49BAD0B2-8887-4A5E-90C8-1F2C46A611EA}</author>
    <author>tc={F541040C-BEE0-41F7-A593-2E9D0DF678BE}</author>
    <author>tc={C87ABDE0-E7AD-4415-B3C2-3E9FBAD8B851}</author>
    <author>tc={494C4857-ABBC-4C45-8BD1-2C6D1D43D130}</author>
  </authors>
  <commentList>
    <comment ref="C16" authorId="0" shapeId="0" xr:uid="{753BF6E2-4B3E-4436-9CF2-5A0882711F66}">
      <text>
        <t>[Threaded comment]
Your version of Excel allows you to read this threaded comment; however, any edits to it will get removed if the file is opened in a newer version of Excel. Learn more: https://go.microsoft.com/fwlink/?linkid=870924
Comment:
    where is the source of this value, report? study? historical data? or assumption
Reply:
    https://www.researchgate.net/publication/242642925_The_mango_tree_in_central_and_northern_Benin_Cultivar_inventory_yield_assessment_infested_stages_and_loss_due_to_fruit_flies_Diptera_Tephritidae</t>
      </text>
    </comment>
    <comment ref="C17" authorId="1" shapeId="0" xr:uid="{C7EF18BD-B85D-4954-87E5-07E6AE76388A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does recovery rate means?
Reply:
    The proportion of usable, good-quality product that remains after harvesting, handling, and processing compared to the total originally harvested.</t>
      </text>
    </comment>
    <comment ref="C18" authorId="2" shapeId="0" xr:uid="{D951C372-0506-4115-8AB7-F872A9CFC94B}">
      <text>
        <t>[Threaded comment]
Your version of Excel allows you to read this threaded comment; however, any edits to it will get removed if the file is opened in a newer version of Excel. Learn more: https://go.microsoft.com/fwlink/?linkid=870924
Comment:
    I understood the term transformation ration but I didn't get 4? e.g. if I put 1 kg of fresh mango how much dried mango I get?
Reply:
    I have added the link saying that It takes between 12 to 15 kg of fresh mangoes to produce 1 kg of dried fruit, although some estimates put the conversion rate closer to 10%. Then with 1 kg appying 10% outputs 0.1kg</t>
      </text>
    </comment>
    <comment ref="C20" authorId="3" shapeId="0" xr:uid="{8C26E72D-0395-4FCD-B593-447B3BF16F18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indicate the source of the price is there a portal which tracks these information and publish them?
Reply:
    Alright</t>
      </text>
    </comment>
    <comment ref="C22" authorId="4" shapeId="0" xr:uid="{06AD86B0-7E8C-4A63-8CBD-D8D0C8A8EF7A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is meant by campaign here?
Reply:
    It refers to the mango active harvesting season in Burkina.</t>
      </text>
    </comment>
    <comment ref="C24" authorId="5" shapeId="0" xr:uid="{8023BE6E-9434-439C-8570-AF29F0292DA8}">
      <text>
        <t>[Threaded comment]
Your version of Excel allows you to read this threaded comment; however, any edits to it will get removed if the file is opened in a newer version of Excel. Learn more: https://go.microsoft.com/fwlink/?linkid=870924
Comment:
    make a calculation column in Euro values 
Reply:
    Alright</t>
      </text>
    </comment>
    <comment ref="C25" authorId="6" shapeId="0" xr:uid="{125BEC1E-245A-4C9A-A0A9-4D2B90AD1CA7}">
      <text>
        <t>[Threaded comment]
Your version of Excel allows you to read this threaded comment; however, any edits to it will get removed if the file is opened in a newer version of Excel. Learn more: https://go.microsoft.com/fwlink/?linkid=870924
Comment:
    I am wondering here how did you consider the 1 hectar area, or 3 hectar area, did you consider that 2.2. 2hectar farm could yield 10 ton mango every month and based on that the calculations are made
Reply:
    yes
Reply:
    But i considered the fact that  1 hectar farm could yield 10 ton mango every year</t>
      </text>
    </comment>
    <comment ref="C26" authorId="7" shapeId="0" xr:uid="{F5972CDE-4248-415E-AF64-7D93634046F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selected size of the farm is the 2 hectar please do the calculatoins for that
Reply:
    I thought we should use the last cohort findings.</t>
      </text>
    </comment>
    <comment ref="B48" authorId="8" shapeId="0" xr:uid="{DF8695E9-6696-4920-8BDF-FD7B96FB6012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there a calculation for 2 hectar?
Reply:
    I will include it.</t>
      </text>
    </comment>
    <comment ref="D49" authorId="9" shapeId="0" xr:uid="{D279D25C-3385-411C-B4F1-7B65C1C8AEC6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is the source of this calculation?
Reply:
    Over 10000 kg per year 8000 kg is usable can pass through the drying process regarding the  recovery rate.</t>
      </text>
    </comment>
    <comment ref="E49" authorId="10" shapeId="0" xr:uid="{0515190D-1523-48D3-B116-8EDF74B7E455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is this calculation made?
Reply:
    I made a different file mentionning the formulas used accessible from the my homepage. I will ensure to include them into the excel sheet for easier understanding.</t>
      </text>
    </comment>
    <comment ref="F49" authorId="11" shapeId="0" xr:uid="{624A26E7-0561-4706-998D-854E8C54F4DD}">
      <text>
        <t>[Threaded comment]
Your version of Excel allows you to read this threaded comment; however, any edits to it will get removed if the file is opened in a newer version of Excel. Learn more: https://go.microsoft.com/fwlink/?linkid=870924
Comment:
    why is this column increasing? is the price increasing per time?
Reply:
    I sincerely apologize,this was a mistake.</t>
      </text>
    </comment>
    <comment ref="H49" authorId="12" shapeId="0" xr:uid="{343D0121-6C45-4CAE-8065-B6BA7846309F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is this value obtained? please use the formula mode in Excel e.g. =F46+E46*D47
Reply:
    I added it</t>
      </text>
    </comment>
    <comment ref="B125" authorId="13" shapeId="0" xr:uid="{B24F0E4A-1782-4739-8599-C50F0D4C0E24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there a calculation for 2 hectar?
Reply:
    I will include it.</t>
      </text>
    </comment>
    <comment ref="D126" authorId="14" shapeId="0" xr:uid="{49BAD0B2-8887-4A5E-90C8-1F2C46A611EA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is the source of this calculation?
Reply:
    Over 10000 kg per year 8000 kg is usable can pass through the drying process regarding the  recovery rate.</t>
      </text>
    </comment>
    <comment ref="E126" authorId="15" shapeId="0" xr:uid="{F541040C-BEE0-41F7-A593-2E9D0DF678BE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is this calculation made?
Reply:
    I made a different file mentionning the formulas used accessible from the my homepage. I will ensure to include them into the excel sheet for easier understanding.</t>
      </text>
    </comment>
    <comment ref="F126" authorId="16" shapeId="0" xr:uid="{C87ABDE0-E7AD-4415-B3C2-3E9FBAD8B851}">
      <text>
        <t>[Threaded comment]
Your version of Excel allows you to read this threaded comment; however, any edits to it will get removed if the file is opened in a newer version of Excel. Learn more: https://go.microsoft.com/fwlink/?linkid=870924
Comment:
    why is this column increasing? is the price increasing per time?
Reply:
    I sincerely apologize,this was a mistake.</t>
      </text>
    </comment>
    <comment ref="H126" authorId="17" shapeId="0" xr:uid="{494C4857-ABBC-4C45-8BD1-2C6D1D43D130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is this value obtained? please use the formula mode in Excel e.g. =F46+E46*D47
Reply:
    I added it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tc={9F152FF6-AD8B-47A8-8004-B198D1AB1F82}</author>
    <author>tc={566EA0D0-E544-42B6-812A-028D87358BEE}</author>
    <author>tc={C42CB579-ECD9-4C85-82ED-C7CA8D66E49A}</author>
    <author>tc={7516E66B-E591-4EF8-85EB-99BA6BBFE367}</author>
    <author>tc={6A972256-F4B4-4C99-AD96-FDAF431B0640}</author>
    <author>tc={F7A5B134-28E9-405A-8B6F-88B98C0E316B}</author>
    <author>tc={1CC22084-851C-45C6-9FE2-51A8833A2222}</author>
    <author>tc={7484853F-1BBC-4C5D-ABCC-E307F2A08489}</author>
    <author>tc={8F0ACF32-B859-4E70-8A1E-3466073CD0F1}</author>
    <author>tc={C0CC9F8F-52B7-4CBE-A467-7B5A8C3A9C09}</author>
    <author>tc={0A793C4C-3BB6-4EF7-830B-D6B344A96DE2}</author>
    <author>tc={DFB61F11-6968-4360-AD5C-01C3D228510B}</author>
    <author>tc={F14C2C92-BA57-4466-A3DB-12EC4B0E41A6}</author>
    <author>tc={896BBB76-E938-400F-BB94-563C48DD21BE}</author>
    <author>tc={57A00F6D-D7AF-4C47-8100-151C347A6C1C}</author>
    <author>tc={6ABA4F27-CDB3-4ED7-883C-F5EFE05349D3}</author>
    <author>tc={19E1D45B-A45C-4EF1-A21E-94B689B66B1E}</author>
    <author>tc={F9070219-9BA1-419C-8F96-C02F3A67CBF8}</author>
  </authors>
  <commentList>
    <comment ref="C16" authorId="0" shapeId="0" xr:uid="{9F152FF6-AD8B-47A8-8004-B198D1AB1F82}">
      <text>
        <t>[Threaded comment]
Your version of Excel allows you to read this threaded comment; however, any edits to it will get removed if the file is opened in a newer version of Excel. Learn more: https://go.microsoft.com/fwlink/?linkid=870924
Comment:
    where is the source of this value, report? study? historical data? or assumption
Reply:
    https://www.researchgate.net/publication/242642925_The_mango_tree_in_central_and_northern_Benin_Cultivar_inventory_yield_assessment_infested_stages_and_loss_due_to_fruit_flies_Diptera_Tephritidae</t>
      </text>
    </comment>
    <comment ref="C17" authorId="1" shapeId="0" xr:uid="{566EA0D0-E544-42B6-812A-028D87358BEE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does recovery rate means?
Reply:
    The proportion of usable, good-quality product that remains after harvesting, handling, and processing compared to the total originally harvested.</t>
      </text>
    </comment>
    <comment ref="C18" authorId="2" shapeId="0" xr:uid="{C42CB579-ECD9-4C85-82ED-C7CA8D66E49A}">
      <text>
        <t>[Threaded comment]
Your version of Excel allows you to read this threaded comment; however, any edits to it will get removed if the file is opened in a newer version of Excel. Learn more: https://go.microsoft.com/fwlink/?linkid=870924
Comment:
    I understood the term transformation ration but I didn't get 4? e.g. if I put 1 kg of fresh mango how much dried mango I get?
Reply:
    I have added the link saying that It takes between 12 to 15 kg of fresh mangoes to produce 1 kg of dried fruit, although some estimates put the conversion rate closer to 10%. Then with 1 kg appying 10% outputs 0.1kg</t>
      </text>
    </comment>
    <comment ref="C20" authorId="3" shapeId="0" xr:uid="{7516E66B-E591-4EF8-85EB-99BA6BBFE367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indicate the source of the price is there a portal which tracks these information and publish them?
Reply:
    Alright</t>
      </text>
    </comment>
    <comment ref="C22" authorId="4" shapeId="0" xr:uid="{6A972256-F4B4-4C99-AD96-FDAF431B0640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is meant by campaign here?
Reply:
    It refers to the mango active harvesting season in Burkina.</t>
      </text>
    </comment>
    <comment ref="C24" authorId="5" shapeId="0" xr:uid="{F7A5B134-28E9-405A-8B6F-88B98C0E316B}">
      <text>
        <t>[Threaded comment]
Your version of Excel allows you to read this threaded comment; however, any edits to it will get removed if the file is opened in a newer version of Excel. Learn more: https://go.microsoft.com/fwlink/?linkid=870924
Comment:
    make a calculation column in Euro values 
Reply:
    Alright</t>
      </text>
    </comment>
    <comment ref="C25" authorId="6" shapeId="0" xr:uid="{1CC22084-851C-45C6-9FE2-51A8833A2222}">
      <text>
        <t>[Threaded comment]
Your version of Excel allows you to read this threaded comment; however, any edits to it will get removed if the file is opened in a newer version of Excel. Learn more: https://go.microsoft.com/fwlink/?linkid=870924
Comment:
    I am wondering here how did you consider the 1 hectar area, or 3 hectar area, did you consider that 2.2. 2hectar farm could yield 10 ton mango every month and based on that the calculations are made
Reply:
    yes
Reply:
    But i considered the fact that  1 hectar farm could yield 10 ton mango every year</t>
      </text>
    </comment>
    <comment ref="C26" authorId="7" shapeId="0" xr:uid="{7484853F-1BBC-4C5D-ABCC-E307F2A0848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selected size of the farm is the 2 hectar please do the calculatoins for that
Reply:
    I thought we should use the last cohort findings.</t>
      </text>
    </comment>
    <comment ref="B48" authorId="8" shapeId="0" xr:uid="{8F0ACF32-B859-4E70-8A1E-3466073CD0F1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there a calculation for 2 hectar?
Reply:
    I will include it.</t>
      </text>
    </comment>
    <comment ref="D49" authorId="9" shapeId="0" xr:uid="{C0CC9F8F-52B7-4CBE-A467-7B5A8C3A9C09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is the source of this calculation?
Reply:
    Over 10000 kg per year 8000 kg is usable can pass through the drying process regarding the  recovery rate.</t>
      </text>
    </comment>
    <comment ref="E49" authorId="10" shapeId="0" xr:uid="{0A793C4C-3BB6-4EF7-830B-D6B344A96DE2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is this calculation made?
Reply:
    I made a different file mentionning the formulas used accessible from the my homepage. I will ensure to include them into the excel sheet for easier understanding.</t>
      </text>
    </comment>
    <comment ref="F49" authorId="11" shapeId="0" xr:uid="{DFB61F11-6968-4360-AD5C-01C3D228510B}">
      <text>
        <t>[Threaded comment]
Your version of Excel allows you to read this threaded comment; however, any edits to it will get removed if the file is opened in a newer version of Excel. Learn more: https://go.microsoft.com/fwlink/?linkid=870924
Comment:
    why is this column increasing? is the price increasing per time?
Reply:
    I sincerely apologize,this was a mistake.</t>
      </text>
    </comment>
    <comment ref="H49" authorId="12" shapeId="0" xr:uid="{F14C2C92-BA57-4466-A3DB-12EC4B0E41A6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is this value obtained? please use the formula mode in Excel e.g. =F46+E46*D47
Reply:
    I added it</t>
      </text>
    </comment>
    <comment ref="B125" authorId="13" shapeId="0" xr:uid="{896BBB76-E938-400F-BB94-563C48DD21BE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there a calculation for 2 hectar?
Reply:
    I will include it.</t>
      </text>
    </comment>
    <comment ref="D126" authorId="14" shapeId="0" xr:uid="{57A00F6D-D7AF-4C47-8100-151C347A6C1C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is the source of this calculation?
Reply:
    Over 10000 kg per year 8000 kg is usable can pass through the drying process regarding the  recovery rate.</t>
      </text>
    </comment>
    <comment ref="E126" authorId="15" shapeId="0" xr:uid="{6ABA4F27-CDB3-4ED7-883C-F5EFE05349D3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is this calculation made?
Reply:
    I made a different file mentionning the formulas used accessible from the my homepage. I will ensure to include them into the excel sheet for easier understanding.</t>
      </text>
    </comment>
    <comment ref="F126" authorId="16" shapeId="0" xr:uid="{19E1D45B-A45C-4EF1-A21E-94B689B66B1E}">
      <text>
        <t>[Threaded comment]
Your version of Excel allows you to read this threaded comment; however, any edits to it will get removed if the file is opened in a newer version of Excel. Learn more: https://go.microsoft.com/fwlink/?linkid=870924
Comment:
    why is this column increasing? is the price increasing per time?
Reply:
    I sincerely apologize,this was a mistake.</t>
      </text>
    </comment>
    <comment ref="H126" authorId="17" shapeId="0" xr:uid="{F9070219-9BA1-419C-8F96-C02F3A67CBF8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is this value obtained? please use the formula mode in Excel e.g. =F46+E46*D47
Reply:
    I added it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tc={2057BC50-2FB4-4737-A9F7-799BCFC0BEE7}</author>
    <author>tc={C6353A66-E392-49DB-BFDF-8484511A7CC8}</author>
    <author>tc={FD2D9EAE-BDCF-46E7-B61F-ABFAA18D7E3A}</author>
    <author>tc={FA25FB5E-137C-4583-81C6-699DC5C8F135}</author>
    <author>tc={976A7DD3-3766-4FAD-8D8E-E1D7EB52E343}</author>
    <author>tc={8A2FF993-3F77-4D6C-831C-0BC82BCA3533}</author>
  </authors>
  <commentList>
    <comment ref="C4" authorId="0" shapeId="0" xr:uid="{2057BC50-2FB4-4737-A9F7-799BCFC0BEE7}">
      <text>
        <t>[Threaded comment]
Your version of Excel allows you to read this threaded comment; however, any edits to it will get removed if the file is opened in a newer version of Excel. Learn more: https://go.microsoft.com/fwlink/?linkid=870924
Comment:
    is this a small pump? would it be enough for the farm?</t>
      </text>
    </comment>
    <comment ref="C5" authorId="1" shapeId="0" xr:uid="{C6353A66-E392-49DB-BFDF-8484511A7CC8}">
      <text>
        <t>[Threaded comment]
Your version of Excel allows you to read this threaded comment; however, any edits to it will get removed if the file is opened in a newer version of Excel. Learn more: https://go.microsoft.com/fwlink/?linkid=870924
Comment:
    why did you assume that the pump is needed only for 4 hours?</t>
      </text>
    </comment>
    <comment ref="B8" authorId="2" shapeId="0" xr:uid="{FD2D9EAE-BDCF-46E7-B61F-ABFAA18D7E3A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is meant by Misc??</t>
      </text>
    </comment>
    <comment ref="B12" authorId="3" shapeId="0" xr:uid="{FA25FB5E-137C-4583-81C6-699DC5C8F135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does PSH stands for? could you explain?</t>
      </text>
    </comment>
    <comment ref="B15" authorId="4" shapeId="0" xr:uid="{976A7DD3-3766-4FAD-8D8E-E1D7EB52E343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is meant by Derate?</t>
      </text>
    </comment>
    <comment ref="B25" authorId="5" shapeId="0" xr:uid="{8A2FF993-3F77-4D6C-831C-0BC82BCA3533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add the costs calculations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tc={5B692EBC-535C-4702-B45A-9B4DA3629A2C}</author>
  </authors>
  <commentList>
    <comment ref="F18" authorId="0" shapeId="0" xr:uid="{5B692EBC-535C-4702-B45A-9B4DA3629A2C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would be the payback period of this investment?</t>
      </text>
    </comment>
  </commentList>
</comments>
</file>

<file path=xl/sharedStrings.xml><?xml version="1.0" encoding="utf-8"?>
<sst xmlns="http://schemas.openxmlformats.org/spreadsheetml/2006/main" count="1970" uniqueCount="759">
  <si>
    <t>Farm sizing</t>
  </si>
  <si>
    <t>Surface Area (ha)</t>
  </si>
  <si>
    <t>Number of trees</t>
  </si>
  <si>
    <t xml:space="preserve">Tree-to-tree spacing </t>
  </si>
  <si>
    <t>0.5ha</t>
  </si>
  <si>
    <t>8meters</t>
  </si>
  <si>
    <t>2ha</t>
  </si>
  <si>
    <t>10ha</t>
  </si>
  <si>
    <t>10meters</t>
  </si>
  <si>
    <t>50ha</t>
  </si>
  <si>
    <t xml:space="preserve">  </t>
  </si>
  <si>
    <t>Variety of mango</t>
  </si>
  <si>
    <t>Surface(ha)</t>
  </si>
  <si>
    <t>Output(Kg)</t>
  </si>
  <si>
    <t>Kent</t>
  </si>
  <si>
    <t>0.5</t>
  </si>
  <si>
    <t>40 000</t>
  </si>
  <si>
    <t>200 000</t>
  </si>
  <si>
    <t>1 000 000</t>
  </si>
  <si>
    <t>Keitt</t>
  </si>
  <si>
    <t>11 000</t>
  </si>
  <si>
    <t>44 000</t>
  </si>
  <si>
    <t>220 000</t>
  </si>
  <si>
    <t>1 100 000</t>
  </si>
  <si>
    <t>Amelie</t>
  </si>
  <si>
    <t>8 000</t>
  </si>
  <si>
    <t>32 000</t>
  </si>
  <si>
    <t>160 000</t>
  </si>
  <si>
    <t>800 000</t>
  </si>
  <si>
    <t>We assume that we will focus on growing Keitt mangoes because of their high yield.</t>
  </si>
  <si>
    <t>water requirement per month in L</t>
  </si>
  <si>
    <t>Monitoring the health of trees and fruit</t>
  </si>
  <si>
    <t xml:space="preserve">water requirement </t>
  </si>
  <si>
    <t>all varieties combined</t>
  </si>
  <si>
    <t>Health Level (%)</t>
  </si>
  <si>
    <t>Observation</t>
  </si>
  <si>
    <t xml:space="preserve"> water requirement  per tree </t>
  </si>
  <si>
    <t>20000 - 250000 L</t>
  </si>
  <si>
    <t>0 - 20%</t>
  </si>
  <si>
    <t>Trees and fruit under stress, risk of high yield loss</t>
  </si>
  <si>
    <t xml:space="preserve"> water requirement  per 0.5ha</t>
  </si>
  <si>
    <t>640 000 - 800 000 L</t>
  </si>
  <si>
    <t>21 - 40%</t>
  </si>
  <si>
    <t>Weakened trees, affected fruit development</t>
  </si>
  <si>
    <t>water requirement  per 2 ha</t>
  </si>
  <si>
    <t>2 560 000 - 3 200 00 L</t>
  </si>
  <si>
    <t>41 - 60%</t>
  </si>
  <si>
    <t>Trees in average health, fruit growing normally</t>
  </si>
  <si>
    <t>water requirement  per 10 ha</t>
  </si>
  <si>
    <t>20 000 000 -25 000 000 L</t>
  </si>
  <si>
    <t>61 - 80%</t>
  </si>
  <si>
    <t>Healthy trees, high-quality fruit</t>
  </si>
  <si>
    <t>water requirement  per 50 ha</t>
  </si>
  <si>
    <t>20 000 000 - 25 000 000 L</t>
  </si>
  <si>
    <t>81 - 100%</t>
  </si>
  <si>
    <t>Very healthy trees, excellent fruit</t>
  </si>
  <si>
    <t>Equipment Pricing Based on Farm Size</t>
  </si>
  <si>
    <t>Purchase price of plots</t>
  </si>
  <si>
    <t>Equipment</t>
  </si>
  <si>
    <t>0.5ha (XOF)</t>
  </si>
  <si>
    <t>2 ha (XOF)</t>
  </si>
  <si>
    <t>10 ha (XOF)</t>
  </si>
  <si>
    <t>50 ha (XOF)</t>
  </si>
  <si>
    <t>Tractor / Power tiller</t>
  </si>
  <si>
    <t xml:space="preserve">	2 500 000</t>
  </si>
  <si>
    <t>4 500 000</t>
  </si>
  <si>
    <t xml:space="preserve">	35 000 000</t>
  </si>
  <si>
    <t>Land (XOF)</t>
  </si>
  <si>
    <t>19 000 000</t>
  </si>
  <si>
    <t xml:space="preserve"> 76 000 000</t>
  </si>
  <si>
    <t xml:space="preserve"> 380  000 000</t>
  </si>
  <si>
    <t>1 900 000 000</t>
  </si>
  <si>
    <t>Motor pump / Irrigation</t>
  </si>
  <si>
    <t>1 500 000</t>
  </si>
  <si>
    <t>3 000 000</t>
  </si>
  <si>
    <t>20 000 000</t>
  </si>
  <si>
    <t>Administrative Fees (XOF)</t>
  </si>
  <si>
    <t>950 000</t>
  </si>
  <si>
    <t>3 800 000</t>
  </si>
  <si>
    <t>95 000 000</t>
  </si>
  <si>
    <t>Planting and harvesting tools</t>
  </si>
  <si>
    <t xml:space="preserve">750 000	</t>
  </si>
  <si>
    <t>1 200 000</t>
  </si>
  <si>
    <t>10 000 000</t>
  </si>
  <si>
    <t>Labor over 5 years (XOF)</t>
  </si>
  <si>
    <t xml:space="preserve">	7 500 000</t>
  </si>
  <si>
    <t>80 000 000</t>
  </si>
  <si>
    <t>350 000 000</t>
  </si>
  <si>
    <t>Post-harvest equipment</t>
  </si>
  <si>
    <t>750 000</t>
  </si>
  <si>
    <t xml:space="preserve">	1 500 000</t>
  </si>
  <si>
    <t xml:space="preserve">8,000,000	</t>
  </si>
  <si>
    <t>25 000 000</t>
  </si>
  <si>
    <t>Equipment (XOF)</t>
  </si>
  <si>
    <t>6 500 000</t>
  </si>
  <si>
    <t>12 700 000</t>
  </si>
  <si>
    <t>34 500 000</t>
  </si>
  <si>
    <t xml:space="preserve">100 000 000	</t>
  </si>
  <si>
    <t xml:space="preserve">Inputs (fertilizers, seeds)	 </t>
  </si>
  <si>
    <t>4 000 000</t>
  </si>
  <si>
    <t>Total Investment (XOF)</t>
  </si>
  <si>
    <t>33 950 000</t>
  </si>
  <si>
    <t>112 500 000</t>
  </si>
  <si>
    <t>513 500 000</t>
  </si>
  <si>
    <t>2 445 000 000</t>
  </si>
  <si>
    <t xml:space="preserve">Total Price of equipment </t>
  </si>
  <si>
    <t xml:space="preserve">34 500 000	</t>
  </si>
  <si>
    <t>Financial analysis</t>
  </si>
  <si>
    <t>Initial equipment cost on 5years (XOF)</t>
  </si>
  <si>
    <t>Operational Cost per year (XOF)</t>
  </si>
  <si>
    <t>Operational Cost per 5 years (XOF)</t>
  </si>
  <si>
    <t>Investment Cost per 5 years (XOF)</t>
  </si>
  <si>
    <r>
      <rPr>
        <b/>
        <sz val="14"/>
        <color rgb="FFFFFFFF"/>
        <rFont val="Aptos Narrow"/>
        <scheme val="minor"/>
      </rPr>
      <t>T</t>
    </r>
    <r>
      <rPr>
        <b/>
        <sz val="12"/>
        <color rgb="FFFFFFFF"/>
        <rFont val="Aptos Narrow"/>
        <scheme val="minor"/>
      </rPr>
      <t>otal income over 5 years (XOF)</t>
    </r>
  </si>
  <si>
    <t>plots Investissement total (XOF)</t>
  </si>
  <si>
    <t>ROI (%)</t>
  </si>
  <si>
    <t>Payback period (years)</t>
  </si>
  <si>
    <t xml:space="preserve">5 000 000	</t>
  </si>
  <si>
    <t>2 200 000</t>
  </si>
  <si>
    <t>10 600 000</t>
  </si>
  <si>
    <t>32 725 000</t>
  </si>
  <si>
    <t xml:space="preserve">	-3.63%</t>
  </si>
  <si>
    <t>15 000 000</t>
  </si>
  <si>
    <t>4 400 000</t>
  </si>
  <si>
    <t>22 000 000</t>
  </si>
  <si>
    <t>130 900 000</t>
  </si>
  <si>
    <t xml:space="preserve">	16.34%</t>
  </si>
  <si>
    <t>30 000 000</t>
  </si>
  <si>
    <t xml:space="preserve">22 000 000	</t>
  </si>
  <si>
    <t>100 000 000</t>
  </si>
  <si>
    <t xml:space="preserve">110 000 000 </t>
  </si>
  <si>
    <t xml:space="preserve">	654 500 000</t>
  </si>
  <si>
    <t>50 000 000</t>
  </si>
  <si>
    <t>110 000 000</t>
  </si>
  <si>
    <t>500 000 000</t>
  </si>
  <si>
    <t>550 000 000</t>
  </si>
  <si>
    <t>3 272 500 000</t>
  </si>
  <si>
    <t>`</t>
  </si>
  <si>
    <t>final estimate for a 2-hectare farm</t>
  </si>
  <si>
    <t>Step</t>
  </si>
  <si>
    <t>Description</t>
  </si>
  <si>
    <t>Values</t>
  </si>
  <si>
    <t>Number of Trees to Plant</t>
  </si>
  <si>
    <t>Total trees on 2 hectares</t>
  </si>
  <si>
    <t xml:space="preserve">200 trees </t>
  </si>
  <si>
    <t>Spacing</t>
  </si>
  <si>
    <t>8 meters between trees</t>
  </si>
  <si>
    <t>Planting Period</t>
  </si>
  <si>
    <t>Best planting time</t>
  </si>
  <si>
    <t>Beginning of the rainy season</t>
  </si>
  <si>
    <t>Growth phases</t>
  </si>
  <si>
    <t>Years 0 to 2: establishment         Years 3 to 5: gradual production                                Year 5–7: full production</t>
  </si>
  <si>
    <t>Investment Costs</t>
  </si>
  <si>
    <t>Land purchase and Administrative fees</t>
  </si>
  <si>
    <t>79 800 000</t>
  </si>
  <si>
    <t>Labor and equipment</t>
  </si>
  <si>
    <t>32 700 000</t>
  </si>
  <si>
    <t>Revenue and Operating</t>
  </si>
  <si>
    <t>Total revenue (5 years)</t>
  </si>
  <si>
    <t>Annual operating cost</t>
  </si>
  <si>
    <t>Average annual net profit</t>
  </si>
  <si>
    <t>21 780 000</t>
  </si>
  <si>
    <t>ROI and payback period</t>
  </si>
  <si>
    <t xml:space="preserve">ROI </t>
  </si>
  <si>
    <t>16.3% over 5 years</t>
  </si>
  <si>
    <t>Payback period</t>
  </si>
  <si>
    <t>5.2 years</t>
  </si>
  <si>
    <t xml:space="preserve"> </t>
  </si>
  <si>
    <t>Calculation with 2 hectares scenarios</t>
  </si>
  <si>
    <t>Scenarios</t>
  </si>
  <si>
    <t>Area (ha)</t>
  </si>
  <si>
    <t>Trees</t>
  </si>
  <si>
    <t>Water demand (m³ /day)</t>
  </si>
  <si>
    <t>Water demand (m³/ week)</t>
  </si>
  <si>
    <t>Flow Q (m³/h)</t>
  </si>
  <si>
    <t>Flow Q (L/min)</t>
  </si>
  <si>
    <t>Hydraulic power P_h (kW)</t>
  </si>
  <si>
    <t>Electric power P_e (kW)</t>
  </si>
  <si>
    <t>Pump required (kWh)</t>
  </si>
  <si>
    <t>PV size (kWp)</t>
  </si>
  <si>
    <t>PV Panels (400 Wp)</t>
  </si>
  <si>
    <t>Investment Cost</t>
  </si>
  <si>
    <t>2 hectares</t>
  </si>
  <si>
    <t>Definitions</t>
  </si>
  <si>
    <t>Input parameters and definitions</t>
  </si>
  <si>
    <t>Cost calculations</t>
  </si>
  <si>
    <t>Term / Abbreviation</t>
  </si>
  <si>
    <t>Definition</t>
  </si>
  <si>
    <t>Parameter</t>
  </si>
  <si>
    <t>Symbol</t>
  </si>
  <si>
    <t>Unit</t>
  </si>
  <si>
    <t>Value</t>
  </si>
  <si>
    <t>Material</t>
  </si>
  <si>
    <t>Quantity</t>
  </si>
  <si>
    <t>Unit cost (€)</t>
  </si>
  <si>
    <t>Total cost (€)</t>
  </si>
  <si>
    <t xml:space="preserve">Unit </t>
  </si>
  <si>
    <t>Comment</t>
  </si>
  <si>
    <t>Area [ha]</t>
  </si>
  <si>
    <t>Cultivated surface area in hectares</t>
  </si>
  <si>
    <t>A</t>
  </si>
  <si>
    <t>ha</t>
  </si>
  <si>
    <t>Total cultivated area</t>
  </si>
  <si>
    <t>Tank (30 m³)</t>
  </si>
  <si>
    <t>unit</t>
  </si>
  <si>
    <t>Annual water cost saved</t>
  </si>
  <si>
    <t>€/year</t>
  </si>
  <si>
    <t>Estimated savings vs. manual irrigation labor and diesel pump use</t>
  </si>
  <si>
    <t>Number of mango trees</t>
  </si>
  <si>
    <t>S</t>
  </si>
  <si>
    <t>m x m</t>
  </si>
  <si>
    <t>8 x 8</t>
  </si>
  <si>
    <t>Distance between mango trees</t>
  </si>
  <si>
    <t>Drip irrigation</t>
  </si>
  <si>
    <t>m</t>
  </si>
  <si>
    <t>Investment cost</t>
  </si>
  <si>
    <t>€</t>
  </si>
  <si>
    <t>Total CAPEX (equipment only)</t>
  </si>
  <si>
    <t>Water demand [m³/d]</t>
  </si>
  <si>
    <t>Required irrigation water per day in cubic meters</t>
  </si>
  <si>
    <t>N</t>
  </si>
  <si>
    <t>tree</t>
  </si>
  <si>
    <t>Based on 8×8 m spacing (2 ha → 200 trees)</t>
  </si>
  <si>
    <t>PV panels (400 Wp, JinkoSolar / Trina)</t>
  </si>
  <si>
    <t xml:space="preserve">Annual maintenance </t>
  </si>
  <si>
    <t>Estimated cost for cleaning filters, IoT subscription, small replacements</t>
  </si>
  <si>
    <t>Q [m³/h]</t>
  </si>
  <si>
    <t>Flow rate in cubic meters per hour</t>
  </si>
  <si>
    <t>Water demand per tree</t>
  </si>
  <si>
    <t>Wt</t>
  </si>
  <si>
    <t>L/day</t>
  </si>
  <si>
    <t>Estimated for mature mango trees in dry season</t>
  </si>
  <si>
    <t>Pump (1 kW DC solar pump)</t>
  </si>
  <si>
    <t>Years</t>
  </si>
  <si>
    <t>This is acceptable for rural solar investment. It means that the farmer will get the investment money back in 7.2 years</t>
  </si>
  <si>
    <t>Q [L/min]</t>
  </si>
  <si>
    <t>Flow rate in liters per minute</t>
  </si>
  <si>
    <t>Conversion factor</t>
  </si>
  <si>
    <t>-</t>
  </si>
  <si>
    <t>Liters to cubic meters</t>
  </si>
  <si>
    <t>Filtration + MPPT</t>
  </si>
  <si>
    <t>set</t>
  </si>
  <si>
    <t>Annuak net saving</t>
  </si>
  <si>
    <t>P_h [kW]</t>
  </si>
  <si>
    <t>Hydraulic pump power</t>
  </si>
  <si>
    <t>Irrigation hours/day</t>
  </si>
  <si>
    <t>t</t>
  </si>
  <si>
    <t>h/day</t>
  </si>
  <si>
    <t>Daily irrigation duration</t>
  </si>
  <si>
    <t>Smart add-ons</t>
  </si>
  <si>
    <t>Project lifetime</t>
  </si>
  <si>
    <t>years</t>
  </si>
  <si>
    <t>P_e [kW]</t>
  </si>
  <si>
    <t>Electric pump power required</t>
  </si>
  <si>
    <t>System efficiency</t>
  </si>
  <si>
    <t>η</t>
  </si>
  <si>
    <t>%</t>
  </si>
  <si>
    <t>Includes hydraulic &amp; electrical losses</t>
  </si>
  <si>
    <t>TOTAL</t>
  </si>
  <si>
    <t>_</t>
  </si>
  <si>
    <t>Pump replacement</t>
  </si>
  <si>
    <t>PV [kWp]</t>
  </si>
  <si>
    <t>Photovoltaic power peak required</t>
  </si>
  <si>
    <t>Pump head</t>
  </si>
  <si>
    <t>H</t>
  </si>
  <si>
    <t>Static + dynamic head estimation</t>
  </si>
  <si>
    <t>MPPT/Controller replacement</t>
  </si>
  <si>
    <t>MPPT</t>
  </si>
  <si>
    <t>Maximum Power Point Tracking (PV controller technology)</t>
  </si>
  <si>
    <t>Tank capacity</t>
  </si>
  <si>
    <t>m³</t>
  </si>
  <si>
    <t>Storage for 1.5-day buffer (30 m³ for 2-ha orchard)</t>
  </si>
  <si>
    <t>Smart add-on replacement</t>
  </si>
  <si>
    <t>IoT devices, sensors, controllers, and communication modules for smart irrigation management (e.g., soil moisture sensors, flow meters, GSM/Wi-Fi monitoring, automated scheduling)</t>
  </si>
  <si>
    <t>Water density</t>
  </si>
  <si>
    <t>ρ</t>
  </si>
  <si>
    <t>kg/m³</t>
  </si>
  <si>
    <t>Density of water</t>
  </si>
  <si>
    <t>Total replacement cost</t>
  </si>
  <si>
    <t>Gravity</t>
  </si>
  <si>
    <t>g</t>
  </si>
  <si>
    <t>m/s²</t>
  </si>
  <si>
    <t>Acceleration due to gravity</t>
  </si>
  <si>
    <t>Total saving over 25 years of the project</t>
  </si>
  <si>
    <t>Flow rate</t>
  </si>
  <si>
    <t>Q</t>
  </si>
  <si>
    <t>m³/h</t>
  </si>
  <si>
    <t>Hourly discharge to meet water demand</t>
  </si>
  <si>
    <t>Total project cost</t>
  </si>
  <si>
    <r>
      <rPr>
        <sz val="36"/>
        <color rgb="FF186C24"/>
        <rFont val="Aptos Narrow"/>
        <scheme val="minor"/>
      </rPr>
      <t xml:space="preserve"> </t>
    </r>
    <r>
      <rPr>
        <b/>
        <sz val="36"/>
        <color rgb="FF186C24"/>
        <rFont val="Times New Roman"/>
      </rPr>
      <t>2-Hectare Mango Farm Weekly Financial Projection (EUR)</t>
    </r>
  </si>
  <si>
    <t>Financial and technical plan - Ball mill + biogas (12 months)</t>
  </si>
  <si>
    <t>Month</t>
  </si>
  <si>
    <t>Processed mangoes (kg) |</t>
  </si>
  <si>
    <t xml:space="preserve"> Waste generated (kg)</t>
  </si>
  <si>
    <t>Biogas produced (m³)</t>
  </si>
  <si>
    <t>Available energy (kWh)</t>
  </si>
  <si>
    <t>Monthly cost (Euro)</t>
  </si>
  <si>
    <t>Dried mango income (Euro)</t>
  </si>
  <si>
    <t>Compost income (Euro)</t>
  </si>
  <si>
    <t>Net profit (Euro) |</t>
  </si>
  <si>
    <t>Assumptions used</t>
  </si>
  <si>
    <t>Benefits of the project</t>
  </si>
  <si>
    <t>274.41</t>
  </si>
  <si>
    <t>152.45</t>
  </si>
  <si>
    <t>564.06</t>
  </si>
  <si>
    <t>1 kg of mango waste</t>
  </si>
  <si>
    <t xml:space="preserve"> 0.043 m³ of biogas</t>
  </si>
  <si>
    <t>1. Energy independence thanks to biogas</t>
  </si>
  <si>
    <t>Weekly Mango Input</t>
  </si>
  <si>
    <t>754.62</t>
  </si>
  <si>
    <t>167.69</t>
  </si>
  <si>
    <t>647.91</t>
  </si>
  <si>
    <t>1 m³ of biogas</t>
  </si>
  <si>
    <t xml:space="preserve"> 6 kWh</t>
  </si>
  <si>
    <t>2. Waste conversion into compost and energy</t>
  </si>
  <si>
    <t>- Annual output: 44,000 kg [AN1] → 44,000 ÷ 12 ≈ 3,667 kg/month</t>
  </si>
  <si>
    <t>857.52</t>
  </si>
  <si>
    <t>190.56</t>
  </si>
  <si>
    <t>773.67</t>
  </si>
  <si>
    <t xml:space="preserve">Fixed monthly cost </t>
  </si>
  <si>
    <t>274.41 Euro (labor, maintenance, packaging)</t>
  </si>
  <si>
    <t>3. Reduction in fossil fuel costs</t>
  </si>
  <si>
    <t>- Weekly output: 3,667 ÷ 4 ≈ 917 kg/week</t>
  </si>
  <si>
    <t>926.12</t>
  </si>
  <si>
    <t>205.81</t>
  </si>
  <si>
    <t xml:space="preserve">Selling price of dried mangoes </t>
  </si>
  <si>
    <t xml:space="preserve"> 1 Euro/kg</t>
  </si>
  <si>
    <t>4. Potential for carbon credits or green subsidies</t>
  </si>
  <si>
    <t xml:space="preserve"> Processing Yields</t>
  </si>
  <si>
    <t>1029.03</t>
  </si>
  <si>
    <t>228.67</t>
  </si>
  <si>
    <t>983.29</t>
  </si>
  <si>
    <t xml:space="preserve">Compost selling price </t>
  </si>
  <si>
    <t xml:space="preserve"> 0.5 Euro/kg</t>
  </si>
  <si>
    <t>5. Creation of local jobs and strengthening of the agricultural value chain</t>
  </si>
  <si>
    <t>- Dried mango: 25% of fresh → 917 × 0.25 ≈ 229 kg/week</t>
  </si>
  <si>
    <t>1097.63</t>
  </si>
  <si>
    <t>243.92</t>
  </si>
  <si>
    <t>1067.14</t>
  </si>
  <si>
    <t>No additional energy costs thanks to biogas.</t>
  </si>
  <si>
    <t>- Mango powder: 50% of dried → 229 × 0.5 ≈ 114.5 kg/week</t>
  </si>
  <si>
    <t>960.42</t>
  </si>
  <si>
    <t>213.43</t>
  </si>
  <si>
    <t>899.44</t>
  </si>
  <si>
    <t>- Waste (peels + seeds): 917 – 229 ≈ 688 kg/week → can be used for biogas or compost</t>
  </si>
  <si>
    <t>891.82</t>
  </si>
  <si>
    <t>198.18</t>
  </si>
  <si>
    <t>815.6</t>
  </si>
  <si>
    <t>Technical parameters of the ball mill</t>
  </si>
  <si>
    <t xml:space="preserve"> Processing Machine Capacity Needed</t>
  </si>
  <si>
    <t>823.22</t>
  </si>
  <si>
    <t>182.94</t>
  </si>
  <si>
    <t>731.75</t>
  </si>
  <si>
    <t xml:space="preserve">Element                     </t>
  </si>
  <si>
    <t xml:space="preserve"> Value               </t>
  </si>
  <si>
    <t xml:space="preserve">    Unity     </t>
  </si>
  <si>
    <t>Comments</t>
  </si>
  <si>
    <t>Machine Type</t>
  </si>
  <si>
    <t>Capacity Needed</t>
  </si>
  <si>
    <t>Notes</t>
  </si>
  <si>
    <t>647.9</t>
  </si>
  <si>
    <t xml:space="preserve"> Engine power       </t>
  </si>
  <si>
    <t xml:space="preserve">   kW            </t>
  </si>
  <si>
    <t xml:space="preserve">Suitable for a 2-hectare farm </t>
  </si>
  <si>
    <t>Washing &amp; Peeling</t>
  </si>
  <si>
    <t>Manual/Mechanical Peeler</t>
  </si>
  <si>
    <t>200–300 kg/hour</t>
  </si>
  <si>
    <t>1–2 hours/week sufficient</t>
  </si>
  <si>
    <t xml:space="preserve">Operating time </t>
  </si>
  <si>
    <t xml:space="preserve">  h/day        </t>
  </si>
  <si>
    <t xml:space="preserve"> Daily average</t>
  </si>
  <si>
    <t>Slicing &amp; Drying</t>
  </si>
  <si>
    <t>Electric/Solar Dehydrator</t>
  </si>
  <si>
    <t>50 kg/batch → 5 batches/week</t>
  </si>
  <si>
    <t>Matches 229 kg/week dried mango output</t>
  </si>
  <si>
    <t>617.42</t>
  </si>
  <si>
    <t>137.2</t>
  </si>
  <si>
    <t>480.21</t>
  </si>
  <si>
    <t xml:space="preserve">  Monthly consumption</t>
  </si>
  <si>
    <t xml:space="preserve"> kWh/month </t>
  </si>
  <si>
    <t xml:space="preserve">      3 kW × 5 h × 30 days     </t>
  </si>
  <si>
    <t>Milling to Powder</t>
  </si>
  <si>
    <t>Hammer/Ball Mill</t>
  </si>
  <si>
    <t>50 kg/hour → ~2.5 hours/week</t>
  </si>
  <si>
    <t>Efficient for 114.5 kg powder/week</t>
  </si>
  <si>
    <t xml:space="preserve">Energy required in biogas </t>
  </si>
  <si>
    <t xml:space="preserve"> m³/month    </t>
  </si>
  <si>
    <t xml:space="preserve"> 1 m³ ≈ 6 kWh  </t>
  </si>
  <si>
    <t>Weekly Revenue (EUR)</t>
  </si>
  <si>
    <t>Biogas production</t>
  </si>
  <si>
    <t>Features of the ball mill</t>
  </si>
  <si>
    <t>- Dried mango: €7.44/kg → 229 × 7.44 ≈ €1,702</t>
  </si>
  <si>
    <t>Source of waste</t>
  </si>
  <si>
    <t>Quantity (kg/month)</t>
  </si>
  <si>
    <t>Biogas produced (m³/month)</t>
  </si>
  <si>
    <t>Compost produced (kg/month)</t>
  </si>
  <si>
    <t>Estimated value</t>
  </si>
  <si>
    <t>Unity</t>
  </si>
  <si>
    <t xml:space="preserve">  List of acronyms from the waste of biogas sheet </t>
  </si>
  <si>
    <t>- Mango powder: €13.95/kg → 114.5 × 13.95 ≈ €1,596</t>
  </si>
  <si>
    <t>Mango waste</t>
  </si>
  <si>
    <t>1,400 to 2,500</t>
  </si>
  <si>
    <t>60 to 150</t>
  </si>
  <si>
    <t>400 to 750</t>
  </si>
  <si>
    <t>Type of shredder</t>
  </si>
  <si>
    <t>With cannonballs (small model)</t>
  </si>
  <si>
    <t>—</t>
  </si>
  <si>
    <t>Suitable for small-scale farming</t>
  </si>
  <si>
    <t xml:space="preserve"> Acronyms</t>
  </si>
  <si>
    <t xml:space="preserve"> Meaning</t>
  </si>
  <si>
    <t>- Biogas (waste 688 kg × €0.465/kg) ≈ €320</t>
  </si>
  <si>
    <t>Motor power</t>
  </si>
  <si>
    <t>3 to 5</t>
  </si>
  <si>
    <t>kW</t>
  </si>
  <si>
    <t>Electric motor and biogas</t>
  </si>
  <si>
    <t xml:space="preserve"> m³</t>
  </si>
  <si>
    <t xml:space="preserve"> Cubic meter</t>
  </si>
  <si>
    <t>- Compost (waste 688 kg × €0.279/kg) ≈ €192</t>
  </si>
  <si>
    <t>Grinding capacity</t>
  </si>
  <si>
    <t>200 to 300</t>
  </si>
  <si>
    <t>kg/h</t>
  </si>
  <si>
    <t>Fresh or pre-treated mangoes</t>
  </si>
  <si>
    <t xml:space="preserve"> kW</t>
  </si>
  <si>
    <t xml:space="preserve"> Kilowatt</t>
  </si>
  <si>
    <t xml:space="preserve"> Total weekly revenue: €3,810/week</t>
  </si>
  <si>
    <t xml:space="preserve">Monthly economic model </t>
  </si>
  <si>
    <t>Operating time</t>
  </si>
  <si>
    <t>4 to 6</t>
  </si>
  <si>
    <t>Daily average</t>
  </si>
  <si>
    <t xml:space="preserve"> Kilogram per hour</t>
  </si>
  <si>
    <t>Position</t>
  </si>
  <si>
    <t>Estimated value (Euro/month)</t>
  </si>
  <si>
    <t>Energy consumption</t>
  </si>
  <si>
    <t>360 to 900</t>
  </si>
  <si>
    <t>kWh/month</t>
  </si>
  <si>
    <t>Depending on use</t>
  </si>
  <si>
    <t xml:space="preserve"> h/day </t>
  </si>
  <si>
    <t xml:space="preserve"> Hour per day</t>
  </si>
  <si>
    <t>Weekly Costs (EUR)</t>
  </si>
  <si>
    <t>Operating cost</t>
  </si>
  <si>
    <t xml:space="preserve"> 274.41</t>
  </si>
  <si>
    <t>Biogas requirement</t>
  </si>
  <si>
    <t>m³/month</t>
  </si>
  <si>
    <t>1 m³ ≈ 6 kWh</t>
  </si>
  <si>
    <t xml:space="preserve"> kWh</t>
  </si>
  <si>
    <t xml:space="preserve"> Kilowatt hour</t>
  </si>
  <si>
    <t>- Raw mango: 917 kg × €1.86/kg ≈ €1,706</t>
  </si>
  <si>
    <t>Dried mango revenue</t>
  </si>
  <si>
    <t>686 to 1097.63</t>
  </si>
  <si>
    <t xml:space="preserve"> kg/month</t>
  </si>
  <si>
    <t xml:space="preserve"> Kilogram per month</t>
  </si>
  <si>
    <t>- Labor: 2 workers × €23/week ≈ €46</t>
  </si>
  <si>
    <t>Compost income</t>
  </si>
  <si>
    <t>152.45 to 243.92</t>
  </si>
  <si>
    <t xml:space="preserve"> m³/month</t>
  </si>
  <si>
    <t xml:space="preserve"> Cubic meter per month </t>
  </si>
  <si>
    <t>- Energy &amp; maintenance: €46/week</t>
  </si>
  <si>
    <t>Net profit</t>
  </si>
  <si>
    <t>564.06 to 1067.14</t>
  </si>
  <si>
    <t xml:space="preserve"> Kilowatt hour per month</t>
  </si>
  <si>
    <t>- Packaging: €0.465/kg × (229 + 114.5) ≈ €159</t>
  </si>
  <si>
    <t>kg</t>
  </si>
  <si>
    <t>Kilogram</t>
  </si>
  <si>
    <r>
      <rPr>
        <sz val="18"/>
        <color rgb="FF000000"/>
        <rFont val="Aptos Narrow"/>
        <scheme val="minor"/>
      </rPr>
      <t xml:space="preserve"> </t>
    </r>
    <r>
      <rPr>
        <b/>
        <sz val="18"/>
        <color rgb="FFC00000"/>
        <rFont val="Aptos Narrow"/>
        <scheme val="minor"/>
      </rPr>
      <t>Total weekly cost: €1,957/week</t>
    </r>
  </si>
  <si>
    <t xml:space="preserve"> Weekly Profit &amp; Margin</t>
  </si>
  <si>
    <t>- Profit/week: 3,810 – 1,957 ≈ €1,853/week</t>
  </si>
  <si>
    <t>- Profit margin: 1,853 ÷ 3,810 ≈ 48.6%</t>
  </si>
  <si>
    <t>ROI Estimation</t>
  </si>
  <si>
    <t>- Initial investment (machines, setup): €9,300</t>
  </si>
  <si>
    <t>- Weekly profit: €1,853</t>
  </si>
  <si>
    <t>- Weeks to ROI: 9,300 ÷ 1,853 ≈ 5 weeks (~1.25 months)</t>
  </si>
  <si>
    <t xml:space="preserve"> Very fast ROI for small-scale setup!</t>
  </si>
  <si>
    <t>Summary Table (Weekly)</t>
  </si>
  <si>
    <t>Fresh mango/week</t>
  </si>
  <si>
    <t>917 kg</t>
  </si>
  <si>
    <t>Dried mango/week</t>
  </si>
  <si>
    <t>229 kg</t>
  </si>
  <si>
    <t>Mango powder/week</t>
  </si>
  <si>
    <t>114.5 kg</t>
  </si>
  <si>
    <t>Waste/week</t>
  </si>
  <si>
    <t>688 kg</t>
  </si>
  <si>
    <t>Revenue/week</t>
  </si>
  <si>
    <t>Costs/week</t>
  </si>
  <si>
    <t>Profit/week</t>
  </si>
  <si>
    <t>Initial investment</t>
  </si>
  <si>
    <t>ROI</t>
  </si>
  <si>
    <t>~5 weeks</t>
  </si>
  <si>
    <t> </t>
  </si>
  <si>
    <t>Notes / Adjustments:</t>
  </si>
  <si>
    <t>1. Solar drying may take longer; multiple batches may be needed.</t>
  </si>
  <si>
    <t>2. Biogas and compost add extra revenue (~€512/week).</t>
  </si>
  <si>
    <t>3. Scaling production (more mangoes) linearly increases revenue &amp; profit.</t>
  </si>
  <si>
    <t>4. Export prices may be higher → increases total revenue.</t>
  </si>
  <si>
    <t>Smart dryer financial planning (10 Years)</t>
  </si>
  <si>
    <t>equivalence between euro and FCFA (xof): 1€ = ... FCFA</t>
  </si>
  <si>
    <t>1 million FCFA (xof) = ...€</t>
  </si>
  <si>
    <t>Data are based on an average farmed area of 7.93ha</t>
  </si>
  <si>
    <t>Parameters</t>
  </si>
  <si>
    <t>Variables</t>
  </si>
  <si>
    <t>Modalities</t>
  </si>
  <si>
    <t>Frequencies (%)</t>
  </si>
  <si>
    <t>Source</t>
  </si>
  <si>
    <t>Unit / Note</t>
  </si>
  <si>
    <t>Value (€)</t>
  </si>
  <si>
    <t>Drying units</t>
  </si>
  <si>
    <t>Producers</t>
  </si>
  <si>
    <t>Yield per ha</t>
  </si>
  <si>
    <t>kg/ha/an</t>
  </si>
  <si>
    <t>Link - researchgate</t>
  </si>
  <si>
    <t>Sex</t>
  </si>
  <si>
    <t>Man</t>
  </si>
  <si>
    <t>BOBO-DIOULASSO AND ORODARA AREAS  ASSESSMENT (BURKINA FASO)</t>
  </si>
  <si>
    <t>Recovery rate</t>
  </si>
  <si>
    <t>Rate (80%)</t>
  </si>
  <si>
    <t>Women</t>
  </si>
  <si>
    <t>Transformation ratio (fresh to dry)</t>
  </si>
  <si>
    <t>kg fresh -&gt; 0,4 kg dried</t>
  </si>
  <si>
    <t>Link from cbi.eu</t>
  </si>
  <si>
    <t>Age</t>
  </si>
  <si>
    <t>] 20 ; 29[</t>
  </si>
  <si>
    <t>Cost of a fresh mango</t>
  </si>
  <si>
    <t>FCFA/kg</t>
  </si>
  <si>
    <t>0.23</t>
  </si>
  <si>
    <t>] 30 ; 39[</t>
  </si>
  <si>
    <t>8, 33</t>
  </si>
  <si>
    <t xml:space="preserve">Export price (dried) </t>
  </si>
  <si>
    <t>FCFA/kg dried</t>
  </si>
  <si>
    <t>Link - gebana.com</t>
  </si>
  <si>
    <t>] 40 ; 49[</t>
  </si>
  <si>
    <t>Capacity per cycle (dryer)</t>
  </si>
  <si>
    <t>kg fresh/cycle</t>
  </si>
  <si>
    <t>Link - thaiscience.info</t>
  </si>
  <si>
    <t>] 50 ; 59[</t>
  </si>
  <si>
    <t>Campaign duration</t>
  </si>
  <si>
    <t>days (4 months)</t>
  </si>
  <si>
    <t>Link -eservices.colead</t>
  </si>
  <si>
    <t>&gt; 60</t>
  </si>
  <si>
    <t>Max cycles per dryer (4 months)</t>
  </si>
  <si>
    <t>cycles</t>
  </si>
  <si>
    <t>Education level</t>
  </si>
  <si>
    <t>Illiterate</t>
  </si>
  <si>
    <t>41.18</t>
  </si>
  <si>
    <t>Unit cost per dryer</t>
  </si>
  <si>
    <t>FCFA</t>
  </si>
  <si>
    <t>Literate</t>
  </si>
  <si>
    <t>11.76</t>
  </si>
  <si>
    <t>Unit cost (1ha)</t>
  </si>
  <si>
    <t>Link - pseau.org</t>
  </si>
  <si>
    <t>Primary</t>
  </si>
  <si>
    <t>35.29</t>
  </si>
  <si>
    <t>Unit cost (3ha)</t>
  </si>
  <si>
    <t>Secondary</t>
  </si>
  <si>
    <t>83.33</t>
  </si>
  <si>
    <t>Unit cost (30ha)</t>
  </si>
  <si>
    <t>Superior</t>
  </si>
  <si>
    <t>12.5</t>
  </si>
  <si>
    <t>Unit cost (60ha)</t>
  </si>
  <si>
    <t>Experience in activity</t>
  </si>
  <si>
    <t>] 5 ; 10[</t>
  </si>
  <si>
    <t>87.78</t>
  </si>
  <si>
    <t>17.65</t>
  </si>
  <si>
    <t>] 10 ; 15[</t>
  </si>
  <si>
    <t>3.33</t>
  </si>
  <si>
    <t>29.41</t>
  </si>
  <si>
    <t>] 15 ; 20[</t>
  </si>
  <si>
    <t>5.56</t>
  </si>
  <si>
    <t>&gt; 20</t>
  </si>
  <si>
    <t>IOT</t>
  </si>
  <si>
    <t>add_fan_power_kW</t>
  </si>
  <si>
    <t>sensor_cost_per_dryer_FCFA</t>
  </si>
  <si>
    <t>gateway_cost_per_site_FCFA</t>
  </si>
  <si>
    <t>connectivity_monthly_per_dryer_FCFA</t>
  </si>
  <si>
    <t>cloud_subscription_annual_FCFA</t>
  </si>
  <si>
    <t>installation_cost_per_dryer_FCFA</t>
  </si>
  <si>
    <t>iot_capex_lifetime_years</t>
  </si>
  <si>
    <t xml:space="preserve">COSTS WITH FORMULAS (FCFA or XOF) </t>
  </si>
  <si>
    <t>1ha detailed costs</t>
  </si>
  <si>
    <t>Scenario_ha</t>
  </si>
  <si>
    <t>Year</t>
  </si>
  <si>
    <t>Usable_fresh_kg</t>
  </si>
  <si>
    <t>Dried_kg</t>
  </si>
  <si>
    <t>Export_price_FCFA</t>
  </si>
  <si>
    <t>Unit_cost_FCFA_per_kg</t>
  </si>
  <si>
    <t>Cost_yearly_dried_mango_FCFA</t>
  </si>
  <si>
    <t>Cycles</t>
  </si>
  <si>
    <t>Energy_cost_FCFA</t>
  </si>
  <si>
    <t>Maintenance_FCFA</t>
  </si>
  <si>
    <t>Total_costs_all_FCFA</t>
  </si>
  <si>
    <t>Net_profit_FCFA</t>
  </si>
  <si>
    <t>Inventory_turnover_per_year</t>
  </si>
  <si>
    <t>Dryers_used</t>
  </si>
  <si>
    <t>3ha detailed costs</t>
  </si>
  <si>
    <t>Maintenance</t>
  </si>
  <si>
    <t>30ha detailed costs</t>
  </si>
  <si>
    <t>60ha detailed costs</t>
  </si>
  <si>
    <t>2ha detailed costs</t>
  </si>
  <si>
    <t xml:space="preserve">COSTS  (EURO) </t>
  </si>
  <si>
    <t>24391.84 €</t>
  </si>
  <si>
    <t>2.77 €</t>
  </si>
  <si>
    <t>2219.66 €</t>
  </si>
  <si>
    <t>167.69 €</t>
  </si>
  <si>
    <t>45.73 €</t>
  </si>
  <si>
    <t>26611.50 €</t>
  </si>
  <si>
    <t>2006.23 €</t>
  </si>
  <si>
    <t>48783.68 €</t>
  </si>
  <si>
    <t>4439.31 €</t>
  </si>
  <si>
    <t>137.20 €</t>
  </si>
  <si>
    <t>53222.99 €</t>
  </si>
  <si>
    <t>4256.38 €</t>
  </si>
  <si>
    <t>73175.52 €</t>
  </si>
  <si>
    <t>2.58 €</t>
  </si>
  <si>
    <t>6201.63 €</t>
  </si>
  <si>
    <t>365.88 €</t>
  </si>
  <si>
    <t>91.47 €</t>
  </si>
  <si>
    <t>79377.15 €</t>
  </si>
  <si>
    <t>5744.28 €</t>
  </si>
  <si>
    <t>731755.20 €</t>
  </si>
  <si>
    <t>2.06 €</t>
  </si>
  <si>
    <t>49393.48 €</t>
  </si>
  <si>
    <t>914.69 €</t>
  </si>
  <si>
    <t>457.35 €</t>
  </si>
  <si>
    <t>781148.68 €</t>
  </si>
  <si>
    <t>48021.44 €</t>
  </si>
  <si>
    <t>60ha detailed costs﻿</t>
  </si>
  <si>
    <t>1463510.40 €</t>
  </si>
  <si>
    <t>1.83 €</t>
  </si>
  <si>
    <t>87664.27 €</t>
  </si>
  <si>
    <t>1524.49 €</t>
  </si>
  <si>
    <t>1551174.67 €</t>
  </si>
  <si>
    <t>85225.09 €</t>
  </si>
  <si>
    <t>Scenario</t>
  </si>
  <si>
    <t>Daily Energy (kWh/day)</t>
  </si>
  <si>
    <t>Required PV Array (kWp)</t>
  </si>
  <si>
    <t>Number of 400 W Panels</t>
  </si>
  <si>
    <t>Required Battery (usable kWh)</t>
  </si>
  <si>
    <t>Inverter Size (kW, nominal)</t>
  </si>
  <si>
    <t>Small farm (≈2 ha)</t>
  </si>
  <si>
    <t>Small Farm 2 ha</t>
  </si>
  <si>
    <t>Metric</t>
  </si>
  <si>
    <t>Calculation / Notes</t>
  </si>
  <si>
    <t>Pump Load</t>
  </si>
  <si>
    <t>kw</t>
  </si>
  <si>
    <t>Pump Hours</t>
  </si>
  <si>
    <t>h</t>
  </si>
  <si>
    <t>Dryer Load</t>
  </si>
  <si>
    <t>Dryer Hours</t>
  </si>
  <si>
    <t>Misc. Load</t>
  </si>
  <si>
    <t>Misc. Hours</t>
  </si>
  <si>
    <t>Daily Energy</t>
  </si>
  <si>
    <t>kwh</t>
  </si>
  <si>
    <t>---</t>
  </si>
  <si>
    <t>PSH</t>
  </si>
  <si>
    <t>Tracker Gain</t>
  </si>
  <si>
    <t>User-provided assumption</t>
  </si>
  <si>
    <t>Effective PSH</t>
  </si>
  <si>
    <t>5.5 h * (1 + 0.20)</t>
  </si>
  <si>
    <t>System Derate</t>
  </si>
  <si>
    <t>Required PV (kWp)</t>
  </si>
  <si>
    <t>kwp</t>
  </si>
  <si>
    <t>Panel Wattage</t>
  </si>
  <si>
    <t>w</t>
  </si>
  <si>
    <t>Number of Panels</t>
  </si>
  <si>
    <t>19 panels</t>
  </si>
  <si>
    <t>Inverter Efficiency</t>
  </si>
  <si>
    <t>Battery DoD</t>
  </si>
  <si>
    <t>Required Battery (usable)</t>
  </si>
  <si>
    <t>Inverter Size</t>
  </si>
  <si>
    <t>costs???</t>
  </si>
  <si>
    <t>Importance of Moore → German Voice Translation in the Dried Mango Trade</t>
  </si>
  <si>
    <t>Indicator</t>
  </si>
  <si>
    <t>Without Voice Translation App (per year)</t>
  </si>
  <si>
    <t>With Voice Translation App (per year)</t>
  </si>
  <si>
    <t>Gain due to No-Reesa App</t>
  </si>
  <si>
    <t>Impact (%)</t>
  </si>
  <si>
    <t>Number of international buyers reached</t>
  </si>
  <si>
    <t>Total sales (million XOF)</t>
  </si>
  <si>
    <t>8.5</t>
  </si>
  <si>
    <t xml:space="preserve">                                               15.2</t>
  </si>
  <si>
    <t xml:space="preserve">               +6.7</t>
  </si>
  <si>
    <t xml:space="preserve">           78.8%</t>
  </si>
  <si>
    <t>Amount spent on interpreters (million XOF)</t>
  </si>
  <si>
    <t>2.1</t>
  </si>
  <si>
    <t xml:space="preserve">               +2.1</t>
  </si>
  <si>
    <t>Export success rate</t>
  </si>
  <si>
    <t xml:space="preserve">            54.5%</t>
  </si>
  <si>
    <t>Customer satisfaction rate</t>
  </si>
  <si>
    <t xml:space="preserve">            53.3%</t>
  </si>
  <si>
    <t>Average delivery agreements per month</t>
  </si>
  <si>
    <t>BUSINESS MODEL CANVAS</t>
  </si>
  <si>
    <t>Key Partners</t>
  </si>
  <si>
    <t>Key Activities</t>
  </si>
  <si>
    <t>Value Propositions</t>
  </si>
  <si>
    <t>Customer Relationships</t>
  </si>
  <si>
    <t>Customer Segments</t>
  </si>
  <si>
    <t>Moore language experts</t>
  </si>
  <si>
    <t>Data Collection &amp; Labeling for Moore Language</t>
  </si>
  <si>
    <t>Unleash Language Barriers between Moore speakers and German speakers</t>
  </si>
  <si>
    <t>Social Media &amp; Community Engagement</t>
  </si>
  <si>
    <t>Farm managers</t>
  </si>
  <si>
    <t>AI/ML Developers &amp; Engineers</t>
  </si>
  <si>
    <t xml:space="preserve">AI Model Training &amp; Optimization </t>
  </si>
  <si>
    <t>Travelers &amp; Tourists</t>
  </si>
  <si>
    <t>Universities &amp; Research Institutions</t>
  </si>
  <si>
    <t>Mobile App Development &amp; Maintenance (Flutter, FastAPI)</t>
  </si>
  <si>
    <t>Government &amp; NGOs</t>
  </si>
  <si>
    <t>Cloud Service Providers (e.g., Google Cloud, AWS, or Azure)</t>
  </si>
  <si>
    <t>Marketing &amp; Partnership Building</t>
  </si>
  <si>
    <t>Real-time Voice Translation for quick communication</t>
  </si>
  <si>
    <t>Customer Support &amp; Feedback Collection</t>
  </si>
  <si>
    <t>Key Resources</t>
  </si>
  <si>
    <t>Time &amp; Cost Saving For Farmers and their visitors</t>
  </si>
  <si>
    <t>Channels</t>
  </si>
  <si>
    <t>Trained AI Model &amp; Voice Data</t>
  </si>
  <si>
    <t>Mobile App (Google Play Store, Apple App Store)</t>
  </si>
  <si>
    <t>Mobile App (Flutter) &amp; Backend API (FastAPI)</t>
  </si>
  <si>
    <t>Cloud Infrastructure (for hosting &amp; processing)</t>
  </si>
  <si>
    <t>Social Media (Facebook, Twitter, LinkedIn)</t>
  </si>
  <si>
    <t>Technical Team (AI Engineers, Developers, Linguists)</t>
  </si>
  <si>
    <t>Cost Structure</t>
  </si>
  <si>
    <t>Revenue Streams</t>
  </si>
  <si>
    <t>AI Model Development &amp; Training</t>
  </si>
  <si>
    <t>Freemium Model (Basic free version, premium features via subscription)</t>
  </si>
  <si>
    <t>Mobile App &amp; Backend Server Maintenance</t>
  </si>
  <si>
    <t>B2B Partnerships (Businesses</t>
  </si>
  <si>
    <t>Cloud Storage &amp; API Hosting Costs</t>
  </si>
  <si>
    <t>Government &amp; NGO Grants (For language development projects)</t>
  </si>
  <si>
    <t>Team Salaries &amp; Consultants</t>
  </si>
  <si>
    <t>Project: Security system design for a 2-hectare mango drying farm.</t>
  </si>
  <si>
    <t>Scope: Perimeter fencing, surveillance cameras, access control, and monitoring system.</t>
  </si>
  <si>
    <t>Objective: Protect the farm from theft, improve workforce management, and ensure long-term security.</t>
  </si>
  <si>
    <t>Item / Description</t>
  </si>
  <si>
    <t>Unit Price (€)</t>
  </si>
  <si>
    <t>Total (€)</t>
  </si>
  <si>
    <t>Abbreviation / Term</t>
  </si>
  <si>
    <t xml:space="preserve">Perimeter fence </t>
  </si>
  <si>
    <t>meter (unit of length)</t>
  </si>
  <si>
    <t>Perimeter cameras</t>
  </si>
  <si>
    <t>Euro (currency used for costs)</t>
  </si>
  <si>
    <t>Facial recognition cameras</t>
  </si>
  <si>
    <t>Cameras</t>
  </si>
  <si>
    <t>Surveillance devices (perimeter / internal)</t>
  </si>
  <si>
    <t>Internal cameras</t>
  </si>
  <si>
    <t>Face Recognition</t>
  </si>
  <si>
    <t>Camera equipped with facial detection system</t>
  </si>
  <si>
    <t>Access control system (gates)</t>
  </si>
  <si>
    <t>Gates</t>
  </si>
  <si>
    <t>Access control system (gate/entry point)</t>
  </si>
  <si>
    <t>Storage &amp; monitoring system</t>
  </si>
  <si>
    <t>Total Estimated Cost</t>
  </si>
  <si>
    <t>Estimated Annual Savings</t>
  </si>
  <si>
    <t>Savings Breakdown (Sources of Annual Savings)</t>
  </si>
  <si>
    <t>Estimated Value [€ / year]</t>
  </si>
  <si>
    <t>Reduction of theft and vandalism losses</t>
  </si>
  <si>
    <t>Reduction of security personnel costs</t>
  </si>
  <si>
    <t>Improved monitoring efficiency and maintenance</t>
  </si>
  <si>
    <t>Total Estimated Annual Savings</t>
  </si>
  <si>
    <t xml:space="preserve">Payback Period </t>
  </si>
  <si>
    <t>≈ 1.1 years</t>
  </si>
  <si>
    <t>Calculation/ Payback Period</t>
  </si>
  <si>
    <t>10 700 / 9 400 = 1.1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</si>
</sst>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€&quot;;[Red]\-#,##0\ &quot;€&quot;"/>
    <numFmt numFmtId="165" formatCode="0.000"/>
    <numFmt numFmtId="166" formatCode="0.0"/>
  </numFmts>
  <fonts count="106">
    <font>
      <sz val="11"/>
      <color theme="1"/>
      <name val="Aptos Narrow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b/>
      <sz val="18"/>
      <color rgb="FF4EA72E"/>
      <name val="Aptos Narrow"/>
      <scheme val="minor"/>
    </font>
    <font>
      <b/>
      <sz val="12"/>
      <color rgb="FF000000"/>
      <name val="Times New Roman"/>
      <family val="1"/>
    </font>
    <font>
      <sz val="11"/>
      <color rgb="FF000000"/>
      <name val="Calibri"/>
      <family val="2"/>
    </font>
    <font>
      <b/>
      <sz val="16"/>
      <color rgb="FF000000"/>
      <name val="Times New Roman"/>
      <family val="1"/>
    </font>
    <font>
      <sz val="16"/>
      <color rgb="FF000000"/>
      <name val="Times New Roman"/>
      <family val="1"/>
    </font>
    <font>
      <sz val="16"/>
      <color rgb="FF000000"/>
      <name val="Calibri"/>
      <family val="2"/>
    </font>
    <font>
      <sz val="16"/>
      <color theme="1"/>
      <name val="Aptos Narrow"/>
      <family val="2"/>
      <scheme val="minor"/>
    </font>
    <font>
      <b/>
      <sz val="14"/>
      <color rgb="FF215C98"/>
      <name val="Times New Roman"/>
    </font>
    <font>
      <b/>
      <sz val="14"/>
      <color rgb="FF000000"/>
      <name val="Times New Roman"/>
    </font>
    <font>
      <sz val="14"/>
      <color rgb="FF000000"/>
      <name val="Times New Roman"/>
    </font>
    <font>
      <sz val="14"/>
      <color rgb="FFFF0000"/>
      <name val="Times New Roman"/>
    </font>
    <font>
      <b/>
      <sz val="16"/>
      <color rgb="FF4EA72E"/>
      <name val="Times New Roman"/>
    </font>
    <font>
      <b/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rgb="FF0070C0"/>
      <name val="Aptos Narrow"/>
      <scheme val="minor"/>
    </font>
    <font>
      <b/>
      <sz val="24"/>
      <color rgb="FF215C98"/>
      <name val="Times New Roman"/>
    </font>
    <font>
      <b/>
      <sz val="48"/>
      <color theme="0"/>
      <name val="Times New Roman"/>
    </font>
    <font>
      <b/>
      <sz val="15"/>
      <color rgb="FFFFFFFF"/>
      <name val="Arial"/>
      <family val="2"/>
    </font>
    <font>
      <b/>
      <sz val="15"/>
      <color rgb="FF1D1D1D"/>
      <name val="Arial"/>
      <family val="2"/>
    </font>
    <font>
      <b/>
      <sz val="15"/>
      <color theme="0"/>
      <name val="Arial"/>
      <family val="2"/>
    </font>
    <font>
      <b/>
      <sz val="11"/>
      <color theme="3" tint="0.249977111117893"/>
      <name val="Aptos Narrow"/>
      <family val="2"/>
      <scheme val="minor"/>
    </font>
    <font>
      <b/>
      <sz val="11"/>
      <color rgb="FF002060"/>
      <name val="Calibri"/>
      <family val="2"/>
    </font>
    <font>
      <b/>
      <sz val="11"/>
      <color rgb="FF002060"/>
      <name val="Calibri"/>
    </font>
    <font>
      <sz val="12"/>
      <color theme="1"/>
      <name val="Aptos Narrow"/>
      <family val="2"/>
      <scheme val="minor"/>
    </font>
    <font>
      <b/>
      <sz val="14"/>
      <color theme="7"/>
      <name val="Aptos Narrow"/>
      <family val="2"/>
      <scheme val="minor"/>
    </font>
    <font>
      <b/>
      <sz val="14"/>
      <color theme="7"/>
      <name val="Aptos Narrow"/>
      <charset val="1"/>
    </font>
    <font>
      <b/>
      <sz val="14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rial"/>
      <family val="2"/>
    </font>
    <font>
      <b/>
      <sz val="14"/>
      <color theme="1"/>
      <name val="Aptos Narrow"/>
      <family val="2"/>
      <scheme val="minor"/>
    </font>
    <font>
      <b/>
      <sz val="14"/>
      <color rgb="FF00B0F0"/>
      <name val="Aptos Narrow"/>
      <family val="2"/>
      <scheme val="minor"/>
    </font>
    <font>
      <b/>
      <sz val="16"/>
      <color rgb="FFED7D31"/>
      <name val="Times New Roman"/>
      <family val="1"/>
    </font>
    <font>
      <u/>
      <sz val="11"/>
      <color theme="3" tint="0.249977111117893"/>
      <name val="Aptos Narrow"/>
      <family val="2"/>
      <scheme val="minor"/>
    </font>
    <font>
      <b/>
      <sz val="14"/>
      <color rgb="FF1D1D1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1D1D1D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b/>
      <sz val="16"/>
      <color rgb="FF000000"/>
      <name val="Aptos Narrow"/>
      <scheme val="minor"/>
    </font>
    <font>
      <b/>
      <sz val="14"/>
      <color rgb="FFFFFFFF"/>
      <name val="Aptos Narrow"/>
      <scheme val="minor"/>
    </font>
    <font>
      <b/>
      <sz val="12"/>
      <color rgb="FFFFFFFF"/>
      <name val="Aptos Narrow"/>
      <scheme val="minor"/>
    </font>
    <font>
      <b/>
      <sz val="11"/>
      <color theme="1" tint="4.9989318521683403E-2"/>
      <name val="Calibri"/>
      <charset val="134"/>
    </font>
    <font>
      <sz val="14"/>
      <color theme="1"/>
      <name val="Aptos Narrow"/>
      <family val="2"/>
      <scheme val="minor"/>
    </font>
    <font>
      <sz val="11"/>
      <color rgb="FF000000"/>
      <name val="Calibri"/>
      <charset val="1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Times New Roman"/>
    </font>
    <font>
      <sz val="11"/>
      <color rgb="FF000000"/>
      <name val="Consolas"/>
      <charset val="1"/>
    </font>
    <font>
      <b/>
      <sz val="11"/>
      <color rgb="FF000000"/>
      <name val="Calibri"/>
      <charset val="1"/>
    </font>
    <font>
      <b/>
      <sz val="24"/>
      <color rgb="FF215C98"/>
      <name val="Times New Roman"/>
      <charset val="1"/>
    </font>
    <font>
      <b/>
      <sz val="11"/>
      <color rgb="FF0D0D0D"/>
      <name val="Calibri"/>
    </font>
    <font>
      <b/>
      <sz val="12"/>
      <color rgb="FF0E2841"/>
      <name val="Times New Roman"/>
    </font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Aptos Narrow"/>
      <scheme val="minor"/>
    </font>
    <font>
      <b/>
      <sz val="11"/>
      <color rgb="FF0E2841"/>
      <name val="Calibri"/>
    </font>
    <font>
      <b/>
      <sz val="12"/>
      <color rgb="FF145F82"/>
      <name val="Times New Roman"/>
    </font>
    <font>
      <b/>
      <sz val="11"/>
      <color rgb="FF145F82"/>
      <name val="Aptos Narrow"/>
      <scheme val="minor"/>
    </font>
    <font>
      <sz val="14"/>
      <color rgb="FF000000"/>
      <name val="Aptos Narrow"/>
      <charset val="1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11"/>
      <color rgb="FFFFFFFF"/>
      <name val="Aptos Narrow"/>
    </font>
    <font>
      <b/>
      <sz val="11"/>
      <color theme="0"/>
      <name val="Calibri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rgb="FF1D1D1D"/>
      <name val="Calibri"/>
    </font>
    <font>
      <sz val="11"/>
      <color rgb="FF1D1D1D"/>
      <name val="Calibri"/>
    </font>
    <font>
      <b/>
      <sz val="11"/>
      <color rgb="FF1D1D1D"/>
      <name val="Calibri"/>
    </font>
    <font>
      <b/>
      <sz val="11"/>
      <color theme="0"/>
      <name val="Calibri"/>
    </font>
    <font>
      <b/>
      <sz val="14"/>
      <color rgb="FF4EA72E"/>
      <name val="Times New Roman"/>
    </font>
    <font>
      <b/>
      <sz val="48"/>
      <color rgb="FF215C98"/>
      <name val="Times New Roman"/>
    </font>
    <font>
      <b/>
      <sz val="24"/>
      <color rgb="FF145F82"/>
      <name val="Times New Roman"/>
    </font>
    <font>
      <b/>
      <sz val="24"/>
      <color theme="4"/>
      <name val="Times New Roman"/>
    </font>
    <font>
      <sz val="14"/>
      <color rgb="FF000000"/>
      <name val="Aptos Narrow"/>
      <scheme val="minor"/>
    </font>
    <font>
      <b/>
      <sz val="14"/>
      <color theme="1"/>
      <name val="Times New Roman"/>
    </font>
    <font>
      <sz val="11"/>
      <color theme="1"/>
      <name val="Times New Roman"/>
    </font>
    <font>
      <sz val="11"/>
      <color rgb="FF1D1D1D"/>
      <name val="Times New Roman"/>
    </font>
    <font>
      <b/>
      <sz val="20"/>
      <color theme="3"/>
      <name val="Times New Roman"/>
    </font>
    <font>
      <b/>
      <sz val="20"/>
      <color rgb="FF002060"/>
      <name val="Times New Roman"/>
    </font>
    <font>
      <sz val="14"/>
      <color rgb="FF002060"/>
      <name val="Aptos Narrow"/>
      <family val="2"/>
      <scheme val="minor"/>
    </font>
    <font>
      <sz val="12"/>
      <color rgb="FF000000"/>
      <name val="Calibri"/>
    </font>
    <font>
      <sz val="26"/>
      <color rgb="FF17365D"/>
      <name val="Times New Roman"/>
      <family val="1"/>
      <charset val="1"/>
    </font>
    <font>
      <sz val="36"/>
      <color rgb="FF186C24"/>
      <name val="Aptos Narrow"/>
      <scheme val="minor"/>
    </font>
    <font>
      <b/>
      <sz val="36"/>
      <color rgb="FF186C24"/>
      <name val="Times New Roman"/>
    </font>
    <font>
      <sz val="36"/>
      <color rgb="FF186C24"/>
      <name val="Aptos Narrow"/>
      <family val="2"/>
      <scheme val="minor"/>
    </font>
    <font>
      <b/>
      <sz val="18"/>
      <color rgb="FF365F91"/>
      <name val="Times New Roman"/>
      <family val="1"/>
      <charset val="1"/>
    </font>
    <font>
      <sz val="18"/>
      <color theme="1"/>
      <name val="Aptos Narrow"/>
      <family val="2"/>
      <scheme val="minor"/>
    </font>
    <font>
      <u/>
      <sz val="18"/>
      <color theme="10"/>
      <name val="Aptos Narrow"/>
      <family val="2"/>
      <scheme val="minor"/>
    </font>
    <font>
      <sz val="18"/>
      <color theme="1"/>
      <name val="Times New Roman"/>
      <family val="1"/>
      <charset val="1"/>
    </font>
    <font>
      <b/>
      <sz val="18"/>
      <color theme="1"/>
      <name val="Times New Roman"/>
      <family val="1"/>
      <charset val="1"/>
    </font>
    <font>
      <b/>
      <sz val="18"/>
      <color rgb="FFC00000"/>
      <name val="Aptos Narrow"/>
      <scheme val="minor"/>
    </font>
    <font>
      <b/>
      <sz val="18"/>
      <color rgb="FFC0504D"/>
      <name val="Times New Roman"/>
      <family val="1"/>
      <charset val="1"/>
    </font>
    <font>
      <sz val="18"/>
      <color theme="1"/>
      <name val="Aptos Narrow"/>
      <scheme val="minor"/>
    </font>
    <font>
      <sz val="18"/>
      <color rgb="FF000000"/>
      <name val="Aptos Narrow"/>
      <scheme val="minor"/>
    </font>
    <font>
      <b/>
      <sz val="18"/>
      <color rgb="FF000000"/>
      <name val="Aptos Narrow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BFBFBF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78276"/>
      </left>
      <right style="medium">
        <color rgb="FF078276"/>
      </right>
      <top style="medium">
        <color rgb="FF078276"/>
      </top>
      <bottom/>
      <diagonal/>
    </border>
    <border>
      <left style="medium">
        <color rgb="FF078276"/>
      </left>
      <right style="medium">
        <color rgb="FF078276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078276"/>
      </left>
      <right/>
      <top style="thin">
        <color rgb="FF078276"/>
      </top>
      <bottom/>
      <diagonal/>
    </border>
    <border>
      <left style="thin">
        <color rgb="FF078276"/>
      </left>
      <right style="thin">
        <color rgb="FF078276"/>
      </right>
      <top style="thin">
        <color rgb="FF078276"/>
      </top>
      <bottom/>
      <diagonal/>
    </border>
    <border>
      <left/>
      <right/>
      <top style="thin">
        <color rgb="FF078276"/>
      </top>
      <bottom/>
      <diagonal/>
    </border>
    <border>
      <left/>
      <right style="thin">
        <color rgb="FF078276"/>
      </right>
      <top style="thin">
        <color rgb="FF078276"/>
      </top>
      <bottom/>
      <diagonal/>
    </border>
    <border>
      <left style="thin">
        <color rgb="FF078276"/>
      </left>
      <right/>
      <top/>
      <bottom style="thin">
        <color rgb="FF078276"/>
      </bottom>
      <diagonal/>
    </border>
    <border>
      <left style="thin">
        <color rgb="FF078276"/>
      </left>
      <right/>
      <top/>
      <bottom/>
      <diagonal/>
    </border>
    <border>
      <left style="thin">
        <color rgb="FF078276"/>
      </left>
      <right style="thin">
        <color rgb="FF078276"/>
      </right>
      <top/>
      <bottom style="thin">
        <color rgb="FF078276"/>
      </bottom>
      <diagonal/>
    </border>
    <border>
      <left/>
      <right/>
      <top/>
      <bottom style="thin">
        <color rgb="FF078276"/>
      </bottom>
      <diagonal/>
    </border>
    <border>
      <left/>
      <right style="thin">
        <color rgb="FF078276"/>
      </right>
      <top/>
      <bottom style="thin">
        <color rgb="FF078276"/>
      </bottom>
      <diagonal/>
    </border>
    <border>
      <left/>
      <right style="thin">
        <color rgb="FF078276"/>
      </right>
      <top/>
      <bottom/>
      <diagonal/>
    </border>
    <border>
      <left style="thin">
        <color rgb="FF078276"/>
      </left>
      <right style="thin">
        <color rgb="FF078276"/>
      </right>
      <top/>
      <bottom/>
      <diagonal/>
    </border>
    <border>
      <left style="thin">
        <color rgb="FF078276"/>
      </left>
      <right/>
      <top style="thin">
        <color rgb="FF078276"/>
      </top>
      <bottom style="thin">
        <color rgb="FF078276"/>
      </bottom>
      <diagonal/>
    </border>
    <border>
      <left/>
      <right/>
      <top style="thin">
        <color rgb="FF078276"/>
      </top>
      <bottom style="thin">
        <color rgb="FF078276"/>
      </bottom>
      <diagonal/>
    </border>
    <border>
      <left/>
      <right style="thin">
        <color rgb="FF078276"/>
      </right>
      <top style="thin">
        <color rgb="FF078276"/>
      </top>
      <bottom style="thin">
        <color rgb="FF078276"/>
      </bottom>
      <diagonal/>
    </border>
    <border>
      <left/>
      <right/>
      <top/>
      <bottom style="medium">
        <color rgb="FF4F81BD"/>
      </bottom>
      <diagonal/>
    </border>
  </borders>
  <cellStyleXfs count="2">
    <xf numFmtId="0" fontId="0" fillId="0" borderId="0"/>
    <xf numFmtId="0" fontId="55" fillId="0" borderId="0" applyNumberFormat="0" applyFill="0" applyBorder="0" applyAlignment="0" applyProtection="0"/>
  </cellStyleXfs>
  <cellXfs count="400">
    <xf numFmtId="0" fontId="0" fillId="0" borderId="0" xfId="0"/>
    <xf numFmtId="3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3" fontId="6" fillId="3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Fill="1" applyAlignment="1">
      <alignment horizontal="center"/>
    </xf>
    <xf numFmtId="0" fontId="1" fillId="0" borderId="3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16" fillId="0" borderId="0" xfId="0" applyFont="1" applyFill="1" applyBorder="1" applyAlignment="1">
      <alignment horizontal="left" wrapText="1"/>
    </xf>
    <xf numFmtId="0" fontId="19" fillId="0" borderId="0" xfId="0" applyFont="1"/>
    <xf numFmtId="164" fontId="0" fillId="0" borderId="0" xfId="0" applyNumberFormat="1"/>
    <xf numFmtId="0" fontId="23" fillId="0" borderId="0" xfId="0" applyFont="1"/>
    <xf numFmtId="0" fontId="0" fillId="0" borderId="0" xfId="0" applyBorder="1"/>
    <xf numFmtId="0" fontId="14" fillId="0" borderId="0" xfId="0" applyFont="1" applyFill="1" applyBorder="1" applyAlignment="1"/>
    <xf numFmtId="0" fontId="22" fillId="0" borderId="0" xfId="0" applyFont="1" applyFill="1" applyBorder="1" applyAlignment="1"/>
    <xf numFmtId="0" fontId="27" fillId="0" borderId="13" xfId="0" applyFont="1" applyBorder="1"/>
    <xf numFmtId="0" fontId="32" fillId="0" borderId="28" xfId="0" applyFont="1" applyBorder="1"/>
    <xf numFmtId="0" fontId="36" fillId="0" borderId="28" xfId="0" applyFont="1" applyBorder="1"/>
    <xf numFmtId="0" fontId="37" fillId="0" borderId="31" xfId="0" applyFont="1" applyFill="1" applyBorder="1" applyAlignment="1">
      <alignment wrapText="1"/>
    </xf>
    <xf numFmtId="0" fontId="37" fillId="0" borderId="32" xfId="0" applyFont="1" applyFill="1" applyBorder="1" applyAlignment="1">
      <alignment wrapText="1"/>
    </xf>
    <xf numFmtId="0" fontId="37" fillId="0" borderId="33" xfId="0" applyFont="1" applyFill="1" applyBorder="1" applyAlignment="1">
      <alignment wrapText="1"/>
    </xf>
    <xf numFmtId="0" fontId="37" fillId="0" borderId="34" xfId="0" applyFont="1" applyFill="1" applyBorder="1" applyAlignment="1">
      <alignment wrapText="1"/>
    </xf>
    <xf numFmtId="0" fontId="37" fillId="0" borderId="33" xfId="0" quotePrefix="1" applyFont="1" applyFill="1" applyBorder="1" applyAlignment="1">
      <alignment wrapText="1"/>
    </xf>
    <xf numFmtId="0" fontId="37" fillId="0" borderId="32" xfId="0" applyFont="1" applyFill="1" applyBorder="1" applyAlignment="1"/>
    <xf numFmtId="0" fontId="37" fillId="0" borderId="0" xfId="0" applyFont="1" applyFill="1" applyBorder="1" applyAlignment="1">
      <alignment wrapText="1"/>
    </xf>
    <xf numFmtId="0" fontId="37" fillId="0" borderId="0" xfId="0" quotePrefix="1" applyFont="1" applyFill="1" applyBorder="1" applyAlignment="1">
      <alignment wrapText="1"/>
    </xf>
    <xf numFmtId="9" fontId="37" fillId="0" borderId="0" xfId="0" applyNumberFormat="1" applyFont="1" applyFill="1" applyBorder="1" applyAlignment="1">
      <alignment wrapText="1"/>
    </xf>
    <xf numFmtId="0" fontId="37" fillId="0" borderId="34" xfId="0" applyFont="1" applyFill="1" applyBorder="1" applyAlignment="1">
      <alignment horizontal="center" wrapText="1"/>
    </xf>
    <xf numFmtId="0" fontId="37" fillId="0" borderId="34" xfId="0" quotePrefix="1" applyFont="1" applyFill="1" applyBorder="1" applyAlignment="1">
      <alignment horizontal="center" wrapText="1"/>
    </xf>
    <xf numFmtId="9" fontId="37" fillId="0" borderId="34" xfId="0" applyNumberFormat="1" applyFont="1" applyFill="1" applyBorder="1" applyAlignment="1">
      <alignment horizontal="center" wrapText="1"/>
    </xf>
    <xf numFmtId="0" fontId="32" fillId="0" borderId="0" xfId="0" applyFont="1" applyBorder="1"/>
    <xf numFmtId="0" fontId="32" fillId="0" borderId="28" xfId="0" applyFont="1" applyBorder="1" applyAlignment="1">
      <alignment horizontal="center" vertical="center"/>
    </xf>
    <xf numFmtId="0" fontId="35" fillId="0" borderId="0" xfId="0" applyFont="1" applyBorder="1" applyAlignment="1">
      <alignment horizontal="center"/>
    </xf>
    <xf numFmtId="0" fontId="38" fillId="0" borderId="28" xfId="0" applyFont="1" applyBorder="1" applyAlignment="1">
      <alignment horizontal="center"/>
    </xf>
    <xf numFmtId="0" fontId="38" fillId="0" borderId="27" xfId="0" applyFont="1" applyBorder="1" applyAlignment="1">
      <alignment horizontal="center"/>
    </xf>
    <xf numFmtId="0" fontId="38" fillId="0" borderId="28" xfId="0" applyFont="1" applyBorder="1" applyAlignment="1">
      <alignment horizontal="center" wrapText="1"/>
    </xf>
    <xf numFmtId="0" fontId="38" fillId="0" borderId="28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0" fontId="32" fillId="0" borderId="30" xfId="0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0" fontId="19" fillId="7" borderId="0" xfId="0" applyFont="1" applyFill="1" applyAlignment="1">
      <alignment wrapText="1"/>
    </xf>
    <xf numFmtId="0" fontId="41" fillId="5" borderId="0" xfId="0" applyFont="1" applyFill="1"/>
    <xf numFmtId="0" fontId="0" fillId="0" borderId="0" xfId="0" applyAlignment="1">
      <alignment horizontal="center"/>
    </xf>
    <xf numFmtId="0" fontId="44" fillId="0" borderId="6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0" fontId="44" fillId="5" borderId="6" xfId="0" applyFont="1" applyFill="1" applyBorder="1" applyAlignment="1">
      <alignment horizontal="center" vertical="center"/>
    </xf>
    <xf numFmtId="3" fontId="44" fillId="5" borderId="6" xfId="0" applyNumberFormat="1" applyFont="1" applyFill="1" applyBorder="1" applyAlignment="1">
      <alignment horizontal="center" vertical="center"/>
    </xf>
    <xf numFmtId="3" fontId="45" fillId="5" borderId="8" xfId="0" applyNumberFormat="1" applyFont="1" applyFill="1" applyBorder="1" applyAlignment="1">
      <alignment horizontal="center" vertical="center"/>
    </xf>
    <xf numFmtId="3" fontId="45" fillId="5" borderId="6" xfId="0" applyNumberFormat="1" applyFont="1" applyFill="1" applyBorder="1" applyAlignment="1">
      <alignment horizontal="center" vertical="center"/>
    </xf>
    <xf numFmtId="0" fontId="44" fillId="0" borderId="12" xfId="0" applyFont="1" applyBorder="1" applyAlignment="1">
      <alignment horizontal="left"/>
    </xf>
    <xf numFmtId="0" fontId="44" fillId="0" borderId="13" xfId="0" applyFont="1" applyBorder="1" applyAlignment="1">
      <alignment horizontal="left"/>
    </xf>
    <xf numFmtId="3" fontId="44" fillId="0" borderId="6" xfId="0" applyNumberFormat="1" applyFont="1" applyBorder="1" applyAlignment="1">
      <alignment horizontal="center" vertical="center"/>
    </xf>
    <xf numFmtId="3" fontId="45" fillId="0" borderId="6" xfId="0" applyNumberFormat="1" applyFont="1" applyBorder="1" applyAlignment="1">
      <alignment horizontal="center" vertical="center"/>
    </xf>
    <xf numFmtId="3" fontId="44" fillId="0" borderId="6" xfId="0" applyNumberFormat="1" applyFont="1" applyFill="1" applyBorder="1" applyAlignment="1">
      <alignment horizontal="center" vertical="center"/>
    </xf>
    <xf numFmtId="3" fontId="44" fillId="0" borderId="12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3" fontId="44" fillId="0" borderId="8" xfId="0" applyNumberFormat="1" applyFont="1" applyBorder="1" applyAlignment="1">
      <alignment horizontal="center" vertical="center"/>
    </xf>
    <xf numFmtId="3" fontId="45" fillId="0" borderId="8" xfId="0" applyNumberFormat="1" applyFont="1" applyBorder="1" applyAlignment="1">
      <alignment horizontal="center" vertical="center"/>
    </xf>
    <xf numFmtId="0" fontId="44" fillId="0" borderId="8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6" xfId="0" applyBorder="1"/>
    <xf numFmtId="0" fontId="0" fillId="0" borderId="13" xfId="0" applyBorder="1" applyAlignment="1">
      <alignment horizontal="center" wrapText="1"/>
    </xf>
    <xf numFmtId="0" fontId="44" fillId="0" borderId="12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10" fontId="0" fillId="0" borderId="12" xfId="0" applyNumberFormat="1" applyBorder="1" applyAlignment="1">
      <alignment horizontal="center"/>
    </xf>
    <xf numFmtId="10" fontId="0" fillId="0" borderId="15" xfId="0" applyNumberFormat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0" fontId="51" fillId="10" borderId="8" xfId="0" applyFont="1" applyFill="1" applyBorder="1" applyAlignment="1">
      <alignment horizontal="center" wrapText="1"/>
    </xf>
    <xf numFmtId="0" fontId="51" fillId="10" borderId="17" xfId="0" applyFont="1" applyFill="1" applyBorder="1" applyAlignment="1">
      <alignment horizontal="center" vertical="center" wrapText="1"/>
    </xf>
    <xf numFmtId="0" fontId="51" fillId="10" borderId="10" xfId="0" applyFont="1" applyFill="1" applyBorder="1" applyAlignment="1">
      <alignment horizontal="center" wrapText="1"/>
    </xf>
    <xf numFmtId="0" fontId="51" fillId="10" borderId="6" xfId="0" applyFont="1" applyFill="1" applyBorder="1" applyAlignment="1">
      <alignment horizontal="center" vertical="center" wrapText="1"/>
    </xf>
    <xf numFmtId="0" fontId="51" fillId="10" borderId="12" xfId="0" applyFont="1" applyFill="1" applyBorder="1" applyAlignment="1">
      <alignment horizontal="center" vertical="center" wrapText="1"/>
    </xf>
    <xf numFmtId="0" fontId="51" fillId="10" borderId="6" xfId="0" applyFont="1" applyFill="1" applyBorder="1" applyAlignment="1">
      <alignment horizontal="center" vertical="center"/>
    </xf>
    <xf numFmtId="0" fontId="24" fillId="0" borderId="7" xfId="0" applyFont="1" applyFill="1" applyBorder="1" applyAlignment="1">
      <alignment horizontal="center"/>
    </xf>
    <xf numFmtId="0" fontId="22" fillId="5" borderId="13" xfId="0" applyFont="1" applyFill="1" applyBorder="1" applyAlignment="1"/>
    <xf numFmtId="0" fontId="22" fillId="5" borderId="6" xfId="0" applyFont="1" applyFill="1" applyBorder="1" applyAlignment="1"/>
    <xf numFmtId="0" fontId="22" fillId="5" borderId="12" xfId="0" applyFont="1" applyFill="1" applyBorder="1" applyAlignment="1"/>
    <xf numFmtId="0" fontId="22" fillId="5" borderId="16" xfId="0" applyFont="1" applyFill="1" applyBorder="1" applyAlignment="1"/>
    <xf numFmtId="0" fontId="22" fillId="5" borderId="8" xfId="0" applyFont="1" applyFill="1" applyBorder="1" applyAlignment="1"/>
    <xf numFmtId="0" fontId="22" fillId="5" borderId="17" xfId="0" applyFont="1" applyFill="1" applyBorder="1" applyAlignment="1"/>
    <xf numFmtId="0" fontId="21" fillId="11" borderId="14" xfId="0" applyFont="1" applyFill="1" applyBorder="1" applyAlignment="1"/>
    <xf numFmtId="0" fontId="21" fillId="11" borderId="9" xfId="0" applyFont="1" applyFill="1" applyBorder="1" applyAlignment="1"/>
    <xf numFmtId="0" fontId="21" fillId="11" borderId="15" xfId="0" applyFont="1" applyFill="1" applyBorder="1" applyAlignment="1"/>
    <xf numFmtId="0" fontId="52" fillId="11" borderId="14" xfId="0" applyFont="1" applyFill="1" applyBorder="1" applyAlignment="1"/>
    <xf numFmtId="0" fontId="52" fillId="11" borderId="9" xfId="0" applyFont="1" applyFill="1" applyBorder="1" applyAlignment="1"/>
    <xf numFmtId="0" fontId="21" fillId="11" borderId="18" xfId="0" applyFont="1" applyFill="1" applyBorder="1" applyAlignment="1"/>
    <xf numFmtId="0" fontId="21" fillId="11" borderId="19" xfId="0" applyFont="1" applyFill="1" applyBorder="1" applyAlignment="1"/>
    <xf numFmtId="0" fontId="21" fillId="11" borderId="11" xfId="0" applyFont="1" applyFill="1" applyBorder="1" applyAlignment="1"/>
    <xf numFmtId="0" fontId="33" fillId="0" borderId="0" xfId="0" applyFont="1" applyBorder="1" applyAlignment="1"/>
    <xf numFmtId="0" fontId="0" fillId="5" borderId="6" xfId="0" applyFill="1" applyBorder="1"/>
    <xf numFmtId="0" fontId="22" fillId="5" borderId="8" xfId="0" applyFont="1" applyFill="1" applyBorder="1"/>
    <xf numFmtId="0" fontId="22" fillId="5" borderId="16" xfId="0" applyFont="1" applyFill="1" applyBorder="1"/>
    <xf numFmtId="0" fontId="22" fillId="5" borderId="14" xfId="0" applyFont="1" applyFill="1" applyBorder="1" applyAlignment="1"/>
    <xf numFmtId="0" fontId="22" fillId="5" borderId="9" xfId="0" applyFont="1" applyFill="1" applyBorder="1" applyAlignment="1"/>
    <xf numFmtId="0" fontId="22" fillId="5" borderId="15" xfId="0" applyFont="1" applyFill="1" applyBorder="1" applyAlignment="1"/>
    <xf numFmtId="165" fontId="32" fillId="0" borderId="28" xfId="0" applyNumberFormat="1" applyFont="1" applyBorder="1"/>
    <xf numFmtId="2" fontId="32" fillId="0" borderId="28" xfId="0" applyNumberFormat="1" applyFont="1" applyBorder="1"/>
    <xf numFmtId="166" fontId="32" fillId="0" borderId="28" xfId="0" applyNumberFormat="1" applyFont="1" applyBorder="1"/>
    <xf numFmtId="0" fontId="35" fillId="0" borderId="27" xfId="0" applyFont="1" applyBorder="1" applyAlignment="1">
      <alignment horizontal="center" vertical="center"/>
    </xf>
    <xf numFmtId="0" fontId="53" fillId="0" borderId="28" xfId="0" applyFont="1" applyBorder="1" applyAlignment="1">
      <alignment horizontal="center"/>
    </xf>
    <xf numFmtId="0" fontId="53" fillId="0" borderId="27" xfId="0" applyFont="1" applyBorder="1" applyAlignment="1">
      <alignment horizontal="center" vertical="center"/>
    </xf>
    <xf numFmtId="0" fontId="53" fillId="0" borderId="28" xfId="0" applyFont="1" applyBorder="1"/>
    <xf numFmtId="0" fontId="53" fillId="0" borderId="28" xfId="0" applyFont="1" applyBorder="1" applyAlignment="1">
      <alignment horizontal="center" vertical="center"/>
    </xf>
    <xf numFmtId="0" fontId="53" fillId="0" borderId="38" xfId="0" applyFont="1" applyBorder="1" applyAlignment="1">
      <alignment horizontal="center"/>
    </xf>
    <xf numFmtId="0" fontId="53" fillId="0" borderId="24" xfId="0" applyFont="1" applyBorder="1" applyAlignment="1">
      <alignment horizontal="center" vertical="center"/>
    </xf>
    <xf numFmtId="0" fontId="53" fillId="0" borderId="26" xfId="0" applyFont="1" applyBorder="1" applyAlignment="1">
      <alignment horizontal="center" vertical="center"/>
    </xf>
    <xf numFmtId="0" fontId="35" fillId="0" borderId="28" xfId="0" applyFont="1" applyBorder="1" applyAlignment="1">
      <alignment horizontal="center" vertical="center"/>
    </xf>
    <xf numFmtId="0" fontId="53" fillId="0" borderId="28" xfId="0" applyFont="1" applyBorder="1" applyAlignment="1">
      <alignment horizontal="center" vertical="center" wrapText="1"/>
    </xf>
    <xf numFmtId="0" fontId="53" fillId="0" borderId="28" xfId="0" applyFont="1" applyBorder="1" applyAlignment="1">
      <alignment horizontal="center" wrapText="1"/>
    </xf>
    <xf numFmtId="0" fontId="53" fillId="0" borderId="36" xfId="0" applyFont="1" applyBorder="1" applyAlignment="1">
      <alignment horizontal="center" vertical="center"/>
    </xf>
    <xf numFmtId="0" fontId="53" fillId="0" borderId="36" xfId="0" applyFont="1" applyBorder="1" applyAlignment="1">
      <alignment horizontal="center" wrapText="1"/>
    </xf>
    <xf numFmtId="0" fontId="22" fillId="0" borderId="0" xfId="0" applyFont="1" applyFill="1" applyBorder="1" applyAlignment="1">
      <alignment wrapText="1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54" fillId="0" borderId="8" xfId="0" applyFont="1" applyBorder="1" applyAlignment="1">
      <alignment horizontal="center"/>
    </xf>
    <xf numFmtId="0" fontId="54" fillId="0" borderId="9" xfId="0" applyFont="1" applyBorder="1" applyAlignment="1">
      <alignment horizontal="center"/>
    </xf>
    <xf numFmtId="0" fontId="55" fillId="0" borderId="0" xfId="1" applyBorder="1" applyAlignment="1">
      <alignment textRotation="180"/>
    </xf>
    <xf numFmtId="0" fontId="54" fillId="0" borderId="0" xfId="0" applyFont="1" applyBorder="1"/>
    <xf numFmtId="0" fontId="0" fillId="0" borderId="19" xfId="0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56" fillId="0" borderId="6" xfId="0" applyFont="1" applyBorder="1" applyAlignment="1">
      <alignment horizontal="center"/>
    </xf>
    <xf numFmtId="0" fontId="54" fillId="0" borderId="6" xfId="0" applyFont="1" applyBorder="1" applyAlignment="1">
      <alignment horizontal="center"/>
    </xf>
    <xf numFmtId="0" fontId="57" fillId="0" borderId="6" xfId="0" applyFont="1" applyFill="1" applyBorder="1" applyAlignment="1">
      <alignment horizontal="center"/>
    </xf>
    <xf numFmtId="0" fontId="54" fillId="0" borderId="12" xfId="0" applyFont="1" applyBorder="1" applyAlignment="1">
      <alignment horizontal="center"/>
    </xf>
    <xf numFmtId="0" fontId="58" fillId="0" borderId="8" xfId="0" quotePrefix="1" applyFont="1" applyBorder="1" applyAlignment="1">
      <alignment horizontal="center"/>
    </xf>
    <xf numFmtId="0" fontId="24" fillId="0" borderId="7" xfId="0" applyFont="1" applyFill="1" applyBorder="1" applyAlignment="1">
      <alignment horizontal="center" wrapText="1"/>
    </xf>
    <xf numFmtId="0" fontId="55" fillId="5" borderId="6" xfId="1" applyFill="1" applyBorder="1"/>
    <xf numFmtId="0" fontId="55" fillId="5" borderId="13" xfId="1" applyFill="1" applyBorder="1"/>
    <xf numFmtId="0" fontId="55" fillId="5" borderId="13" xfId="1" applyFill="1" applyBorder="1" applyAlignment="1"/>
    <xf numFmtId="3" fontId="0" fillId="5" borderId="8" xfId="0" applyNumberFormat="1" applyFill="1" applyBorder="1"/>
    <xf numFmtId="0" fontId="0" fillId="5" borderId="6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8" xfId="0" applyBorder="1" applyAlignment="1">
      <alignment horizontal="right"/>
    </xf>
    <xf numFmtId="0" fontId="0" fillId="5" borderId="6" xfId="0" applyFill="1" applyBorder="1" applyAlignment="1">
      <alignment horizontal="right"/>
    </xf>
    <xf numFmtId="0" fontId="52" fillId="11" borderId="6" xfId="0" applyFont="1" applyFill="1" applyBorder="1" applyAlignment="1"/>
    <xf numFmtId="0" fontId="22" fillId="5" borderId="8" xfId="0" applyFont="1" applyFill="1" applyBorder="1" applyAlignment="1">
      <alignment horizontal="center"/>
    </xf>
    <xf numFmtId="0" fontId="22" fillId="5" borderId="16" xfId="0" applyFont="1" applyFill="1" applyBorder="1" applyAlignment="1">
      <alignment horizontal="center"/>
    </xf>
    <xf numFmtId="0" fontId="20" fillId="5" borderId="0" xfId="0" applyFont="1" applyFill="1"/>
    <xf numFmtId="164" fontId="20" fillId="5" borderId="0" xfId="0" applyNumberFormat="1" applyFont="1" applyFill="1"/>
    <xf numFmtId="0" fontId="20" fillId="5" borderId="0" xfId="0" quotePrefix="1" applyFont="1" applyFill="1"/>
    <xf numFmtId="164" fontId="8" fillId="5" borderId="0" xfId="0" applyNumberFormat="1" applyFont="1" applyFill="1"/>
    <xf numFmtId="0" fontId="19" fillId="5" borderId="0" xfId="0" applyFont="1" applyFill="1"/>
    <xf numFmtId="0" fontId="22" fillId="5" borderId="6" xfId="0" applyFont="1" applyFill="1" applyBorder="1"/>
    <xf numFmtId="0" fontId="62" fillId="5" borderId="0" xfId="0" applyFont="1" applyFill="1"/>
    <xf numFmtId="0" fontId="24" fillId="0" borderId="0" xfId="0" applyFont="1" applyFill="1" applyBorder="1" applyAlignment="1">
      <alignment horizontal="center"/>
    </xf>
    <xf numFmtId="0" fontId="63" fillId="0" borderId="0" xfId="0" applyFont="1" applyAlignment="1">
      <alignment horizontal="center"/>
    </xf>
    <xf numFmtId="0" fontId="30" fillId="5" borderId="40" xfId="0" applyFont="1" applyFill="1" applyBorder="1" applyAlignment="1"/>
    <xf numFmtId="0" fontId="9" fillId="5" borderId="39" xfId="0" applyFont="1" applyFill="1" applyBorder="1" applyAlignment="1">
      <alignment wrapText="1"/>
    </xf>
    <xf numFmtId="0" fontId="9" fillId="5" borderId="40" xfId="0" applyFont="1" applyFill="1" applyBorder="1" applyAlignment="1"/>
    <xf numFmtId="0" fontId="64" fillId="5" borderId="39" xfId="0" applyFont="1" applyFill="1" applyBorder="1" applyAlignment="1"/>
    <xf numFmtId="0" fontId="65" fillId="5" borderId="0" xfId="0" applyFont="1" applyFill="1"/>
    <xf numFmtId="0" fontId="65" fillId="5" borderId="0" xfId="0" applyFont="1" applyFill="1" applyBorder="1"/>
    <xf numFmtId="0" fontId="66" fillId="5" borderId="39" xfId="0" applyFont="1" applyFill="1" applyBorder="1" applyAlignment="1"/>
    <xf numFmtId="0" fontId="67" fillId="5" borderId="0" xfId="0" applyFont="1" applyFill="1"/>
    <xf numFmtId="0" fontId="68" fillId="5" borderId="0" xfId="0" applyFont="1" applyFill="1"/>
    <xf numFmtId="0" fontId="68" fillId="5" borderId="0" xfId="0" applyFont="1" applyFill="1" applyAlignment="1">
      <alignment wrapText="1"/>
    </xf>
    <xf numFmtId="0" fontId="21" fillId="11" borderId="12" xfId="0" applyFont="1" applyFill="1" applyBorder="1" applyAlignment="1"/>
    <xf numFmtId="0" fontId="0" fillId="0" borderId="28" xfId="0" applyBorder="1"/>
    <xf numFmtId="0" fontId="35" fillId="0" borderId="36" xfId="0" applyFont="1" applyBorder="1" applyAlignment="1">
      <alignment horizontal="center" vertical="center"/>
    </xf>
    <xf numFmtId="166" fontId="35" fillId="0" borderId="36" xfId="0" applyNumberFormat="1" applyFont="1" applyBorder="1" applyAlignment="1">
      <alignment horizontal="center" vertical="center"/>
    </xf>
    <xf numFmtId="0" fontId="53" fillId="0" borderId="36" xfId="0" applyFont="1" applyBorder="1" applyAlignment="1">
      <alignment horizontal="center" vertical="center" wrapText="1"/>
    </xf>
    <xf numFmtId="0" fontId="69" fillId="0" borderId="28" xfId="0" applyFont="1" applyBorder="1" applyAlignment="1">
      <alignment horizontal="center" vertical="center"/>
    </xf>
    <xf numFmtId="0" fontId="70" fillId="0" borderId="0" xfId="0" applyFont="1"/>
    <xf numFmtId="0" fontId="71" fillId="0" borderId="0" xfId="0" applyFont="1"/>
    <xf numFmtId="9" fontId="70" fillId="0" borderId="0" xfId="0" applyNumberFormat="1" applyFont="1"/>
    <xf numFmtId="0" fontId="71" fillId="0" borderId="0" xfId="0" quotePrefix="1" applyFont="1"/>
    <xf numFmtId="9" fontId="71" fillId="0" borderId="0" xfId="0" applyNumberFormat="1" applyFont="1"/>
    <xf numFmtId="0" fontId="72" fillId="12" borderId="0" xfId="0" applyFont="1" applyFill="1"/>
    <xf numFmtId="0" fontId="43" fillId="10" borderId="6" xfId="0" applyFont="1" applyFill="1" applyBorder="1" applyAlignment="1">
      <alignment horizontal="center" vertical="center"/>
    </xf>
    <xf numFmtId="0" fontId="43" fillId="10" borderId="13" xfId="0" applyFont="1" applyFill="1" applyBorder="1" applyAlignment="1">
      <alignment horizontal="center" vertical="center"/>
    </xf>
    <xf numFmtId="0" fontId="43" fillId="10" borderId="12" xfId="0" applyFont="1" applyFill="1" applyBorder="1" applyAlignment="1">
      <alignment horizontal="center" vertical="center"/>
    </xf>
    <xf numFmtId="0" fontId="0" fillId="10" borderId="17" xfId="0" applyFill="1" applyBorder="1" applyAlignment="1">
      <alignment horizontal="center"/>
    </xf>
    <xf numFmtId="0" fontId="0" fillId="5" borderId="17" xfId="0" applyFill="1" applyBorder="1"/>
    <xf numFmtId="0" fontId="0" fillId="5" borderId="17" xfId="0" applyFill="1" applyBorder="1" applyAlignment="1">
      <alignment vertical="top"/>
    </xf>
    <xf numFmtId="0" fontId="0" fillId="5" borderId="12" xfId="0" applyFill="1" applyBorder="1" applyAlignment="1">
      <alignment vertical="top"/>
    </xf>
    <xf numFmtId="0" fontId="0" fillId="5" borderId="15" xfId="0" applyFill="1" applyBorder="1" applyAlignment="1">
      <alignment vertical="top"/>
    </xf>
    <xf numFmtId="3" fontId="73" fillId="10" borderId="6" xfId="0" applyNumberFormat="1" applyFont="1" applyFill="1" applyBorder="1" applyAlignment="1">
      <alignment horizontal="center" vertical="center"/>
    </xf>
    <xf numFmtId="3" fontId="73" fillId="10" borderId="37" xfId="0" applyNumberFormat="1" applyFont="1" applyFill="1" applyBorder="1" applyAlignment="1">
      <alignment horizontal="center" vertical="center"/>
    </xf>
    <xf numFmtId="0" fontId="74" fillId="10" borderId="6" xfId="0" applyFont="1" applyFill="1" applyBorder="1" applyAlignment="1">
      <alignment horizontal="center" vertical="center"/>
    </xf>
    <xf numFmtId="3" fontId="74" fillId="10" borderId="6" xfId="0" applyNumberFormat="1" applyFont="1" applyFill="1" applyBorder="1" applyAlignment="1">
      <alignment horizontal="center" vertical="center"/>
    </xf>
    <xf numFmtId="3" fontId="74" fillId="10" borderId="12" xfId="0" applyNumberFormat="1" applyFont="1" applyFill="1" applyBorder="1" applyAlignment="1">
      <alignment horizontal="center" vertical="center"/>
    </xf>
    <xf numFmtId="0" fontId="75" fillId="10" borderId="12" xfId="0" applyFont="1" applyFill="1" applyBorder="1" applyAlignment="1">
      <alignment horizontal="center"/>
    </xf>
    <xf numFmtId="0" fontId="75" fillId="10" borderId="17" xfId="0" applyFont="1" applyFill="1" applyBorder="1" applyAlignment="1">
      <alignment horizontal="center"/>
    </xf>
    <xf numFmtId="3" fontId="75" fillId="10" borderId="17" xfId="0" applyNumberFormat="1" applyFont="1" applyFill="1" applyBorder="1" applyAlignment="1">
      <alignment horizontal="center"/>
    </xf>
    <xf numFmtId="0" fontId="75" fillId="10" borderId="8" xfId="0" applyFont="1" applyFill="1" applyBorder="1" applyAlignment="1">
      <alignment horizontal="center"/>
    </xf>
    <xf numFmtId="0" fontId="75" fillId="0" borderId="0" xfId="0" applyFont="1"/>
    <xf numFmtId="0" fontId="75" fillId="10" borderId="13" xfId="0" applyFont="1" applyFill="1" applyBorder="1" applyAlignment="1">
      <alignment horizontal="center"/>
    </xf>
    <xf numFmtId="3" fontId="63" fillId="0" borderId="8" xfId="0" applyNumberFormat="1" applyFont="1" applyBorder="1" applyAlignment="1">
      <alignment horizontal="center" vertical="center"/>
    </xf>
    <xf numFmtId="3" fontId="77" fillId="0" borderId="8" xfId="0" applyNumberFormat="1" applyFont="1" applyBorder="1" applyAlignment="1">
      <alignment horizontal="center" vertical="center"/>
    </xf>
    <xf numFmtId="0" fontId="77" fillId="0" borderId="8" xfId="0" applyFont="1" applyBorder="1" applyAlignment="1">
      <alignment horizontal="center" vertical="center"/>
    </xf>
    <xf numFmtId="0" fontId="78" fillId="0" borderId="6" xfId="0" applyFont="1" applyBorder="1" applyAlignment="1">
      <alignment horizontal="center" vertical="center"/>
    </xf>
    <xf numFmtId="3" fontId="63" fillId="0" borderId="6" xfId="0" applyNumberFormat="1" applyFont="1" applyBorder="1" applyAlignment="1">
      <alignment horizontal="center" vertical="center"/>
    </xf>
    <xf numFmtId="3" fontId="77" fillId="0" borderId="6" xfId="0" applyNumberFormat="1" applyFont="1" applyBorder="1" applyAlignment="1">
      <alignment horizontal="center" vertical="center"/>
    </xf>
    <xf numFmtId="0" fontId="77" fillId="0" borderId="6" xfId="0" applyFont="1" applyBorder="1" applyAlignment="1">
      <alignment horizontal="center" vertical="center"/>
    </xf>
    <xf numFmtId="3" fontId="79" fillId="10" borderId="6" xfId="0" applyNumberFormat="1" applyFont="1" applyFill="1" applyBorder="1" applyAlignment="1">
      <alignment horizontal="center" vertical="center"/>
    </xf>
    <xf numFmtId="3" fontId="79" fillId="10" borderId="8" xfId="0" applyNumberFormat="1" applyFont="1" applyFill="1" applyBorder="1" applyAlignment="1">
      <alignment horizontal="center" vertical="center"/>
    </xf>
    <xf numFmtId="0" fontId="75" fillId="10" borderId="17" xfId="0" applyFont="1" applyFill="1" applyBorder="1" applyAlignment="1">
      <alignment vertical="top"/>
    </xf>
    <xf numFmtId="0" fontId="80" fillId="0" borderId="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41" xfId="0" applyFont="1" applyFill="1" applyBorder="1" applyAlignment="1">
      <alignment horizontal="center"/>
    </xf>
    <xf numFmtId="0" fontId="6" fillId="0" borderId="41" xfId="0" applyFont="1" applyFill="1" applyBorder="1" applyAlignment="1">
      <alignment horizontal="center"/>
    </xf>
    <xf numFmtId="0" fontId="22" fillId="0" borderId="6" xfId="0" applyFont="1" applyFill="1" applyBorder="1" applyAlignment="1"/>
    <xf numFmtId="0" fontId="22" fillId="0" borderId="13" xfId="0" applyFont="1" applyFill="1" applyBorder="1" applyAlignment="1"/>
    <xf numFmtId="0" fontId="22" fillId="0" borderId="12" xfId="0" applyFont="1" applyFill="1" applyBorder="1" applyAlignment="1"/>
    <xf numFmtId="0" fontId="22" fillId="0" borderId="16" xfId="0" applyFont="1" applyFill="1" applyBorder="1" applyAlignment="1"/>
    <xf numFmtId="0" fontId="22" fillId="0" borderId="8" xfId="0" applyFont="1" applyFill="1" applyBorder="1" applyAlignment="1"/>
    <xf numFmtId="0" fontId="22" fillId="0" borderId="17" xfId="0" applyFont="1" applyFill="1" applyBorder="1" applyAlignment="1"/>
    <xf numFmtId="0" fontId="22" fillId="14" borderId="14" xfId="0" applyFont="1" applyFill="1" applyBorder="1" applyAlignment="1"/>
    <xf numFmtId="0" fontId="22" fillId="14" borderId="9" xfId="0" applyFont="1" applyFill="1" applyBorder="1" applyAlignment="1"/>
    <xf numFmtId="0" fontId="22" fillId="14" borderId="15" xfId="0" applyFont="1" applyFill="1" applyBorder="1" applyAlignment="1"/>
    <xf numFmtId="0" fontId="82" fillId="0" borderId="0" xfId="0" applyFont="1" applyFill="1" applyBorder="1" applyAlignment="1"/>
    <xf numFmtId="0" fontId="83" fillId="0" borderId="0" xfId="0" applyFont="1" applyFill="1" applyBorder="1" applyAlignment="1"/>
    <xf numFmtId="0" fontId="32" fillId="0" borderId="27" xfId="0" applyFont="1" applyBorder="1" applyAlignment="1">
      <alignment horizontal="center" vertical="center" wrapText="1"/>
    </xf>
    <xf numFmtId="0" fontId="32" fillId="0" borderId="26" xfId="0" applyFont="1" applyBorder="1"/>
    <xf numFmtId="0" fontId="35" fillId="0" borderId="28" xfId="0" applyFont="1" applyBorder="1"/>
    <xf numFmtId="166" fontId="35" fillId="0" borderId="28" xfId="0" applyNumberFormat="1" applyFont="1" applyBorder="1"/>
    <xf numFmtId="0" fontId="53" fillId="0" borderId="0" xfId="0" applyFont="1" applyAlignment="1">
      <alignment horizontal="center"/>
    </xf>
    <xf numFmtId="0" fontId="32" fillId="0" borderId="0" xfId="0" applyFont="1" applyAlignment="1">
      <alignment vertical="top" wrapText="1"/>
    </xf>
    <xf numFmtId="0" fontId="86" fillId="0" borderId="47" xfId="0" applyFont="1" applyBorder="1"/>
    <xf numFmtId="0" fontId="86" fillId="0" borderId="43" xfId="0" applyFont="1" applyBorder="1"/>
    <xf numFmtId="0" fontId="86" fillId="0" borderId="52" xfId="0" applyFont="1" applyBorder="1"/>
    <xf numFmtId="0" fontId="85" fillId="0" borderId="43" xfId="0" applyFont="1" applyBorder="1"/>
    <xf numFmtId="0" fontId="0" fillId="0" borderId="52" xfId="0" applyBorder="1"/>
    <xf numFmtId="0" fontId="86" fillId="0" borderId="0" xfId="0" applyFont="1"/>
    <xf numFmtId="0" fontId="90" fillId="0" borderId="0" xfId="0" applyFont="1"/>
    <xf numFmtId="0" fontId="91" fillId="5" borderId="0" xfId="0" applyFont="1" applyFill="1" applyAlignment="1">
      <alignment wrapText="1"/>
    </xf>
    <xf numFmtId="0" fontId="63" fillId="5" borderId="0" xfId="0" applyFont="1" applyFill="1" applyAlignment="1">
      <alignment wrapText="1"/>
    </xf>
    <xf numFmtId="0" fontId="92" fillId="0" borderId="56" xfId="0" applyFont="1" applyBorder="1"/>
    <xf numFmtId="0" fontId="55" fillId="0" borderId="0" xfId="1"/>
    <xf numFmtId="0" fontId="96" fillId="0" borderId="0" xfId="0" applyFont="1"/>
    <xf numFmtId="0" fontId="97" fillId="0" borderId="0" xfId="0" applyFont="1"/>
    <xf numFmtId="0" fontId="98" fillId="0" borderId="0" xfId="1" quotePrefix="1" applyFont="1"/>
    <xf numFmtId="0" fontId="99" fillId="0" borderId="0" xfId="0" quotePrefix="1" applyFont="1"/>
    <xf numFmtId="0" fontId="100" fillId="0" borderId="31" xfId="0" applyFont="1" applyBorder="1" applyAlignment="1">
      <alignment horizontal="center"/>
    </xf>
    <xf numFmtId="0" fontId="99" fillId="0" borderId="31" xfId="0" applyFont="1" applyBorder="1" applyAlignment="1">
      <alignment horizontal="center"/>
    </xf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5" fillId="0" borderId="0" xfId="0" applyFont="1"/>
    <xf numFmtId="0" fontId="100" fillId="0" borderId="0" xfId="0" applyFont="1"/>
    <xf numFmtId="0" fontId="99" fillId="0" borderId="0" xfId="0" applyFont="1"/>
    <xf numFmtId="0" fontId="0" fillId="0" borderId="0" xfId="0" applyAlignment="1">
      <alignment horizontal="center"/>
    </xf>
    <xf numFmtId="0" fontId="44" fillId="5" borderId="8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/>
    </xf>
    <xf numFmtId="0" fontId="31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75" fillId="0" borderId="0" xfId="0" applyFont="1" applyAlignment="1">
      <alignment horizontal="center"/>
    </xf>
    <xf numFmtId="0" fontId="75" fillId="10" borderId="6" xfId="0" applyFont="1" applyFill="1" applyBorder="1"/>
    <xf numFmtId="3" fontId="0" fillId="8" borderId="6" xfId="0" applyNumberFormat="1" applyFill="1" applyBorder="1" applyAlignment="1">
      <alignment wrapText="1"/>
    </xf>
    <xf numFmtId="0" fontId="0" fillId="8" borderId="6" xfId="0" applyFill="1" applyBorder="1"/>
    <xf numFmtId="0" fontId="0" fillId="0" borderId="6" xfId="0" applyBorder="1" applyAlignment="1">
      <alignment wrapText="1"/>
    </xf>
    <xf numFmtId="0" fontId="0" fillId="0" borderId="6" xfId="0" applyBorder="1" applyAlignment="1">
      <alignment vertical="center"/>
    </xf>
    <xf numFmtId="0" fontId="0" fillId="8" borderId="6" xfId="0" applyFill="1" applyBorder="1" applyAlignment="1">
      <alignment wrapText="1"/>
    </xf>
    <xf numFmtId="3" fontId="0" fillId="8" borderId="6" xfId="0" applyNumberFormat="1" applyFill="1" applyBorder="1"/>
    <xf numFmtId="3" fontId="0" fillId="0" borderId="6" xfId="0" applyNumberFormat="1" applyBorder="1"/>
    <xf numFmtId="0" fontId="0" fillId="8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8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2" fillId="8" borderId="7" xfId="0" applyFont="1" applyFill="1" applyBorder="1" applyAlignment="1">
      <alignment horizontal="center"/>
    </xf>
    <xf numFmtId="0" fontId="44" fillId="5" borderId="8" xfId="0" applyFont="1" applyFill="1" applyBorder="1" applyAlignment="1">
      <alignment horizontal="center" vertical="center"/>
    </xf>
    <xf numFmtId="0" fontId="44" fillId="5" borderId="19" xfId="0" applyFont="1" applyFill="1" applyBorder="1" applyAlignment="1">
      <alignment horizontal="center" vertical="center"/>
    </xf>
    <xf numFmtId="0" fontId="44" fillId="5" borderId="9" xfId="0" applyFont="1" applyFill="1" applyBorder="1" applyAlignment="1">
      <alignment horizontal="center" vertical="center"/>
    </xf>
    <xf numFmtId="0" fontId="74" fillId="10" borderId="8" xfId="0" applyFont="1" applyFill="1" applyBorder="1" applyAlignment="1">
      <alignment horizontal="center" vertical="center"/>
    </xf>
    <xf numFmtId="0" fontId="74" fillId="10" borderId="19" xfId="0" applyFont="1" applyFill="1" applyBorder="1" applyAlignment="1">
      <alignment horizontal="center" vertical="center"/>
    </xf>
    <xf numFmtId="0" fontId="74" fillId="10" borderId="9" xfId="0" applyFont="1" applyFill="1" applyBorder="1" applyAlignment="1">
      <alignment horizontal="center" vertical="center"/>
    </xf>
    <xf numFmtId="0" fontId="46" fillId="9" borderId="0" xfId="0" applyFont="1" applyFill="1" applyAlignment="1"/>
    <xf numFmtId="0" fontId="76" fillId="0" borderId="7" xfId="0" applyFont="1" applyBorder="1" applyAlignment="1">
      <alignment horizontal="center" vertical="center"/>
    </xf>
    <xf numFmtId="0" fontId="42" fillId="8" borderId="7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37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49" fillId="4" borderId="7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47" fillId="8" borderId="8" xfId="0" applyFont="1" applyFill="1" applyBorder="1" applyAlignment="1">
      <alignment horizontal="center"/>
    </xf>
    <xf numFmtId="0" fontId="48" fillId="8" borderId="8" xfId="0" applyFont="1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37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0" fillId="0" borderId="15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75" fillId="10" borderId="15" xfId="0" applyFont="1" applyFill="1" applyBorder="1" applyAlignment="1">
      <alignment horizontal="center" vertical="top" wrapText="1"/>
    </xf>
    <xf numFmtId="0" fontId="75" fillId="10" borderId="7" xfId="0" applyFont="1" applyFill="1" applyBorder="1" applyAlignment="1">
      <alignment horizontal="center" vertical="top" wrapText="1"/>
    </xf>
    <xf numFmtId="0" fontId="75" fillId="10" borderId="14" xfId="0" applyFont="1" applyFill="1" applyBorder="1" applyAlignment="1">
      <alignment horizontal="center" vertical="top" wrapText="1"/>
    </xf>
    <xf numFmtId="0" fontId="39" fillId="0" borderId="36" xfId="0" applyFont="1" applyBorder="1" applyAlignment="1">
      <alignment horizontal="center"/>
    </xf>
    <xf numFmtId="0" fontId="39" fillId="0" borderId="24" xfId="0" applyFont="1" applyBorder="1" applyAlignment="1">
      <alignment horizontal="center" vertical="center"/>
    </xf>
    <xf numFmtId="0" fontId="39" fillId="0" borderId="25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/>
    </xf>
    <xf numFmtId="0" fontId="33" fillId="0" borderId="29" xfId="0" applyFont="1" applyBorder="1" applyAlignment="1">
      <alignment horizontal="center"/>
    </xf>
    <xf numFmtId="0" fontId="33" fillId="0" borderId="25" xfId="0" applyFont="1" applyBorder="1" applyAlignment="1">
      <alignment horizontal="center"/>
    </xf>
    <xf numFmtId="0" fontId="33" fillId="0" borderId="24" xfId="0" applyFont="1" applyBorder="1" applyAlignment="1">
      <alignment horizontal="center"/>
    </xf>
    <xf numFmtId="0" fontId="33" fillId="0" borderId="35" xfId="0" applyFont="1" applyBorder="1" applyAlignment="1">
      <alignment horizontal="center"/>
    </xf>
    <xf numFmtId="0" fontId="34" fillId="0" borderId="27" xfId="0" applyFont="1" applyBorder="1" applyAlignment="1">
      <alignment horizontal="center"/>
    </xf>
    <xf numFmtId="0" fontId="34" fillId="0" borderId="29" xfId="0" applyFont="1" applyBorder="1" applyAlignment="1">
      <alignment horizontal="center"/>
    </xf>
    <xf numFmtId="0" fontId="34" fillId="0" borderId="38" xfId="0" applyFont="1" applyBorder="1" applyAlignment="1">
      <alignment horizontal="center"/>
    </xf>
    <xf numFmtId="0" fontId="80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80" fillId="0" borderId="5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40" fillId="0" borderId="0" xfId="0" applyFont="1" applyFill="1" applyBorder="1" applyAlignment="1">
      <alignment horizontal="center"/>
    </xf>
    <xf numFmtId="0" fontId="9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8" fillId="0" borderId="0" xfId="0" applyFont="1" applyFill="1" applyBorder="1" applyAlignment="1">
      <alignment horizontal="center" wrapText="1"/>
    </xf>
    <xf numFmtId="0" fontId="8" fillId="0" borderId="0" xfId="0" applyFont="1" applyFill="1" applyBorder="1" applyAlignment="1">
      <alignment horizontal="center" wrapText="1"/>
    </xf>
    <xf numFmtId="0" fontId="17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21" fillId="0" borderId="8" xfId="0" applyFont="1" applyFill="1" applyBorder="1" applyAlignment="1">
      <alignment horizontal="center"/>
    </xf>
    <xf numFmtId="0" fontId="21" fillId="0" borderId="19" xfId="0" applyFont="1" applyFill="1" applyBorder="1" applyAlignment="1">
      <alignment horizontal="center"/>
    </xf>
    <xf numFmtId="0" fontId="21" fillId="0" borderId="9" xfId="0" applyFont="1" applyFill="1" applyBorder="1" applyAlignment="1">
      <alignment horizontal="center"/>
    </xf>
    <xf numFmtId="0" fontId="81" fillId="13" borderId="7" xfId="0" applyFont="1" applyFill="1" applyBorder="1" applyAlignment="1">
      <alignment horizontal="center" wrapText="1"/>
    </xf>
    <xf numFmtId="0" fontId="24" fillId="13" borderId="7" xfId="0" applyFont="1" applyFill="1" applyBorder="1" applyAlignment="1">
      <alignment horizontal="center" wrapText="1"/>
    </xf>
    <xf numFmtId="0" fontId="25" fillId="6" borderId="0" xfId="0" applyFont="1" applyFill="1" applyAlignment="1">
      <alignment horizontal="center"/>
    </xf>
    <xf numFmtId="0" fontId="26" fillId="7" borderId="0" xfId="0" applyFont="1" applyFill="1" applyAlignment="1"/>
    <xf numFmtId="0" fontId="27" fillId="0" borderId="20" xfId="0" applyFont="1" applyBorder="1" applyAlignment="1"/>
    <xf numFmtId="0" fontId="27" fillId="0" borderId="21" xfId="0" applyFont="1" applyBorder="1" applyAlignment="1"/>
    <xf numFmtId="0" fontId="28" fillId="6" borderId="22" xfId="0" applyFont="1" applyFill="1" applyBorder="1" applyAlignment="1">
      <alignment horizontal="center"/>
    </xf>
    <xf numFmtId="0" fontId="28" fillId="6" borderId="23" xfId="0" applyFont="1" applyFill="1" applyBorder="1" applyAlignment="1">
      <alignment horizontal="center"/>
    </xf>
    <xf numFmtId="0" fontId="29" fillId="0" borderId="0" xfId="0" applyFont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59" fillId="0" borderId="8" xfId="0" applyFont="1" applyBorder="1" applyAlignment="1">
      <alignment horizontal="center"/>
    </xf>
    <xf numFmtId="0" fontId="59" fillId="0" borderId="9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60" fillId="0" borderId="0" xfId="0" applyFont="1" applyAlignment="1">
      <alignment horizontal="center"/>
    </xf>
    <xf numFmtId="0" fontId="60" fillId="0" borderId="7" xfId="0" applyFont="1" applyBorder="1" applyAlignment="1">
      <alignment horizontal="center"/>
    </xf>
    <xf numFmtId="0" fontId="55" fillId="0" borderId="8" xfId="1" applyBorder="1" applyAlignment="1">
      <alignment horizontal="center" textRotation="180"/>
    </xf>
    <xf numFmtId="0" fontId="55" fillId="0" borderId="19" xfId="1" applyBorder="1" applyAlignment="1">
      <alignment horizontal="center" textRotation="180"/>
    </xf>
    <xf numFmtId="0" fontId="55" fillId="0" borderId="9" xfId="1" applyBorder="1" applyAlignment="1">
      <alignment horizontal="center" textRotation="180"/>
    </xf>
    <xf numFmtId="0" fontId="0" fillId="0" borderId="46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49" xfId="0" applyBorder="1" applyAlignment="1">
      <alignment horizontal="center"/>
    </xf>
    <xf numFmtId="0" fontId="89" fillId="0" borderId="0" xfId="0" applyFont="1" applyAlignment="1">
      <alignment horizontal="center"/>
    </xf>
    <xf numFmtId="0" fontId="88" fillId="0" borderId="0" xfId="0" applyFont="1" applyAlignment="1">
      <alignment horizontal="center"/>
    </xf>
    <xf numFmtId="0" fontId="86" fillId="0" borderId="47" xfId="0" applyFont="1" applyBorder="1" applyAlignment="1">
      <alignment horizontal="left"/>
    </xf>
    <xf numFmtId="0" fontId="86" fillId="0" borderId="51" xfId="0" applyFont="1" applyBorder="1" applyAlignment="1">
      <alignment horizontal="left"/>
    </xf>
    <xf numFmtId="0" fontId="86" fillId="0" borderId="0" xfId="0" applyFont="1" applyAlignment="1">
      <alignment horizontal="left"/>
    </xf>
    <xf numFmtId="0" fontId="0" fillId="0" borderId="47" xfId="0" applyBorder="1" applyAlignment="1">
      <alignment horizontal="center"/>
    </xf>
    <xf numFmtId="0" fontId="0" fillId="0" borderId="51" xfId="0" applyBorder="1" applyAlignment="1">
      <alignment horizontal="center"/>
    </xf>
    <xf numFmtId="0" fontId="85" fillId="0" borderId="42" xfId="0" applyFont="1" applyBorder="1" applyAlignment="1">
      <alignment horizontal="center"/>
    </xf>
    <xf numFmtId="0" fontId="85" fillId="0" borderId="44" xfId="0" applyFont="1" applyBorder="1" applyAlignment="1">
      <alignment horizontal="center"/>
    </xf>
    <xf numFmtId="0" fontId="85" fillId="0" borderId="53" xfId="0" applyFont="1" applyBorder="1" applyAlignment="1">
      <alignment horizontal="center"/>
    </xf>
    <xf numFmtId="0" fontId="85" fillId="0" borderId="54" xfId="0" applyFont="1" applyBorder="1" applyAlignment="1">
      <alignment horizontal="center"/>
    </xf>
    <xf numFmtId="0" fontId="85" fillId="0" borderId="55" xfId="0" applyFont="1" applyBorder="1" applyAlignment="1">
      <alignment horizontal="center"/>
    </xf>
    <xf numFmtId="0" fontId="86" fillId="0" borderId="42" xfId="0" applyFont="1" applyBorder="1" applyAlignment="1">
      <alignment horizontal="left"/>
    </xf>
    <xf numFmtId="0" fontId="86" fillId="0" borderId="45" xfId="0" applyFont="1" applyBorder="1" applyAlignment="1">
      <alignment horizontal="left"/>
    </xf>
    <xf numFmtId="0" fontId="86" fillId="0" borderId="44" xfId="0" applyFont="1" applyBorder="1" applyAlignment="1">
      <alignment horizontal="left"/>
    </xf>
    <xf numFmtId="0" fontId="86" fillId="0" borderId="0" xfId="0" applyFont="1" applyAlignment="1">
      <alignment horizontal="left" wrapText="1"/>
    </xf>
    <xf numFmtId="0" fontId="86" fillId="0" borderId="51" xfId="0" applyFont="1" applyBorder="1" applyAlignment="1">
      <alignment horizontal="left" wrapText="1"/>
    </xf>
    <xf numFmtId="0" fontId="86" fillId="0" borderId="47" xfId="0" applyFont="1" applyBorder="1" applyAlignment="1">
      <alignment horizontal="center" wrapText="1"/>
    </xf>
    <xf numFmtId="0" fontId="86" fillId="0" borderId="0" xfId="0" applyFont="1" applyAlignment="1">
      <alignment horizontal="center" wrapText="1"/>
    </xf>
    <xf numFmtId="0" fontId="86" fillId="0" borderId="51" xfId="0" applyFont="1" applyBorder="1" applyAlignment="1">
      <alignment horizontal="center" wrapText="1"/>
    </xf>
    <xf numFmtId="0" fontId="0" fillId="0" borderId="51" xfId="0" applyBorder="1" applyAlignment="1">
      <alignment horizontal="center" wrapText="1"/>
    </xf>
    <xf numFmtId="0" fontId="86" fillId="0" borderId="47" xfId="0" applyFont="1" applyBorder="1" applyAlignment="1">
      <alignment horizontal="center"/>
    </xf>
    <xf numFmtId="0" fontId="86" fillId="0" borderId="51" xfId="0" applyFont="1" applyBorder="1" applyAlignment="1">
      <alignment horizontal="center"/>
    </xf>
    <xf numFmtId="0" fontId="87" fillId="0" borderId="51" xfId="0" applyFont="1" applyBorder="1" applyAlignment="1">
      <alignment horizontal="left" wrapText="1"/>
    </xf>
    <xf numFmtId="0" fontId="87" fillId="0" borderId="47" xfId="0" applyFont="1" applyBorder="1" applyAlignment="1">
      <alignment horizontal="center"/>
    </xf>
    <xf numFmtId="0" fontId="85" fillId="0" borderId="42" xfId="0" applyFont="1" applyBorder="1" applyAlignment="1">
      <alignment horizontal="center" vertical="center"/>
    </xf>
    <xf numFmtId="0" fontId="85" fillId="0" borderId="46" xfId="0" applyFont="1" applyBorder="1" applyAlignment="1">
      <alignment horizontal="center" vertical="center"/>
    </xf>
    <xf numFmtId="0" fontId="85" fillId="0" borderId="47" xfId="0" applyFont="1" applyBorder="1" applyAlignment="1">
      <alignment horizontal="center" vertical="center"/>
    </xf>
    <xf numFmtId="0" fontId="85" fillId="0" borderId="43" xfId="0" applyFont="1" applyBorder="1" applyAlignment="1">
      <alignment horizontal="center" vertical="center"/>
    </xf>
    <xf numFmtId="0" fontId="85" fillId="0" borderId="48" xfId="0" applyFont="1" applyBorder="1" applyAlignment="1">
      <alignment horizontal="center" vertical="center"/>
    </xf>
    <xf numFmtId="0" fontId="85" fillId="0" borderId="44" xfId="0" applyFont="1" applyBorder="1" applyAlignment="1">
      <alignment horizontal="center" vertical="center" wrapText="1"/>
    </xf>
    <xf numFmtId="0" fontId="85" fillId="0" borderId="45" xfId="0" applyFont="1" applyBorder="1" applyAlignment="1">
      <alignment horizontal="center" vertical="center" wrapText="1"/>
    </xf>
    <xf numFmtId="0" fontId="85" fillId="0" borderId="49" xfId="0" applyFont="1" applyBorder="1" applyAlignment="1">
      <alignment horizontal="center" vertical="center" wrapText="1"/>
    </xf>
    <xf numFmtId="0" fontId="85" fillId="0" borderId="50" xfId="0" applyFont="1" applyBorder="1" applyAlignment="1">
      <alignment horizontal="center" vertical="center" wrapText="1"/>
    </xf>
    <xf numFmtId="0" fontId="61" fillId="0" borderId="0" xfId="0" applyFont="1" applyFill="1" applyBorder="1" applyAlignment="1"/>
    <xf numFmtId="0" fontId="30" fillId="0" borderId="0" xfId="0" applyFont="1" applyFill="1" applyBorder="1" applyAlignment="1"/>
    <xf numFmtId="0" fontId="61" fillId="0" borderId="0" xfId="0" applyFont="1" applyFill="1" applyBorder="1" applyAlignment="1">
      <alignment wrapText="1"/>
    </xf>
    <xf numFmtId="0" fontId="30" fillId="0" borderId="0" xfId="0" applyFont="1" applyFill="1" applyBorder="1" applyAlignment="1">
      <alignment wrapText="1"/>
    </xf>
    <xf numFmtId="0" fontId="31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4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8EA9DB"/>
        </right>
        <top style="thin">
          <color rgb="FF8EA9DB"/>
        </top>
        <bottom style="thin">
          <color rgb="FF8EA9DB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wrapText="1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indexed="64"/>
          <bgColor theme="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2" tint="-9.9978637043366805E-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2" tint="-9.9978637043366805E-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2" tint="-9.9978637043366805E-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2" tint="-9.9978637043366805E-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charset val="134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2" tint="-9.9978637043366805E-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2" tint="-9.9978637043366805E-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2" tint="-9.9978637043366805E-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2" tint="-9.9978637043366805E-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charset val="134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34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colors>
    <mruColors>
      <color rgb="FF1B6B4B"/>
      <color rgb="FF369971"/>
      <color rgb="FF277A59"/>
      <color rgb="FF526E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42</xdr:row>
      <xdr:rowOff>152400</xdr:rowOff>
    </xdr:from>
    <xdr:to>
      <xdr:col>6</xdr:col>
      <xdr:colOff>1514475</xdr:colOff>
      <xdr:row>69</xdr:row>
      <xdr:rowOff>47625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14BD067-A69A-EE79-1CFF-0726B528B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12477750"/>
          <a:ext cx="12696825" cy="6524625"/>
        </a:xfrm>
        <a:prstGeom prst="rect">
          <a:avLst/>
        </a:prstGeom>
      </xdr:spPr>
    </xdr:pic>
    <xdr:clientData/>
  </xdr:twoCellAnchor>
  <xdr:twoCellAnchor editAs="oneCell">
    <xdr:from>
      <xdr:col>7</xdr:col>
      <xdr:colOff>1609725</xdr:colOff>
      <xdr:row>41</xdr:row>
      <xdr:rowOff>228600</xdr:rowOff>
    </xdr:from>
    <xdr:to>
      <xdr:col>13</xdr:col>
      <xdr:colOff>1133475</xdr:colOff>
      <xdr:row>70</xdr:row>
      <xdr:rowOff>104775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C86D735-B357-11CE-C8BE-1B6E08ACF875}"/>
            </a:ext>
            <a:ext uri="{147F2762-F138-4A5C-976F-8EAC2B608ADB}">
              <a16:predDERef xmlns:a16="http://schemas.microsoft.com/office/drawing/2014/main" pred="{A14BD067-A69A-EE79-1CFF-0726B528B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30500" y="12287250"/>
          <a:ext cx="13144500" cy="7000875"/>
        </a:xfrm>
        <a:prstGeom prst="rect">
          <a:avLst/>
        </a:prstGeom>
      </xdr:spPr>
    </xdr:pic>
    <xdr:clientData/>
  </xdr:twoCellAnchor>
  <xdr:twoCellAnchor editAs="oneCell">
    <xdr:from>
      <xdr:col>0</xdr:col>
      <xdr:colOff>1209675</xdr:colOff>
      <xdr:row>82</xdr:row>
      <xdr:rowOff>104775</xdr:rowOff>
    </xdr:from>
    <xdr:to>
      <xdr:col>7</xdr:col>
      <xdr:colOff>638175</xdr:colOff>
      <xdr:row>119</xdr:row>
      <xdr:rowOff>95250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62C9B2A4-53E0-FC31-2DF2-435377D0EE05}"/>
            </a:ext>
            <a:ext uri="{147F2762-F138-4A5C-976F-8EAC2B608ADB}">
              <a16:predDERef xmlns:a16="http://schemas.microsoft.com/office/drawing/2014/main" pred="{9C86D735-B357-11CE-C8BE-1B6E08ACF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9675" y="21040725"/>
          <a:ext cx="13249275" cy="7038975"/>
        </a:xfrm>
        <a:prstGeom prst="rect">
          <a:avLst/>
        </a:prstGeom>
      </xdr:spPr>
    </xdr:pic>
    <xdr:clientData/>
  </xdr:twoCellAnchor>
  <xdr:twoCellAnchor editAs="oneCell">
    <xdr:from>
      <xdr:col>8</xdr:col>
      <xdr:colOff>390525</xdr:colOff>
      <xdr:row>82</xdr:row>
      <xdr:rowOff>95250</xdr:rowOff>
    </xdr:from>
    <xdr:to>
      <xdr:col>13</xdr:col>
      <xdr:colOff>2038350</xdr:colOff>
      <xdr:row>119</xdr:row>
      <xdr:rowOff>76200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1F311EEB-67EC-B65A-9F0C-292C6AEEBDC8}"/>
            </a:ext>
            <a:ext uri="{147F2762-F138-4A5C-976F-8EAC2B608ADB}">
              <a16:predDERef xmlns:a16="http://schemas.microsoft.com/office/drawing/2014/main" pred="{62C9B2A4-53E0-FC31-2DF2-435377D0E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182975" y="21031200"/>
          <a:ext cx="13296900" cy="7029450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36</xdr:row>
      <xdr:rowOff>133350</xdr:rowOff>
    </xdr:from>
    <xdr:to>
      <xdr:col>6</xdr:col>
      <xdr:colOff>1009650</xdr:colOff>
      <xdr:row>39</xdr:row>
      <xdr:rowOff>276225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A3CDB69A-515C-2551-FF30-3416BC8F4C99}"/>
            </a:ext>
            <a:ext uri="{147F2762-F138-4A5C-976F-8EAC2B608ADB}">
              <a16:predDERef xmlns:a16="http://schemas.microsoft.com/office/drawing/2014/main" pred="{1F311EEB-67EC-B65A-9F0C-292C6AEEB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2900" y="10858500"/>
          <a:ext cx="12125325" cy="1057275"/>
        </a:xfrm>
        <a:prstGeom prst="rect">
          <a:avLst/>
        </a:prstGeom>
      </xdr:spPr>
    </xdr:pic>
    <xdr:clientData/>
  </xdr:twoCellAnchor>
  <xdr:twoCellAnchor editAs="oneCell">
    <xdr:from>
      <xdr:col>7</xdr:col>
      <xdr:colOff>1466850</xdr:colOff>
      <xdr:row>36</xdr:row>
      <xdr:rowOff>104775</xdr:rowOff>
    </xdr:from>
    <xdr:to>
      <xdr:col>13</xdr:col>
      <xdr:colOff>752475</xdr:colOff>
      <xdr:row>39</xdr:row>
      <xdr:rowOff>171450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2008BFA4-BFA5-E616-E371-139E492AF065}"/>
            </a:ext>
            <a:ext uri="{147F2762-F138-4A5C-976F-8EAC2B608ADB}">
              <a16:predDERef xmlns:a16="http://schemas.microsoft.com/office/drawing/2014/main" pred="{A3CDB69A-515C-2551-FF30-3416BC8F4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87625" y="10829925"/>
          <a:ext cx="12906375" cy="981075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76</xdr:row>
      <xdr:rowOff>152400</xdr:rowOff>
    </xdr:from>
    <xdr:to>
      <xdr:col>6</xdr:col>
      <xdr:colOff>1628775</xdr:colOff>
      <xdr:row>82</xdr:row>
      <xdr:rowOff>152400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71E396EB-804E-1CF6-FA57-64AB3F6FA2FA}"/>
            </a:ext>
            <a:ext uri="{147F2762-F138-4A5C-976F-8EAC2B608ADB}">
              <a16:predDERef xmlns:a16="http://schemas.microsoft.com/office/drawing/2014/main" pred="{2008BFA4-BFA5-E616-E371-139E492AF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3350" y="19945350"/>
          <a:ext cx="12954000" cy="1143000"/>
        </a:xfrm>
        <a:prstGeom prst="rect">
          <a:avLst/>
        </a:prstGeom>
      </xdr:spPr>
    </xdr:pic>
    <xdr:clientData/>
  </xdr:twoCellAnchor>
  <xdr:twoCellAnchor editAs="oneCell">
    <xdr:from>
      <xdr:col>7</xdr:col>
      <xdr:colOff>1628775</xdr:colOff>
      <xdr:row>76</xdr:row>
      <xdr:rowOff>171450</xdr:rowOff>
    </xdr:from>
    <xdr:to>
      <xdr:col>13</xdr:col>
      <xdr:colOff>95250</xdr:colOff>
      <xdr:row>82</xdr:row>
      <xdr:rowOff>95250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3504C160-19E7-30D5-8834-D2D705FEFE99}"/>
            </a:ext>
            <a:ext uri="{147F2762-F138-4A5C-976F-8EAC2B608ADB}">
              <a16:predDERef xmlns:a16="http://schemas.microsoft.com/office/drawing/2014/main" pred="{71E396EB-804E-1CF6-FA57-64AB3F6FA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449550" y="19964400"/>
          <a:ext cx="12087225" cy="1066800"/>
        </a:xfrm>
        <a:prstGeom prst="rect">
          <a:avLst/>
        </a:prstGeom>
      </xdr:spPr>
    </xdr:pic>
    <xdr:clientData/>
  </xdr:twoCellAnchor>
  <xdr:twoCellAnchor editAs="oneCell">
    <xdr:from>
      <xdr:col>1</xdr:col>
      <xdr:colOff>1857375</xdr:colOff>
      <xdr:row>30</xdr:row>
      <xdr:rowOff>180975</xdr:rowOff>
    </xdr:from>
    <xdr:to>
      <xdr:col>11</xdr:col>
      <xdr:colOff>1581150</xdr:colOff>
      <xdr:row>35</xdr:row>
      <xdr:rowOff>57150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E6F251FC-0630-2A57-13A5-C73F1B38A562}"/>
            </a:ext>
            <a:ext uri="{147F2762-F138-4A5C-976F-8EAC2B608ADB}">
              <a16:predDERef xmlns:a16="http://schemas.microsoft.com/office/drawing/2014/main" pred="{3504C160-19E7-30D5-8834-D2D705FEF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171950" y="9305925"/>
          <a:ext cx="18716625" cy="1400175"/>
        </a:xfrm>
        <a:prstGeom prst="rect">
          <a:avLst/>
        </a:prstGeom>
      </xdr:spPr>
    </xdr:pic>
    <xdr:clientData/>
  </xdr:twoCellAnchor>
  <xdr:twoCellAnchor editAs="oneCell">
    <xdr:from>
      <xdr:col>13</xdr:col>
      <xdr:colOff>2914650</xdr:colOff>
      <xdr:row>62</xdr:row>
      <xdr:rowOff>57150</xdr:rowOff>
    </xdr:from>
    <xdr:to>
      <xdr:col>17</xdr:col>
      <xdr:colOff>1123950</xdr:colOff>
      <xdr:row>108</xdr:row>
      <xdr:rowOff>95250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80DA210C-200E-DEF4-8858-099F0A17F76D}"/>
            </a:ext>
            <a:ext uri="{147F2762-F138-4A5C-976F-8EAC2B608ADB}">
              <a16:predDERef xmlns:a16="http://schemas.microsoft.com/office/drawing/2014/main" pred="{E6F251FC-0630-2A57-13A5-C73F1B38A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356175" y="17183100"/>
          <a:ext cx="13182600" cy="88011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uest User" id="{02E52B62-B1FB-48C7-92A0-239BF5515333}" userId="" providerId="Windows Live"/>
  <person displayName="Utilisateur invité" id="{4D9BE69F-A665-4781-85A1-D80CE12975BE}" userId="" providerId="Windows Live"/>
  <person displayName="Bénéwendé Arcus Marie ZOUNGRANA" id="{8B06D484-4323-44DE-8D2D-5F7F6535D9C7}" userId="647fc5cb643b48aa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73D65F-1692-4B6F-ACBD-B970F0C9618C}" name="Tableau1" displayName="Tableau1" ref="B15:F28" totalsRowShown="0" headerRowDxfId="430" dataDxfId="429" headerRowBorderDxfId="427" tableBorderDxfId="428" totalsRowBorderDxfId="426">
  <autoFilter ref="B15:F28" xr:uid="{F673D65F-1692-4B6F-ACBD-B970F0C9618C}"/>
  <tableColumns count="5">
    <tableColumn id="1" xr3:uid="{8BE80457-E83F-48BD-9CCA-34F89394B9F3}" name="Parameter" dataDxfId="425"/>
    <tableColumn id="2" xr3:uid="{1C3528C0-5FF9-45DC-BE8A-C51F967902CD}" name="Value" dataDxfId="424"/>
    <tableColumn id="3" xr3:uid="{F8A23DD8-6CC6-48B4-91D8-32BCDCBCB300}" name="Unit / Note" dataDxfId="423"/>
    <tableColumn id="4" xr3:uid="{4FFF6FA0-9254-4565-ADB5-4FEA8A1F385B}" name="Value (€)" dataDxfId="422"/>
    <tableColumn id="5" xr3:uid="{188E651A-9D49-4753-99B7-CBE8099DB3D4}" name="Source" dataDxfId="4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65A703-DECB-4789-B081-5947B32F6A21}" name="Tableau2" displayName="Tableau2" ref="B48:O58" totalsRowShown="0" headerRowDxfId="420" dataDxfId="419" headerRowBorderDxfId="417" tableBorderDxfId="418" totalsRowBorderDxfId="416">
  <autoFilter ref="B48:O58" xr:uid="{3D65A703-DECB-4789-B081-5947B32F6A21}"/>
  <tableColumns count="14">
    <tableColumn id="1" xr3:uid="{0EBA9C85-FA04-4D91-9C82-5330A4298C53}" name="Scenario_ha" dataDxfId="415"/>
    <tableColumn id="2" xr3:uid="{3FA0CF62-7712-4C22-BBDE-528E9C6931EA}" name="Year" dataDxfId="414"/>
    <tableColumn id="3" xr3:uid="{79189D57-48CD-4781-8FA2-B6B27B693315}" name="Usable_fresh_kg" dataDxfId="413"/>
    <tableColumn id="4" xr3:uid="{53B109E4-4C70-4FD5-94B6-087D28C95AA3}" name="Dried_kg" dataDxfId="412">
      <calculatedColumnFormula>Tableau2[[#This Row],[Usable_fresh_kg]]*0.1</calculatedColumnFormula>
    </tableColumn>
    <tableColumn id="5" xr3:uid="{2BB57AE7-0AE2-45F7-9BF3-BD079614DFE4}" name="Export_price_FCFA" dataDxfId="411"/>
    <tableColumn id="6" xr3:uid="{606C25C1-2248-4EF1-ACFE-083EB9AF9606}" name="Unit_cost_FCFA_per_kg" dataDxfId="410"/>
    <tableColumn id="7" xr3:uid="{F1C27FE0-6137-49E0-89A3-61F7BDD81E51}" name="Cost_yearly_dried_mango_FCFA" dataDxfId="409">
      <calculatedColumnFormula>Tableau2[[#This Row],[Unit_cost_FCFA_per_kg]]*Tableau2[[#This Row],[Dried_kg]]</calculatedColumnFormula>
    </tableColumn>
    <tableColumn id="9" xr3:uid="{3DE6D678-B326-4B9C-96B7-A6EA7D661F19}" name="Cycles" dataDxfId="408"/>
    <tableColumn id="10" xr3:uid="{DC7152A5-7CA0-48E6-B2D3-310F350C2432}" name="Energy_cost_FCFA" dataDxfId="407"/>
    <tableColumn id="12" xr3:uid="{8A572A5F-BC12-41AB-B410-586772F35AC4}" name="Maintenance_FCFA" dataDxfId="406"/>
    <tableColumn id="13" xr3:uid="{5E4F7F2D-BA49-4A53-A136-C03D5C8DE695}" name="Total_costs_all_FCFA" dataDxfId="405">
      <calculatedColumnFormula>Tableau2[[#This Row],[Cost_yearly_dried_mango_FCFA]]+Tableau2[[#This Row],[Export_price_FCFA]]</calculatedColumnFormula>
    </tableColumn>
    <tableColumn id="15" xr3:uid="{EA140401-8CF2-429F-A4CE-D6AF263F23E8}" name="Net_profit_FCFA" dataDxfId="404">
      <calculatedColumnFormula>Tableau2[[#This Row],[Cost_yearly_dried_mango_FCFA]]-Tableau2[[#This Row],[Energy_cost_FCFA]]-Tableau2[[#This Row],[Maintenance_FCFA]]</calculatedColumnFormula>
    </tableColumn>
    <tableColumn id="21" xr3:uid="{58F900B6-4943-4535-945C-383082244D1A}" name="Inventory_turnover_per_year" dataDxfId="403"/>
    <tableColumn id="24" xr3:uid="{8CE1B667-2A9D-4FC8-887F-7D0AFFEE722C}" name="Dryers_used" dataDxfId="40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D33622-EA63-443C-8A36-964387D5E7CA}" name="Tableau3" displayName="Tableau3" ref="B67:O77" totalsRowShown="0" headerRowDxfId="401" dataDxfId="400" headerRowBorderDxfId="398" tableBorderDxfId="399" totalsRowBorderDxfId="397">
  <autoFilter ref="B67:O77" xr:uid="{8FD33622-EA63-443C-8A36-964387D5E7CA}"/>
  <tableColumns count="14">
    <tableColumn id="1" xr3:uid="{5E416C69-58B9-4111-A758-23552D29C30A}" name="Scenario_ha" dataDxfId="396"/>
    <tableColumn id="2" xr3:uid="{73C7D5B1-5A5F-4625-A6A3-E4DAC6928B14}" name="Year" dataDxfId="395"/>
    <tableColumn id="3" xr3:uid="{5A105542-8C33-47CB-AA1C-4DF07E1D355E}" name="Usable_fresh_kg" dataDxfId="394">
      <calculatedColumnFormula>Tableau3[[#This Row],[Scenario_ha]]*D49</calculatedColumnFormula>
    </tableColumn>
    <tableColumn id="4" xr3:uid="{0A219E04-1F20-4157-A237-24D45F03060D}" name="Dried_kg" dataDxfId="393">
      <calculatedColumnFormula>Tableau3[[#This Row],[Usable_fresh_kg]]*0.1</calculatedColumnFormula>
    </tableColumn>
    <tableColumn id="5" xr3:uid="{5A980357-3FB7-409E-96EE-D4845378CAC5}" name="Export_price_FCFA" dataDxfId="392"/>
    <tableColumn id="6" xr3:uid="{7CCE1F0C-89F0-440A-92FC-9FFBD013A911}" name="Unit_cost_FCFA_per_kg" dataDxfId="391"/>
    <tableColumn id="7" xr3:uid="{17AF4A63-ADFD-4AB7-8D6E-2B4671F12453}" name="Cost_yearly_dried_mango_FCFA" dataDxfId="390">
      <calculatedColumnFormula>Tableau3[[#This Row],[Dried_kg]]*Tableau3[[#This Row],[Unit_cost_FCFA_per_kg]]</calculatedColumnFormula>
    </tableColumn>
    <tableColumn id="9" xr3:uid="{412F76C2-ADFC-4189-BA27-B8B779941DCC}" name="Cycles" dataDxfId="389"/>
    <tableColumn id="10" xr3:uid="{519E13B0-BCEF-4AFA-BFB1-CA6BED74AA82}" name="Energy_cost_FCFA" dataDxfId="388"/>
    <tableColumn id="11" xr3:uid="{0E699533-FCF1-4C40-9479-440FE1FF922C}" name="Maintenance" dataDxfId="387"/>
    <tableColumn id="13" xr3:uid="{404195DC-81E3-48F3-9E0D-BD966EC89010}" name="Total_costs_all_FCFA" dataDxfId="386">
      <calculatedColumnFormula>Tableau3[[#This Row],[Cost_yearly_dried_mango_FCFA]]+Tableau3[[#This Row],[Export_price_FCFA]]</calculatedColumnFormula>
    </tableColumn>
    <tableColumn id="15" xr3:uid="{47C0BA32-FED0-4180-8D26-87B2DDA691F2}" name="Net_profit_FCFA" dataDxfId="385">
      <calculatedColumnFormula>Tableau3[[#This Row],[Cost_yearly_dried_mango_FCFA]]-Tableau3[[#This Row],[Energy_cost_FCFA]]-Tableau3[[#This Row],[Maintenance]]</calculatedColumnFormula>
    </tableColumn>
    <tableColumn id="21" xr3:uid="{AB72B77D-6E39-48E0-B88D-2AE80F056AB5}" name="Inventory_turnover_per_year" dataDxfId="384"/>
    <tableColumn id="24" xr3:uid="{D7863CC6-ACB2-4544-8C5D-D476D6572617}" name="Dryers_used" dataDxfId="38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D9476B-3C14-41AB-B8E0-E481DCF2A49D}" name="Tableau4" displayName="Tableau4" ref="B107:O117" totalsRowShown="0" headerRowDxfId="382" dataDxfId="381" tableBorderDxfId="380">
  <autoFilter ref="B107:O117" xr:uid="{D7D9476B-3C14-41AB-B8E0-E481DCF2A49D}"/>
  <tableColumns count="14">
    <tableColumn id="1" xr3:uid="{06195EC8-9B3C-4D8A-8B14-5735ED12B49B}" name="Scenario_ha" dataDxfId="379"/>
    <tableColumn id="2" xr3:uid="{BA6608BC-DBB5-455A-83E1-2E76C7FD4904}" name="Year" dataDxfId="378"/>
    <tableColumn id="3" xr3:uid="{AA399D81-B5FD-4FA1-8C9E-18D4191C0E36}" name="Usable_fresh_kg" dataDxfId="377">
      <calculatedColumnFormula>Tableau4[[#This Row],[Scenario_ha]]*D49</calculatedColumnFormula>
    </tableColumn>
    <tableColumn id="4" xr3:uid="{8DE3A762-5A05-424B-AD4B-C6B608E2230C}" name="Dried_kg" dataDxfId="376">
      <calculatedColumnFormula>Tableau4[[#This Row],[Usable_fresh_kg]]*0.1</calculatedColumnFormula>
    </tableColumn>
    <tableColumn id="5" xr3:uid="{65B7686E-37EF-408D-AF5F-C74EAE8A91D5}" name="Export_price_FCFA" dataDxfId="375">
      <calculatedColumnFormula>Tableau4[[#This Row],[Dried_kg]]*C19</calculatedColumnFormula>
    </tableColumn>
    <tableColumn id="6" xr3:uid="{F5F6410F-E4E3-427F-B7BD-B29B4B5D2236}" name="Unit_cost_FCFA_per_kg" dataDxfId="374"/>
    <tableColumn id="7" xr3:uid="{A5D4E676-45B2-47D9-A3D9-497B57ACA335}" name="Cost_yearly_dried_mango_FCFA" dataDxfId="373">
      <calculatedColumnFormula>Tableau4[[#This Row],[Dried_kg]]*Tableau4[[#This Row],[Unit_cost_FCFA_per_kg]]</calculatedColumnFormula>
    </tableColumn>
    <tableColumn id="9" xr3:uid="{D3299ECE-475F-4995-A3C8-F2C456053EEA}" name="Cycles" dataDxfId="372"/>
    <tableColumn id="10" xr3:uid="{8C513700-26EE-4498-98C8-F0B9A35B405B}" name="Energy_cost_FCFA" dataDxfId="371"/>
    <tableColumn id="8" xr3:uid="{1E346CEE-B718-4B1F-A038-A4946B77A8E0}" name="Maintenance" dataDxfId="370"/>
    <tableColumn id="13" xr3:uid="{1014EFB9-87A5-435B-8322-95F3712643DE}" name="Total_costs_all_FCFA" dataDxfId="369">
      <calculatedColumnFormula>Tableau4[[#This Row],[Cost_yearly_dried_mango_FCFA]]+Tableau4[[#This Row],[Export_price_FCFA]]</calculatedColumnFormula>
    </tableColumn>
    <tableColumn id="15" xr3:uid="{84A972C2-6E57-41F3-A8B5-2ECB76E4CA1B}" name="Net_profit_FCFA" dataDxfId="368">
      <calculatedColumnFormula>Tableau4[[#This Row],[Cost_yearly_dried_mango_FCFA]]-Tableau4[[#This Row],[Energy_cost_FCFA]]-Tableau4[[#This Row],[Maintenance]]</calculatedColumnFormula>
    </tableColumn>
    <tableColumn id="21" xr3:uid="{20430465-70CE-44B0-BA70-A6D2B04CF759}" name="Inventory_turnover_per_year" dataDxfId="367"/>
    <tableColumn id="24" xr3:uid="{0AA829FB-F7AC-4916-A4BF-7EF37181EC1F}" name="Dryers_used" dataDxfId="36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03001C-9021-46BA-9167-63B007309843}" name="Tableau5" displayName="Tableau5" ref="B85:O95" totalsRowShown="0" headerRowDxfId="365" dataDxfId="364" tableBorderDxfId="363">
  <autoFilter ref="B85:O95" xr:uid="{F403001C-9021-46BA-9167-63B007309843}"/>
  <tableColumns count="14">
    <tableColumn id="1" xr3:uid="{D3C5DCDA-CB71-48B6-BEE2-DD927183A4C1}" name="Scenario_ha" dataDxfId="362"/>
    <tableColumn id="2" xr3:uid="{A553B19B-44FF-4FC7-BD6E-AB0BE1F99499}" name="Year" dataDxfId="361"/>
    <tableColumn id="3" xr3:uid="{627EC30F-7FCC-4BA0-A19E-A5A42C2397A9}" name="Usable_fresh_kg" dataDxfId="360">
      <calculatedColumnFormula>Tableau5[[#This Row],[Scenario_ha]]*D49</calculatedColumnFormula>
    </tableColumn>
    <tableColumn id="4" xr3:uid="{480F10A2-399F-4B70-800B-D3C241BAF935}" name="Dried_kg" dataDxfId="359">
      <calculatedColumnFormula>Tableau5[[#This Row],[Usable_fresh_kg]]*0.1</calculatedColumnFormula>
    </tableColumn>
    <tableColumn id="5" xr3:uid="{E6E2B480-7424-40B1-872E-2C26A4935142}" name="Export_price_FCFA" dataDxfId="358"/>
    <tableColumn id="6" xr3:uid="{23230D19-05A2-42E7-98AD-5A45D0FB644A}" name="Unit_cost_FCFA_per_kg" dataDxfId="357"/>
    <tableColumn id="7" xr3:uid="{57B990AF-DACC-49D2-A703-17328453126A}" name="Cost_yearly_dried_mango_FCFA" dataDxfId="356"/>
    <tableColumn id="9" xr3:uid="{51B9D710-2071-4F44-A9A9-9888396D08A5}" name="Cycles" dataDxfId="355"/>
    <tableColumn id="10" xr3:uid="{63F111AA-3BD8-4CAC-8A37-FF6E71F33671}" name="Energy_cost_FCFA" dataDxfId="354"/>
    <tableColumn id="8" xr3:uid="{21F9E420-3242-403F-BDF5-DA665FAE2FB9}" name="Maintenance" dataDxfId="353"/>
    <tableColumn id="13" xr3:uid="{94979837-46E0-45E4-BD10-A83776F9F3D5}" name="Total_costs_all_FCFA" dataDxfId="352">
      <calculatedColumnFormula>Tableau5[[#This Row],[Cost_yearly_dried_mango_FCFA]]+Tableau5[[#This Row],[Export_price_FCFA]]</calculatedColumnFormula>
    </tableColumn>
    <tableColumn id="15" xr3:uid="{5AEEF40F-AE19-48EB-9311-7D97035E441F}" name="Net_profit_FCFA" dataDxfId="351">
      <calculatedColumnFormula>Tableau5[[#This Row],[Cost_yearly_dried_mango_FCFA]]-Tableau5[[#This Row],[Energy_cost_FCFA]]-Tableau5[[#This Row],[Maintenance]]</calculatedColumnFormula>
    </tableColumn>
    <tableColumn id="21" xr3:uid="{3C5C3181-D8FE-42DF-9793-53624EB78378}" name="Inventory_turnover_per_year" dataDxfId="350"/>
    <tableColumn id="24" xr3:uid="{0B168F03-E0D6-4520-97EE-E70E4C0DD3B3}" name="Dryers_used" dataDxfId="34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0DF9247-C442-4008-8C9C-B601C1DA7993}" name="Tableau6" displayName="Tableau6" ref="B33:H35" totalsRowShown="0" headerRowDxfId="348" dataDxfId="347" headerRowBorderDxfId="345" tableBorderDxfId="346" totalsRowBorderDxfId="344">
  <autoFilter ref="B33:H35" xr:uid="{20DF9247-C442-4008-8C9C-B601C1DA7993}"/>
  <tableColumns count="7">
    <tableColumn id="1" xr3:uid="{68047206-80E5-4650-A565-023A495C2360}" name="add_fan_power_kW" dataDxfId="343"/>
    <tableColumn id="2" xr3:uid="{01AC007E-9C18-46F4-A22C-F0F8FF294ED8}" name="sensor_cost_per_dryer_FCFA" dataDxfId="342"/>
    <tableColumn id="3" xr3:uid="{CC363441-85DE-48C5-A4AC-B5B61230797E}" name="gateway_cost_per_site_FCFA" dataDxfId="341"/>
    <tableColumn id="4" xr3:uid="{01A3C2E3-1051-4E37-A3D9-D1F8530640E2}" name="connectivity_monthly_per_dryer_FCFA" dataDxfId="340"/>
    <tableColumn id="5" xr3:uid="{32173AEA-A092-416F-9DD4-EF90A9AA4676}" name="cloud_subscription_annual_FCFA" dataDxfId="339"/>
    <tableColumn id="6" xr3:uid="{1034937C-A786-40F2-B881-1412CC9A8D4F}" name="installation_cost_per_dryer_FCFA" dataDxfId="338"/>
    <tableColumn id="7" xr3:uid="{AE40C67E-1259-473A-BA99-234FEE4AC873}" name="iot_capex_lifetime_years" dataDxfId="33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AA4CC51-54F7-442A-A21D-8A7B36E49483}" name="Tableau210" displayName="Tableau210" ref="B125:O135" totalsRowShown="0" headerRowDxfId="336" dataDxfId="335" headerRowBorderDxfId="333" tableBorderDxfId="334" totalsRowBorderDxfId="332">
  <autoFilter ref="B125:O135" xr:uid="{0AA4CC51-54F7-442A-A21D-8A7B36E49483}"/>
  <tableColumns count="14">
    <tableColumn id="1" xr3:uid="{6B046B57-04B0-4B5A-9EFC-103B6BA839C5}" name="Scenario_ha" dataDxfId="331"/>
    <tableColumn id="2" xr3:uid="{86A0A0E6-8229-44DB-ABAD-D1D0A9D9A2A9}" name="Year" dataDxfId="330"/>
    <tableColumn id="3" xr3:uid="{5E2FB477-0BC1-4590-A954-0716F4656978}" name="Usable_fresh_kg" dataDxfId="329">
      <calculatedColumnFormula>Tableau210[[#This Row],[Scenario_ha]]*D49</calculatedColumnFormula>
    </tableColumn>
    <tableColumn id="4" xr3:uid="{C7555D94-4A7A-4D4F-8011-FCB092DF0515}" name="Dried_kg" dataDxfId="328">
      <calculatedColumnFormula>Tableau210[[#This Row],[Usable_fresh_kg]]*0.1</calculatedColumnFormula>
    </tableColumn>
    <tableColumn id="5" xr3:uid="{DEDEA4C1-8DAC-46E1-87A4-6584CBEC443B}" name="Export_price_FCFA" dataDxfId="327">
      <calculatedColumnFormula>Tableau210[[#This Row],[Dried_kg]]*C20</calculatedColumnFormula>
    </tableColumn>
    <tableColumn id="6" xr3:uid="{63D57143-1A8E-420D-A85B-A5667DB2BB80}" name="Unit_cost_FCFA_per_kg" dataDxfId="326"/>
    <tableColumn id="7" xr3:uid="{704A430D-0C19-4B24-9957-2C5429A2A0E5}" name="Cost_yearly_dried_mango_FCFA" dataDxfId="325">
      <calculatedColumnFormula>Tableau210[[#This Row],[Unit_cost_FCFA_per_kg]]*Tableau210[[#This Row],[Dried_kg]]</calculatedColumnFormula>
    </tableColumn>
    <tableColumn id="9" xr3:uid="{4604DA90-B0A9-46F3-8605-DE5512622481}" name="Cycles" dataDxfId="324"/>
    <tableColumn id="10" xr3:uid="{ABCA85B1-5C10-4F1A-ADB5-DE25B8379F48}" name="Energy_cost_FCFA" dataDxfId="323"/>
    <tableColumn id="12" xr3:uid="{53FC41C9-0086-46F6-BBC7-E87F58D0C0ED}" name="Maintenance_FCFA" dataDxfId="322"/>
    <tableColumn id="13" xr3:uid="{4B90BEBA-E9FC-49C9-9744-6704DB7343F6}" name="Total_costs_all_FCFA" dataDxfId="321">
      <calculatedColumnFormula>Tableau210[[#This Row],[Cost_yearly_dried_mango_FCFA]]+Tableau210[[#This Row],[Export_price_FCFA]]</calculatedColumnFormula>
    </tableColumn>
    <tableColumn id="15" xr3:uid="{8ECDB81B-1D61-43F2-9E9C-FC376D5B400E}" name="Net_profit_FCFA" dataDxfId="320">
      <calculatedColumnFormula>Tableau210[[#This Row],[Cost_yearly_dried_mango_FCFA]]-Tableau210[[#This Row],[Energy_cost_FCFA]]-Tableau210[[#This Row],[Maintenance_FCFA]]</calculatedColumnFormula>
    </tableColumn>
    <tableColumn id="21" xr3:uid="{AD74E8CA-D2AE-4366-8389-F6A24D274722}" name="Inventory_turnover_per_year" dataDxfId="319"/>
    <tableColumn id="24" xr3:uid="{21E1736F-0FA3-4EA4-8252-8FDBD2E802BD}" name="Dryers_used" dataDxfId="31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5183996-DB00-4475-887B-6F4BBB0B73DA}" name="Tableau10" displayName="Tableau10" ref="B228:O238" totalsRowShown="0" headerRowDxfId="317" dataDxfId="316" headerRowBorderDxfId="314" tableBorderDxfId="315" totalsRowBorderDxfId="313">
  <autoFilter ref="B228:O238" xr:uid="{55183996-DB00-4475-887B-6F4BBB0B73DA}"/>
  <tableColumns count="14">
    <tableColumn id="1" xr3:uid="{2C6E4CE6-BD40-4625-81EF-94A0F2BAD177}" name="Scenario_ha" dataDxfId="312"/>
    <tableColumn id="2" xr3:uid="{CC0F91E7-1673-4DD0-BED1-6D509E0228D7}" name="Year" dataDxfId="311"/>
    <tableColumn id="3" xr3:uid="{3FC62042-C783-4A28-AB54-89B19D46135C}" name="Usable_fresh_kg" dataDxfId="310"/>
    <tableColumn id="4" xr3:uid="{F466C5D5-E779-4BE7-8207-65E4E87F6AD0}" name="Dried_kg" dataDxfId="309"/>
    <tableColumn id="5" xr3:uid="{4914C264-3DC4-4FC0-970B-54B97F08D7A4}" name="Export_price_FCFA" dataDxfId="308"/>
    <tableColumn id="6" xr3:uid="{328010C7-3836-4F25-84E6-BF2DCC1CEBC3}" name="Unit_cost_FCFA_per_kg" dataDxfId="307"/>
    <tableColumn id="7" xr3:uid="{1F9CF307-09C9-4E35-B09C-F40D265A84CF}" name="Cost_yearly_dried_mango_FCFA" dataDxfId="306"/>
    <tableColumn id="8" xr3:uid="{34A72AFB-AADB-495E-9752-EC887C494012}" name="Cycles" dataDxfId="305"/>
    <tableColumn id="9" xr3:uid="{F87F8932-CAF1-4142-BAAC-203B8B630BC0}" name="Energy_cost_FCFA" dataDxfId="304"/>
    <tableColumn id="10" xr3:uid="{4E7385A6-A70C-4D5B-9A5C-76EA63567E25}" name="Maintenance" dataDxfId="303"/>
    <tableColumn id="11" xr3:uid="{2EE628A8-FBD0-4A77-8E8D-EC600891DB7C}" name="Total_costs_all_FCFA" dataDxfId="302"/>
    <tableColumn id="12" xr3:uid="{5168B554-902D-4D79-95D3-F905B13666A0}" name="Net_profit_FCFA" dataDxfId="301"/>
    <tableColumn id="13" xr3:uid="{D55E31CC-0CBB-4FDB-9D2D-795072D6165E}" name="Inventory_turnover_per_year" dataDxfId="300"/>
    <tableColumn id="14" xr3:uid="{1700A390-5CF9-4302-A549-D8C4807C726C}" name="Dryers_used" dataDxfId="299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489E887-CB73-4500-AC8E-D2F78563D678}" name="Tableau11" displayName="Tableau11" ref="B212:O222" totalsRowShown="0" headerRowDxfId="298" dataDxfId="297" headerRowBorderDxfId="295" tableBorderDxfId="296" totalsRowBorderDxfId="294">
  <autoFilter ref="B212:O222" xr:uid="{8489E887-CB73-4500-AC8E-D2F78563D678}"/>
  <tableColumns count="14">
    <tableColumn id="1" xr3:uid="{540BAE1F-4E26-4E52-98D4-657912D30FA0}" name="Scenario_ha" dataDxfId="293"/>
    <tableColumn id="2" xr3:uid="{48ABECDD-0FBF-48C4-A483-90728663564F}" name="Year" dataDxfId="292"/>
    <tableColumn id="3" xr3:uid="{007FA5E7-9E54-4692-BF28-48C72691524D}" name="Usable_fresh_kg" dataDxfId="291"/>
    <tableColumn id="4" xr3:uid="{B2E207EB-DE9E-48F6-915B-557393A16D9C}" name="Dried_kg" dataDxfId="290"/>
    <tableColumn id="5" xr3:uid="{325D646D-9E9B-434F-9705-BE95613E109C}" name="Export_price_FCFA" dataDxfId="289"/>
    <tableColumn id="6" xr3:uid="{024A3E65-C504-4120-B6A0-BD7F659BCAFD}" name="Unit_cost_FCFA_per_kg" dataDxfId="288"/>
    <tableColumn id="7" xr3:uid="{D3A0E33D-5A6C-4DEB-B85D-AC39D73E2FEC}" name="Cost_yearly_dried_mango_FCFA" dataDxfId="287"/>
    <tableColumn id="8" xr3:uid="{EB8B8185-BBC5-44A6-BE56-5DBC233A4D08}" name="Cycles" dataDxfId="286"/>
    <tableColumn id="9" xr3:uid="{0E3A1D5E-9C1D-48B6-A557-F960FCF99B4B}" name="Energy_cost_FCFA" dataDxfId="285"/>
    <tableColumn id="10" xr3:uid="{CE71F3F8-23CF-4C36-A9E3-82F625C07FA0}" name="Maintenance" dataDxfId="284"/>
    <tableColumn id="11" xr3:uid="{B8E2CC14-C4DB-4704-97ED-7D2BC250D3A2}" name="Total_costs_all_FCFA" dataDxfId="283"/>
    <tableColumn id="12" xr3:uid="{9A857014-1B6A-4788-86A2-72228A5FA1E2}" name="Net_profit_FCFA" dataDxfId="282"/>
    <tableColumn id="13" xr3:uid="{99CCD921-84F2-4B95-8C3C-32A41E0D0792}" name="Inventory_turnover_per_year" dataDxfId="281"/>
    <tableColumn id="14" xr3:uid="{91ECBA44-2273-4E6B-A8C0-E767A98519D1}" name="Dryers_used" dataDxfId="280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077C67A-8B96-451C-9ADE-8E7EEED816FE}" name="Tableau12" displayName="Tableau12" ref="B195:O205" totalsRowShown="0" headerRowDxfId="279" dataDxfId="278" headerRowBorderDxfId="276" tableBorderDxfId="277" totalsRowBorderDxfId="275">
  <autoFilter ref="B195:O205" xr:uid="{C077C67A-8B96-451C-9ADE-8E7EEED816FE}"/>
  <tableColumns count="14">
    <tableColumn id="1" xr3:uid="{D9AABBF8-06AA-4F39-8D75-6CB81F724223}" name="Scenario_ha" dataDxfId="274"/>
    <tableColumn id="2" xr3:uid="{CA1AA848-5927-4C3E-ABB9-D6AD107DC7F0}" name="Year" dataDxfId="273"/>
    <tableColumn id="3" xr3:uid="{C5AA3AF8-EC5B-470C-8117-7E5CB158B5F5}" name="Usable_fresh_kg" dataDxfId="272"/>
    <tableColumn id="4" xr3:uid="{89697CCC-6E81-476D-957B-F70757D8AFF4}" name="Dried_kg" dataDxfId="271"/>
    <tableColumn id="5" xr3:uid="{5CCD67BE-B08D-4BED-B0CE-6C4B7A4C609D}" name="Export_price_FCFA" dataDxfId="270"/>
    <tableColumn id="6" xr3:uid="{F02EC2A4-5D4A-4F57-B39C-0F06ED3F4E57}" name="Unit_cost_FCFA_per_kg" dataDxfId="269"/>
    <tableColumn id="7" xr3:uid="{FFFCF6FF-C58C-4741-9919-40883D40D659}" name="Cost_yearly_dried_mango_FCFA" dataDxfId="268"/>
    <tableColumn id="8" xr3:uid="{E7100A9E-2741-459A-A1C0-2FFD48FB75F7}" name="Cycles" dataDxfId="267"/>
    <tableColumn id="9" xr3:uid="{BD7CD767-454E-40CA-9A45-99CC7076B882}" name="Energy_cost_FCFA" dataDxfId="266"/>
    <tableColumn id="10" xr3:uid="{4DFAF9DC-AA80-42EC-9608-343F1A637A99}" name="Maintenance" dataDxfId="265"/>
    <tableColumn id="11" xr3:uid="{56DD6099-F568-4E99-8013-E464A7E51DDE}" name="Total_costs_all_FCFA" dataDxfId="264"/>
    <tableColumn id="12" xr3:uid="{6599912F-DD40-4EF7-BF01-E878E16AAFAB}" name="Net_profit_FCFA" dataDxfId="263"/>
    <tableColumn id="13" xr3:uid="{9D3682D5-B747-419B-89CE-2714FD01E2B5}" name="Inventory_turnover_per_year" dataDxfId="262"/>
    <tableColumn id="14" xr3:uid="{8D798B77-6DF7-422B-A605-5875EF0FE690}" name="Dryers_used" dataDxfId="261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1C1784E-340C-4088-A06B-03B844656FC0}" name="Tableau13" displayName="Tableau13" ref="B172:O182" totalsRowShown="0" headerRowDxfId="260" dataDxfId="259" headerRowBorderDxfId="257" tableBorderDxfId="258" totalsRowBorderDxfId="256">
  <autoFilter ref="B172:O182" xr:uid="{E1C1784E-340C-4088-A06B-03B844656FC0}"/>
  <tableColumns count="14">
    <tableColumn id="1" xr3:uid="{90307E68-6720-4CE6-96CF-397A98E0CA46}" name="Scenario_ha" dataDxfId="255"/>
    <tableColumn id="2" xr3:uid="{37E8A9D0-3AA7-4A37-9E90-8894566A45EA}" name="Year" dataDxfId="254"/>
    <tableColumn id="3" xr3:uid="{BB923A19-5827-4E92-9AEC-940A594E87A6}" name="Usable_fresh_kg" dataDxfId="253"/>
    <tableColumn id="4" xr3:uid="{CC1078E9-D65A-40A0-9E1B-586F9F95B31F}" name="Dried_kg" dataDxfId="252"/>
    <tableColumn id="5" xr3:uid="{B37C0443-F78C-40E5-AB55-3F419EA1AB23}" name="Export_price_FCFA" dataDxfId="251"/>
    <tableColumn id="6" xr3:uid="{6B40B19C-324A-4554-B8B1-0DB6282D67AA}" name="Unit_cost_FCFA_per_kg" dataDxfId="250"/>
    <tableColumn id="7" xr3:uid="{D46D2F1E-17AD-48C6-9CCE-AEDE25FF5CB4}" name="Cost_yearly_dried_mango_FCFA" dataDxfId="249"/>
    <tableColumn id="8" xr3:uid="{2DCF04B8-8381-433F-AC1E-8BE92D02DD1C}" name="Cycles" dataDxfId="248"/>
    <tableColumn id="9" xr3:uid="{82E94664-5B99-4972-8C82-60FED7483246}" name="Energy_cost_FCFA" dataDxfId="247"/>
    <tableColumn id="10" xr3:uid="{17E49F4E-DCE1-4414-9F57-4DCD2CD6C06D}" name="Maintenance_FCFA" dataDxfId="246"/>
    <tableColumn id="11" xr3:uid="{F6200267-58BF-45D5-8F58-94AC1BCC970D}" name="Total_costs_all_FCFA" dataDxfId="245"/>
    <tableColumn id="12" xr3:uid="{A68265A8-4D25-4863-AE4B-17C0991C1498}" name="Net_profit_FCFA" dataDxfId="244"/>
    <tableColumn id="13" xr3:uid="{09E2A683-AE9B-4DA2-8DC2-98A0A3A48E31}" name="Inventory_turnover_per_year" dataDxfId="243"/>
    <tableColumn id="14" xr3:uid="{3A271590-BBA6-4A0D-AF81-2197407690EB}" name="Dryers_used" dataDxfId="242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30A6FBF-97FD-4D82-B5CC-79A9146DD14F}" name="Tableau14" displayName="Tableau14" ref="B154:O164" totalsRowShown="0" headerRowDxfId="241" dataDxfId="240" headerRowBorderDxfId="238" tableBorderDxfId="239" totalsRowBorderDxfId="237">
  <autoFilter ref="B154:O164" xr:uid="{130A6FBF-97FD-4D82-B5CC-79A9146DD14F}"/>
  <tableColumns count="14">
    <tableColumn id="1" xr3:uid="{3D8A87D9-6A8C-4A4E-89D1-35E568384D5D}" name="Scenario_ha" dataDxfId="236"/>
    <tableColumn id="2" xr3:uid="{55437497-DC73-41A3-A3BE-F7B2A62D6EBE}" name="Year" dataDxfId="235"/>
    <tableColumn id="3" xr3:uid="{233E38EB-D412-44F0-892D-1E2140A34C6F}" name="Usable_fresh_kg" dataDxfId="234"/>
    <tableColumn id="4" xr3:uid="{FD0BCCA6-1E32-4C8A-8E2E-8249B81B2202}" name="Dried_kg" dataDxfId="233"/>
    <tableColumn id="5" xr3:uid="{83A32F7F-8EC5-407B-8147-489E4F86CA07}" name="Export_price_FCFA" dataDxfId="232"/>
    <tableColumn id="6" xr3:uid="{DE3D54A1-D741-49A1-ADE6-5444E41960C2}" name="Unit_cost_FCFA_per_kg" dataDxfId="231"/>
    <tableColumn id="7" xr3:uid="{D92B039D-0E1A-4573-931C-8E6A4C6D8A1C}" name="Cost_yearly_dried_mango_FCFA" dataDxfId="230"/>
    <tableColumn id="8" xr3:uid="{CBF2694D-BC6C-4EBD-AF98-F0789C37CE82}" name="Cycles" dataDxfId="229"/>
    <tableColumn id="9" xr3:uid="{3D2AA8BE-8312-48CD-885F-6AB785ADCF70}" name="Energy_cost_FCFA" dataDxfId="228"/>
    <tableColumn id="10" xr3:uid="{AC0E6477-C0E0-431E-858F-0CF35E8D3ED7}" name="Maintenance_FCFA" dataDxfId="227"/>
    <tableColumn id="11" xr3:uid="{266F3B78-373A-4C69-BAE5-FA8294AE1F03}" name="Total_costs_all_FCFA" dataDxfId="226"/>
    <tableColumn id="12" xr3:uid="{B817F3C7-CB77-4163-BD86-5676B7EFBA91}" name="Net_profit_FCFA" dataDxfId="225"/>
    <tableColumn id="13" xr3:uid="{69751E8F-36E6-40F5-9877-EE33BA01063E}" name="Inventory_turnover_per_year" dataDxfId="224"/>
    <tableColumn id="14" xr3:uid="{D4CE443C-CD3E-47E8-B647-B4534E43CE7F}" name="Dryers_used" dataDxfId="223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9BE2809-936F-406B-9B5A-ADEA3EBD49C3}" name="Tableau117" displayName="Tableau117" ref="B15:F28" totalsRowShown="0" headerRowDxfId="222" dataDxfId="221" headerRowBorderDxfId="219" tableBorderDxfId="220" totalsRowBorderDxfId="218">
  <autoFilter ref="B15:F28" xr:uid="{79BE2809-936F-406B-9B5A-ADEA3EBD49C3}"/>
  <tableColumns count="5">
    <tableColumn id="1" xr3:uid="{0E42C358-1DC2-443E-BC95-B499D384B6C5}" name="Parameter" dataDxfId="217"/>
    <tableColumn id="2" xr3:uid="{A18345AD-89FE-44DE-B097-3FC876A7552C}" name="Value" dataDxfId="216"/>
    <tableColumn id="3" xr3:uid="{4C5098A5-A994-446D-89A1-F63FEC1AAB1C}" name="Unit / Note" dataDxfId="215"/>
    <tableColumn id="4" xr3:uid="{3D85CF7D-3547-46A9-B2A5-86E114DEF6FB}" name="Value (€)" dataDxfId="214"/>
    <tableColumn id="5" xr3:uid="{70EABDC5-2DC2-4633-9E2E-AB769D20D0CD}" name="Source" dataDxfId="21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02BE1C6-0CCE-482B-B1FA-C45619B78141}" name="Tableau218" displayName="Tableau218" ref="B48:O58" totalsRowShown="0" headerRowDxfId="212" dataDxfId="211" headerRowBorderDxfId="209" tableBorderDxfId="210" totalsRowBorderDxfId="208">
  <autoFilter ref="B48:O58" xr:uid="{802BE1C6-0CCE-482B-B1FA-C45619B78141}"/>
  <tableColumns count="14">
    <tableColumn id="1" xr3:uid="{0CA5863C-1899-4307-AB84-9447914FAD9E}" name="Scenario_ha" dataDxfId="207"/>
    <tableColumn id="2" xr3:uid="{9E7ADBCB-1741-4F01-8556-4909FA5F7964}" name="Year" dataDxfId="206"/>
    <tableColumn id="3" xr3:uid="{C13F8AF2-3468-4985-86D1-4D1DC177235A}" name="Usable_fresh_kg" dataDxfId="205"/>
    <tableColumn id="4" xr3:uid="{FAD805C5-A987-4EDF-B56F-9D1AF68D7FF4}" name="Dried_kg" dataDxfId="204">
      <calculatedColumnFormula>Tableau218[[#This Row],[Usable_fresh_kg]]*0.1</calculatedColumnFormula>
    </tableColumn>
    <tableColumn id="5" xr3:uid="{F61DFF3F-1EFC-47E5-803B-83D794E042D5}" name="Export_price_FCFA" dataDxfId="203"/>
    <tableColumn id="6" xr3:uid="{D47D67E2-041A-4C4E-9D9D-98F3E4723BD6}" name="Unit_cost_FCFA_per_kg" dataDxfId="202"/>
    <tableColumn id="7" xr3:uid="{2F7DBB84-9EC9-4D04-AD4D-222F93B44B0D}" name="Cost_yearly_dried_mango_FCFA" dataDxfId="201">
      <calculatedColumnFormula>Tableau218[[#This Row],[Unit_cost_FCFA_per_kg]]*Tableau218[[#This Row],[Dried_kg]]</calculatedColumnFormula>
    </tableColumn>
    <tableColumn id="9" xr3:uid="{3BED9C8F-7C28-4B92-A8ED-14499C253C47}" name="Cycles" dataDxfId="200"/>
    <tableColumn id="10" xr3:uid="{9E684DA4-35DF-4749-9B01-FD65FA242DE5}" name="Energy_cost_FCFA" dataDxfId="199"/>
    <tableColumn id="12" xr3:uid="{228F938F-4288-422F-8DF4-63B3234657CE}" name="Maintenance_FCFA" dataDxfId="198"/>
    <tableColumn id="13" xr3:uid="{7B12E61F-3FD6-4EA2-BE95-23EAB4EB483D}" name="Total_costs_all_FCFA" dataDxfId="197">
      <calculatedColumnFormula>Tableau218[[#This Row],[Cost_yearly_dried_mango_FCFA]]+Tableau218[[#This Row],[Export_price_FCFA]]</calculatedColumnFormula>
    </tableColumn>
    <tableColumn id="15" xr3:uid="{48BF81DA-1EBC-4F37-AA2F-83903C555C6B}" name="Net_profit_FCFA" dataDxfId="196">
      <calculatedColumnFormula>Tableau218[[#This Row],[Cost_yearly_dried_mango_FCFA]]-Tableau218[[#This Row],[Energy_cost_FCFA]]-Tableau218[[#This Row],[Maintenance_FCFA]]</calculatedColumnFormula>
    </tableColumn>
    <tableColumn id="21" xr3:uid="{89D05EC0-BE30-4D20-939F-8BFABD70DCA4}" name="Inventory_turnover_per_year" dataDxfId="195"/>
    <tableColumn id="24" xr3:uid="{604BBFCB-CB09-4501-9B3A-0176DDB05D4B}" name="Dryers_used" dataDxfId="194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7CD458C-9FE6-4EAE-BE53-1A8F92B24F0A}" name="Tableau319" displayName="Tableau319" ref="B67:O77" totalsRowShown="0" headerRowDxfId="193" dataDxfId="192" headerRowBorderDxfId="190" tableBorderDxfId="191" totalsRowBorderDxfId="189">
  <autoFilter ref="B67:O77" xr:uid="{C7CD458C-9FE6-4EAE-BE53-1A8F92B24F0A}"/>
  <tableColumns count="14">
    <tableColumn id="1" xr3:uid="{65C97DC4-B5F0-4BA2-8E40-E17EA65AA04B}" name="Scenario_ha" dataDxfId="188"/>
    <tableColumn id="2" xr3:uid="{06B0BB6D-13E7-4B75-82A2-BF09B253376A}" name="Year" dataDxfId="187"/>
    <tableColumn id="3" xr3:uid="{E4598D0F-202C-4C91-988F-9149E500AB9F}" name="Usable_fresh_kg" dataDxfId="186">
      <calculatedColumnFormula>Tableau319[[#This Row],[Scenario_ha]]*D49</calculatedColumnFormula>
    </tableColumn>
    <tableColumn id="4" xr3:uid="{C6C783AC-ABC5-483F-95B2-87316452F1DA}" name="Dried_kg" dataDxfId="185">
      <calculatedColumnFormula>Tableau319[[#This Row],[Usable_fresh_kg]]*0.1</calculatedColumnFormula>
    </tableColumn>
    <tableColumn id="5" xr3:uid="{5089EB65-7632-4959-8663-A05D7D380F41}" name="Export_price_FCFA" dataDxfId="184"/>
    <tableColumn id="6" xr3:uid="{5BF66E6F-E738-414D-82E7-EFE64AD87455}" name="Unit_cost_FCFA_per_kg" dataDxfId="183"/>
    <tableColumn id="7" xr3:uid="{6791B352-3037-4969-9E5E-50848BF149AD}" name="Cost_yearly_dried_mango_FCFA" dataDxfId="182">
      <calculatedColumnFormula>Tableau319[[#This Row],[Dried_kg]]*Tableau319[[#This Row],[Unit_cost_FCFA_per_kg]]</calculatedColumnFormula>
    </tableColumn>
    <tableColumn id="9" xr3:uid="{183DA3D0-2901-4551-AEA4-753167567FF6}" name="Cycles" dataDxfId="181"/>
    <tableColumn id="10" xr3:uid="{4D382F66-31D3-4D53-A338-29FF5BF45FD2}" name="Energy_cost_FCFA" dataDxfId="180"/>
    <tableColumn id="11" xr3:uid="{39108C57-4FB1-44B1-951E-7935C030798D}" name="Maintenance" dataDxfId="179"/>
    <tableColumn id="13" xr3:uid="{13386AC9-0B86-422B-BDCA-A4A14918E32C}" name="Total_costs_all_FCFA" dataDxfId="178">
      <calculatedColumnFormula>Tableau319[[#This Row],[Cost_yearly_dried_mango_FCFA]]+Tableau319[[#This Row],[Export_price_FCFA]]</calculatedColumnFormula>
    </tableColumn>
    <tableColumn id="15" xr3:uid="{147556DC-70ED-40B5-9C15-57CD809003AC}" name="Net_profit_FCFA" dataDxfId="177">
      <calculatedColumnFormula>Tableau319[[#This Row],[Cost_yearly_dried_mango_FCFA]]-Tableau319[[#This Row],[Energy_cost_FCFA]]-Tableau319[[#This Row],[Maintenance]]</calculatedColumnFormula>
    </tableColumn>
    <tableColumn id="21" xr3:uid="{D48627FA-D44F-4E10-9D65-B1037F9B416A}" name="Inventory_turnover_per_year" dataDxfId="176"/>
    <tableColumn id="24" xr3:uid="{2A38E270-E744-4B4F-8F7A-CCECD3619B83}" name="Dryers_used" dataDxfId="175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402CE9C-FDBF-49BE-9477-7C8B6D6D6470}" name="Tableau420" displayName="Tableau420" ref="B107:O117" totalsRowShown="0" headerRowDxfId="174" dataDxfId="173" tableBorderDxfId="172">
  <autoFilter ref="B107:O117" xr:uid="{6402CE9C-FDBF-49BE-9477-7C8B6D6D6470}"/>
  <tableColumns count="14">
    <tableColumn id="1" xr3:uid="{96E20FEC-9C0B-468C-A18F-0FA0AD09F786}" name="Scenario_ha" dataDxfId="171"/>
    <tableColumn id="2" xr3:uid="{F8C1064C-37FE-4ECD-BC42-B72A38BA9574}" name="Year" dataDxfId="170"/>
    <tableColumn id="3" xr3:uid="{D237F9AC-94D4-4A70-8D60-AB79BE9C0061}" name="Usable_fresh_kg" dataDxfId="169">
      <calculatedColumnFormula>Tableau420[[#This Row],[Scenario_ha]]*D49</calculatedColumnFormula>
    </tableColumn>
    <tableColumn id="4" xr3:uid="{C1C9D622-8360-4ED8-8C2A-125975F0D68E}" name="Dried_kg" dataDxfId="168">
      <calculatedColumnFormula>Tableau420[[#This Row],[Usable_fresh_kg]]*0.1</calculatedColumnFormula>
    </tableColumn>
    <tableColumn id="5" xr3:uid="{0E22AC2B-8F95-40B1-A889-A8E81305981C}" name="Export_price_FCFA" dataDxfId="167">
      <calculatedColumnFormula>Tableau420[[#This Row],[Dried_kg]]*C19</calculatedColumnFormula>
    </tableColumn>
    <tableColumn id="6" xr3:uid="{FFA78494-0922-4618-BA86-53941D1CF7F7}" name="Unit_cost_FCFA_per_kg" dataDxfId="166"/>
    <tableColumn id="7" xr3:uid="{86A51424-2654-49DD-8A0A-1D7C3B3B0894}" name="Cost_yearly_dried_mango_FCFA" dataDxfId="165">
      <calculatedColumnFormula>Tableau420[[#This Row],[Dried_kg]]*Tableau420[[#This Row],[Unit_cost_FCFA_per_kg]]</calculatedColumnFormula>
    </tableColumn>
    <tableColumn id="9" xr3:uid="{E276D6A8-B835-4492-8FF0-0D7EDDD97093}" name="Cycles" dataDxfId="164"/>
    <tableColumn id="10" xr3:uid="{BFF6BCB0-25F4-48D9-91C1-05CC5CEB147E}" name="Energy_cost_FCFA" dataDxfId="163"/>
    <tableColumn id="8" xr3:uid="{B7A88C31-E32B-49FA-9161-1AE0F548DF39}" name="Maintenance" dataDxfId="162"/>
    <tableColumn id="13" xr3:uid="{323D28EF-FA15-495E-8E6B-64B5E3AC6920}" name="Total_costs_all_FCFA" dataDxfId="161">
      <calculatedColumnFormula>Tableau420[[#This Row],[Cost_yearly_dried_mango_FCFA]]+Tableau420[[#This Row],[Export_price_FCFA]]</calculatedColumnFormula>
    </tableColumn>
    <tableColumn id="15" xr3:uid="{ED402B70-B659-4A82-AFF3-511C21AC4E59}" name="Net_profit_FCFA" dataDxfId="160">
      <calculatedColumnFormula>Tableau420[[#This Row],[Cost_yearly_dried_mango_FCFA]]-Tableau420[[#This Row],[Energy_cost_FCFA]]-Tableau420[[#This Row],[Maintenance]]</calculatedColumnFormula>
    </tableColumn>
    <tableColumn id="21" xr3:uid="{911EE40E-845E-427C-958C-B27C80522BF7}" name="Inventory_turnover_per_year" dataDxfId="159"/>
    <tableColumn id="24" xr3:uid="{5CFFE575-5A97-4A5F-A645-32AE889CF2F9}" name="Dryers_used" dataDxfId="158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383040E-FA85-49A9-9A64-0EA2A468558F}" name="Tableau521" displayName="Tableau521" ref="B85:O95" totalsRowShown="0" headerRowDxfId="157" dataDxfId="156" tableBorderDxfId="155">
  <autoFilter ref="B85:O95" xr:uid="{7383040E-FA85-49A9-9A64-0EA2A468558F}"/>
  <tableColumns count="14">
    <tableColumn id="1" xr3:uid="{3F8EB228-3866-45BF-816A-02C7139094D5}" name="Scenario_ha" dataDxfId="154"/>
    <tableColumn id="2" xr3:uid="{46341817-30CC-4217-8D4B-EEE46A88D9A9}" name="Year" dataDxfId="153"/>
    <tableColumn id="3" xr3:uid="{C8306E07-DACD-491D-8ED0-28F1BC39A405}" name="Usable_fresh_kg" dataDxfId="152">
      <calculatedColumnFormula>Tableau521[[#This Row],[Scenario_ha]]*D49</calculatedColumnFormula>
    </tableColumn>
    <tableColumn id="4" xr3:uid="{C5640FD5-68BD-431D-996F-64DD5BDE02CA}" name="Dried_kg" dataDxfId="151">
      <calculatedColumnFormula>Tableau521[[#This Row],[Usable_fresh_kg]]*0.1</calculatedColumnFormula>
    </tableColumn>
    <tableColumn id="5" xr3:uid="{73EE1DEB-045F-41E4-8862-32CADCB65E44}" name="Export_price_FCFA" dataDxfId="150"/>
    <tableColumn id="6" xr3:uid="{EAEF79CB-D570-497C-BB09-6CFF5F86B951}" name="Unit_cost_FCFA_per_kg" dataDxfId="149"/>
    <tableColumn id="7" xr3:uid="{643112BC-4FF9-4B40-9D20-D6336F37E095}" name="Cost_yearly_dried_mango_FCFA" dataDxfId="148"/>
    <tableColumn id="9" xr3:uid="{5EE84399-22FA-456A-AB86-DEEAC35C1D66}" name="Cycles" dataDxfId="147"/>
    <tableColumn id="10" xr3:uid="{7CB83A93-A957-4FBB-9FE6-0487B38BBEEE}" name="Energy_cost_FCFA" dataDxfId="146"/>
    <tableColumn id="8" xr3:uid="{2755A6C3-141C-4BF5-A5C3-272D71212B7C}" name="Maintenance" dataDxfId="145"/>
    <tableColumn id="13" xr3:uid="{AAA553B2-C193-45C1-A896-8F0C7ABD4DB0}" name="Total_costs_all_FCFA" dataDxfId="144">
      <calculatedColumnFormula>Tableau521[[#This Row],[Cost_yearly_dried_mango_FCFA]]+Tableau521[[#This Row],[Export_price_FCFA]]</calculatedColumnFormula>
    </tableColumn>
    <tableColumn id="15" xr3:uid="{11E5F077-71C9-43E6-A507-CA590BB791AE}" name="Net_profit_FCFA" dataDxfId="143">
      <calculatedColumnFormula>Tableau521[[#This Row],[Cost_yearly_dried_mango_FCFA]]-Tableau521[[#This Row],[Energy_cost_FCFA]]-Tableau521[[#This Row],[Maintenance]]</calculatedColumnFormula>
    </tableColumn>
    <tableColumn id="21" xr3:uid="{A536A61E-3F0C-49B6-ADD2-F25568806603}" name="Inventory_turnover_per_year" dataDxfId="142"/>
    <tableColumn id="24" xr3:uid="{81E5A6D1-07BC-4F03-B360-ADFD4B49A211}" name="Dryers_used" dataDxfId="141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848691F-D26B-45E3-AE0B-1AA1BB178CA3}" name="Tableau622" displayName="Tableau622" ref="B33:H35" totalsRowShown="0" headerRowDxfId="140" dataDxfId="139" headerRowBorderDxfId="137" tableBorderDxfId="138" totalsRowBorderDxfId="136">
  <autoFilter ref="B33:H35" xr:uid="{5848691F-D26B-45E3-AE0B-1AA1BB178CA3}"/>
  <tableColumns count="7">
    <tableColumn id="1" xr3:uid="{A2FD55BE-2038-49FD-9EEF-FC14BFC86D47}" name="add_fan_power_kW" dataDxfId="135"/>
    <tableColumn id="2" xr3:uid="{0002FFE4-709D-42C7-9F7D-31E917989F64}" name="sensor_cost_per_dryer_FCFA" dataDxfId="134"/>
    <tableColumn id="3" xr3:uid="{9DF7AC25-0C1F-422F-A2BB-DC727975F9BD}" name="gateway_cost_per_site_FCFA" dataDxfId="133"/>
    <tableColumn id="4" xr3:uid="{B6A9B92D-242D-410D-8DA5-3232611F757E}" name="connectivity_monthly_per_dryer_FCFA" dataDxfId="132"/>
    <tableColumn id="5" xr3:uid="{F2F4E5AD-0ABC-4C67-AF9F-DE9416B98ABD}" name="cloud_subscription_annual_FCFA" dataDxfId="131"/>
    <tableColumn id="6" xr3:uid="{A66F4621-D64C-4614-8FEF-2EFC28837D6F}" name="installation_cost_per_dryer_FCFA" dataDxfId="130"/>
    <tableColumn id="7" xr3:uid="{7085218F-5C69-4359-9BE1-68D3E96C49D7}" name="iot_capex_lifetime_years" dataDxfId="129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7414AAB-620D-4B4F-8BE4-BD2EA3953613}" name="Tableau21023" displayName="Tableau21023" ref="B125:O135" totalsRowShown="0" headerRowDxfId="128" dataDxfId="127" headerRowBorderDxfId="125" tableBorderDxfId="126" totalsRowBorderDxfId="124">
  <autoFilter ref="B125:O135" xr:uid="{A7414AAB-620D-4B4F-8BE4-BD2EA3953613}"/>
  <tableColumns count="14">
    <tableColumn id="1" xr3:uid="{2EDBE5C5-8E15-4473-B469-27461999F681}" name="Scenario_ha" dataDxfId="123"/>
    <tableColumn id="2" xr3:uid="{680458A9-B2B3-4B14-A612-2C854B87B118}" name="Year" dataDxfId="122"/>
    <tableColumn id="3" xr3:uid="{46C30F1B-335E-4322-8173-8646B8B765FD}" name="Usable_fresh_kg" dataDxfId="121">
      <calculatedColumnFormula>Tableau21023[[#This Row],[Scenario_ha]]*D49</calculatedColumnFormula>
    </tableColumn>
    <tableColumn id="4" xr3:uid="{EEFA0E51-8FD8-4173-AE30-2E7AAC98E24B}" name="Dried_kg" dataDxfId="120">
      <calculatedColumnFormula>Tableau21023[[#This Row],[Usable_fresh_kg]]*0.1</calculatedColumnFormula>
    </tableColumn>
    <tableColumn id="5" xr3:uid="{53EA3303-3C88-4F0D-B26D-2669F3E38F59}" name="Export_price_FCFA" dataDxfId="119">
      <calculatedColumnFormula>Tableau21023[[#This Row],[Dried_kg]]*C20</calculatedColumnFormula>
    </tableColumn>
    <tableColumn id="6" xr3:uid="{1D68EDCE-1446-4134-BEF3-F361D4B4DF9F}" name="Unit_cost_FCFA_per_kg" dataDxfId="118"/>
    <tableColumn id="7" xr3:uid="{969C6B25-FA15-432D-9EB6-96753CF1C775}" name="Cost_yearly_dried_mango_FCFA" dataDxfId="117">
      <calculatedColumnFormula>Tableau21023[[#This Row],[Unit_cost_FCFA_per_kg]]*Tableau21023[[#This Row],[Dried_kg]]</calculatedColumnFormula>
    </tableColumn>
    <tableColumn id="9" xr3:uid="{5F297EAC-9E41-43D9-A148-59D15162074C}" name="Cycles" dataDxfId="116"/>
    <tableColumn id="10" xr3:uid="{4FE73B50-847E-49E2-8AF8-31823A46E074}" name="Energy_cost_FCFA" dataDxfId="115"/>
    <tableColumn id="12" xr3:uid="{976F82B6-1008-40B8-9289-31A007CCD31A}" name="Maintenance_FCFA" dataDxfId="114"/>
    <tableColumn id="13" xr3:uid="{D68D1060-7B97-4A76-B4AF-897DC04A4A19}" name="Total_costs_all_FCFA" dataDxfId="113">
      <calculatedColumnFormula>Tableau21023[[#This Row],[Cost_yearly_dried_mango_FCFA]]+Tableau21023[[#This Row],[Export_price_FCFA]]</calculatedColumnFormula>
    </tableColumn>
    <tableColumn id="15" xr3:uid="{61C27DF3-B977-4DD1-B8EA-28401D3AF9CF}" name="Net_profit_FCFA" dataDxfId="112">
      <calculatedColumnFormula>Tableau21023[[#This Row],[Cost_yearly_dried_mango_FCFA]]-Tableau21023[[#This Row],[Energy_cost_FCFA]]-Tableau21023[[#This Row],[Maintenance_FCFA]]</calculatedColumnFormula>
    </tableColumn>
    <tableColumn id="21" xr3:uid="{1C470F8C-A3AA-466F-A2FA-5693891051A4}" name="Inventory_turnover_per_year" dataDxfId="111"/>
    <tableColumn id="24" xr3:uid="{BF548B42-4C3C-47E0-B0C3-11CBC3352B33}" name="Dryers_used" dataDxfId="110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4DDFC1B-72FA-4FD3-AF2A-42A15ED70270}" name="Tableau1024" displayName="Tableau1024" ref="B228:O238" totalsRowShown="0" headerRowDxfId="109" dataDxfId="108" headerRowBorderDxfId="106" tableBorderDxfId="107" totalsRowBorderDxfId="105">
  <autoFilter ref="B228:O238" xr:uid="{04DDFC1B-72FA-4FD3-AF2A-42A15ED70270}"/>
  <tableColumns count="14">
    <tableColumn id="1" xr3:uid="{EBC3DA91-8685-4405-BFE2-C761AF4F2B13}" name="Scenario_ha" dataDxfId="104"/>
    <tableColumn id="2" xr3:uid="{594B4931-6F05-4EBC-B36E-CEDB0B32AAE3}" name="Year" dataDxfId="103"/>
    <tableColumn id="3" xr3:uid="{C7B259F1-5928-4D15-BD26-22C31169DDF3}" name="Usable_fresh_kg" dataDxfId="102"/>
    <tableColumn id="4" xr3:uid="{F2C3AEC6-CAE9-4EA1-9D88-31473469D617}" name="Dried_kg" dataDxfId="101"/>
    <tableColumn id="5" xr3:uid="{66DAF5A7-89BB-4286-AC6C-B3D4C4898592}" name="Export_price_FCFA" dataDxfId="100"/>
    <tableColumn id="6" xr3:uid="{8E386609-451E-4CE5-BC30-62BC6F365CA0}" name="Unit_cost_FCFA_per_kg" dataDxfId="99"/>
    <tableColumn id="7" xr3:uid="{897E6759-FA9B-4751-968C-7E474350D30C}" name="Cost_yearly_dried_mango_FCFA" dataDxfId="98"/>
    <tableColumn id="8" xr3:uid="{634489FC-6D5A-497A-B5D8-BD6F2E55CF8B}" name="Cycles" dataDxfId="97"/>
    <tableColumn id="9" xr3:uid="{6DEDB1A2-D0C4-447A-90DB-03AB57B885F8}" name="Energy_cost_FCFA" dataDxfId="96"/>
    <tableColumn id="10" xr3:uid="{D07F1FE6-3E87-4ED0-A8A1-9C44D6FCB80E}" name="Maintenance" dataDxfId="95"/>
    <tableColumn id="11" xr3:uid="{CD2D3400-2303-4C01-B0C2-C81B1CFBC073}" name="Total_costs_all_FCFA" dataDxfId="94"/>
    <tableColumn id="12" xr3:uid="{3A720C40-865B-433F-AE03-98D7DE3732EF}" name="Net_profit_FCFA" dataDxfId="93"/>
    <tableColumn id="13" xr3:uid="{79B3AFD8-D95E-46A3-AA9B-6E04DFE5340C}" name="Inventory_turnover_per_year" dataDxfId="92"/>
    <tableColumn id="14" xr3:uid="{FD7D8397-9043-402D-BAD6-F10B1AD3ACF8}" name="Dryers_used" dataDxfId="91"/>
  </tableColumns>
  <tableStyleInfo name="TableStyleLight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2E22E1E-D436-4A66-B7FA-C48313670BA1}" name="Tableau1125" displayName="Tableau1125" ref="B212:O222" totalsRowShown="0" headerRowDxfId="90" dataDxfId="89" headerRowBorderDxfId="87" tableBorderDxfId="88" totalsRowBorderDxfId="86">
  <autoFilter ref="B212:O222" xr:uid="{E2E22E1E-D436-4A66-B7FA-C48313670BA1}"/>
  <tableColumns count="14">
    <tableColumn id="1" xr3:uid="{57DE321A-2451-4ED1-AD00-BB6A7BD44C31}" name="Scenario_ha" dataDxfId="85"/>
    <tableColumn id="2" xr3:uid="{298B39CD-518B-47B4-887F-4368D0893D16}" name="Year" dataDxfId="84"/>
    <tableColumn id="3" xr3:uid="{03FA52AC-1A26-4BCD-A505-EDABC96ADA50}" name="Usable_fresh_kg" dataDxfId="83"/>
    <tableColumn id="4" xr3:uid="{BB2ADA8F-EC07-401F-9763-514A4CAFB84F}" name="Dried_kg" dataDxfId="82"/>
    <tableColumn id="5" xr3:uid="{763DAF54-7DF2-411B-8D75-8B844D75E3B1}" name="Export_price_FCFA" dataDxfId="81"/>
    <tableColumn id="6" xr3:uid="{95B48352-BEE9-4681-9EF4-40354C128065}" name="Unit_cost_FCFA_per_kg" dataDxfId="80"/>
    <tableColumn id="7" xr3:uid="{BF4BBCBC-FFCC-400A-9731-8F2668F2A375}" name="Cost_yearly_dried_mango_FCFA" dataDxfId="79"/>
    <tableColumn id="8" xr3:uid="{D263A19B-260A-4570-92F6-3678C9C1EC77}" name="Cycles" dataDxfId="78"/>
    <tableColumn id="9" xr3:uid="{BBB56DE2-F8B2-4451-BBC9-692C4ED50FE9}" name="Energy_cost_FCFA" dataDxfId="77"/>
    <tableColumn id="10" xr3:uid="{4F121301-ADA9-4FBF-AD70-5013447E7004}" name="Maintenance" dataDxfId="76"/>
    <tableColumn id="11" xr3:uid="{6B6CF9DB-FCF1-40D1-B878-7B32709583D4}" name="Total_costs_all_FCFA" dataDxfId="75"/>
    <tableColumn id="12" xr3:uid="{70EB9635-CE55-43CC-B992-60CFBC20ABEA}" name="Net_profit_FCFA" dataDxfId="74"/>
    <tableColumn id="13" xr3:uid="{8FBFB46A-F6C5-4237-ABC4-8999F94163AD}" name="Inventory_turnover_per_year" dataDxfId="73"/>
    <tableColumn id="14" xr3:uid="{8BFE8580-9A8A-4A76-9AD5-294791D8EC9C}" name="Dryers_used" dataDxfId="72"/>
  </tableColumns>
  <tableStyleInfo name="TableStyleLight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CABA440-4710-4B05-8CAA-3B5131201698}" name="Tableau1226" displayName="Tableau1226" ref="B195:O205" totalsRowShown="0" headerRowDxfId="71" dataDxfId="70" headerRowBorderDxfId="68" tableBorderDxfId="69" totalsRowBorderDxfId="67">
  <autoFilter ref="B195:O205" xr:uid="{ECABA440-4710-4B05-8CAA-3B5131201698}"/>
  <tableColumns count="14">
    <tableColumn id="1" xr3:uid="{B977C107-D99C-40FC-B897-815FAF5ACCC2}" name="Scenario_ha" dataDxfId="66"/>
    <tableColumn id="2" xr3:uid="{DD9C3716-3733-406E-BF4A-9432E7DDA4B8}" name="Year" dataDxfId="65"/>
    <tableColumn id="3" xr3:uid="{862FBCD9-CF62-4307-85A9-E4B5B9C656AD}" name="Usable_fresh_kg" dataDxfId="64"/>
    <tableColumn id="4" xr3:uid="{6B16F58C-9664-4919-9DBB-430D500D67BC}" name="Dried_kg" dataDxfId="63"/>
    <tableColumn id="5" xr3:uid="{D630FB18-E490-450F-90B1-B43AA2937A20}" name="Export_price_FCFA" dataDxfId="62"/>
    <tableColumn id="6" xr3:uid="{751F0E36-CE6E-46E3-AF25-D782817AC0B2}" name="Unit_cost_FCFA_per_kg" dataDxfId="61"/>
    <tableColumn id="7" xr3:uid="{50214ABD-022B-4704-82C6-B37A08AE3C6C}" name="Cost_yearly_dried_mango_FCFA" dataDxfId="60"/>
    <tableColumn id="8" xr3:uid="{213DDDF2-2ACD-4C0C-B4C7-F826852440AB}" name="Cycles" dataDxfId="59"/>
    <tableColumn id="9" xr3:uid="{0C70DFEA-7E5A-4483-9065-F923A164DA59}" name="Energy_cost_FCFA" dataDxfId="58"/>
    <tableColumn id="10" xr3:uid="{7F5EBB96-FCF7-49F1-8A72-49ECA4184D10}" name="Maintenance" dataDxfId="57"/>
    <tableColumn id="11" xr3:uid="{6CACB0D6-6FC6-4902-9D8C-B10DA7E1F160}" name="Total_costs_all_FCFA" dataDxfId="56"/>
    <tableColumn id="12" xr3:uid="{88500A08-BDBB-49F5-AAD2-C6A7CB993C41}" name="Net_profit_FCFA" dataDxfId="55"/>
    <tableColumn id="13" xr3:uid="{9D7B499A-74DA-401F-B442-C9C7C835D708}" name="Inventory_turnover_per_year" dataDxfId="54"/>
    <tableColumn id="14" xr3:uid="{73382453-5DC4-4A1E-A371-0651D90D06A4}" name="Dryers_used" dataDxfId="53"/>
  </tableColumns>
  <tableStyleInfo name="TableStyleLight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6805C39-0651-4486-B33E-7D5F2C96DACE}" name="Tableau1327" displayName="Tableau1327" ref="B172:O182" totalsRowShown="0" headerRowDxfId="52" dataDxfId="51" headerRowBorderDxfId="49" tableBorderDxfId="50" totalsRowBorderDxfId="48">
  <autoFilter ref="B172:O182" xr:uid="{B6805C39-0651-4486-B33E-7D5F2C96DACE}"/>
  <tableColumns count="14">
    <tableColumn id="1" xr3:uid="{20F22B51-0F29-44EC-8B60-CD39F4F6227A}" name="Scenario_ha" dataDxfId="47"/>
    <tableColumn id="2" xr3:uid="{98621ED7-ADBE-4BFB-AC06-3ED6E740875D}" name="Year" dataDxfId="46"/>
    <tableColumn id="3" xr3:uid="{20E9DCE1-B8F5-42A0-8275-9A7490C97E7B}" name="Usable_fresh_kg" dataDxfId="45"/>
    <tableColumn id="4" xr3:uid="{F54B1407-09AF-4267-876C-31E54C6B4B8D}" name="Dried_kg" dataDxfId="44"/>
    <tableColumn id="5" xr3:uid="{54A240A9-D294-4D7A-98B0-312082BC8A1E}" name="Export_price_FCFA" dataDxfId="43"/>
    <tableColumn id="6" xr3:uid="{9F8E3921-02F5-449E-A30C-51B11DA34BCF}" name="Unit_cost_FCFA_per_kg" dataDxfId="42"/>
    <tableColumn id="7" xr3:uid="{1FA74EDE-DDA7-4F00-9D19-42C87114E534}" name="Cost_yearly_dried_mango_FCFA" dataDxfId="41"/>
    <tableColumn id="8" xr3:uid="{5DB75A47-F5F7-4C27-9E36-B084590FF5A6}" name="Cycles" dataDxfId="40"/>
    <tableColumn id="9" xr3:uid="{3E1E3C68-001F-4820-902F-5C23F9559BEA}" name="Energy_cost_FCFA" dataDxfId="39"/>
    <tableColumn id="10" xr3:uid="{FFC7AF13-545F-4039-8F5A-6D9D8C4124FA}" name="Maintenance_FCFA" dataDxfId="38"/>
    <tableColumn id="11" xr3:uid="{BC80BE0C-45DB-480C-A96D-F55449DB89A9}" name="Total_costs_all_FCFA" dataDxfId="37"/>
    <tableColumn id="12" xr3:uid="{EE5E85EB-6F40-43E3-8433-07E21F7413E1}" name="Net_profit_FCFA" dataDxfId="36"/>
    <tableColumn id="13" xr3:uid="{D87C940F-69E8-4C9A-9CA2-E1D86A064114}" name="Inventory_turnover_per_year" dataDxfId="35"/>
    <tableColumn id="14" xr3:uid="{D4279C2E-7A4D-4D37-B847-B288AEE5321D}" name="Dryers_used" dataDxfId="34"/>
  </tableColumns>
  <tableStyleInfo name="TableStyleLight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F9D5891-6491-43DB-889F-612394413A59}" name="Tableau1428" displayName="Tableau1428" ref="B154:O164" totalsRowShown="0" headerRowDxfId="33" dataDxfId="32" headerRowBorderDxfId="30" tableBorderDxfId="31" totalsRowBorderDxfId="29">
  <autoFilter ref="B154:O164" xr:uid="{9F9D5891-6491-43DB-889F-612394413A59}"/>
  <tableColumns count="14">
    <tableColumn id="1" xr3:uid="{4F58C8FF-2217-4559-A043-CB0D28800CE2}" name="Scenario_ha" dataDxfId="28"/>
    <tableColumn id="2" xr3:uid="{FA12E5A8-3169-490D-8F39-2CE7CCE61CEF}" name="Year" dataDxfId="27"/>
    <tableColumn id="3" xr3:uid="{FCB50677-8889-448C-BE6C-46A010D63A2F}" name="Usable_fresh_kg" dataDxfId="26"/>
    <tableColumn id="4" xr3:uid="{992F1969-DADD-4A1B-ABEA-D64D816A9271}" name="Dried_kg" dataDxfId="25"/>
    <tableColumn id="5" xr3:uid="{C89E73B7-2C60-44BA-BE1D-3B6E3A469709}" name="Export_price_FCFA" dataDxfId="24"/>
    <tableColumn id="6" xr3:uid="{4B2A3F56-37B9-4CA7-BD19-8F9A821A9CB5}" name="Unit_cost_FCFA_per_kg" dataDxfId="23"/>
    <tableColumn id="7" xr3:uid="{BFEC0216-2600-4490-955C-89E6E0F3822C}" name="Cost_yearly_dried_mango_FCFA" dataDxfId="22"/>
    <tableColumn id="8" xr3:uid="{A7C24B4C-F7C7-4914-8DCE-55918DE28DC5}" name="Cycles" dataDxfId="21"/>
    <tableColumn id="9" xr3:uid="{FE2D2F88-B67C-4EF8-AED4-07853AE31BA1}" name="Energy_cost_FCFA" dataDxfId="20"/>
    <tableColumn id="10" xr3:uid="{B7AACBFE-6A83-44A3-BB67-AFCD87202986}" name="Maintenance_FCFA" dataDxfId="19"/>
    <tableColumn id="11" xr3:uid="{6DA77D7D-84EB-42B7-9B07-B4EBA11B9B34}" name="Total_costs_all_FCFA" dataDxfId="18"/>
    <tableColumn id="12" xr3:uid="{DE877AA9-E00E-4F5E-BA90-3B9DFD4100F9}" name="Net_profit_FCFA" dataDxfId="17"/>
    <tableColumn id="13" xr3:uid="{437ACB53-7B5D-4BE5-8DA9-2F47F5357FBD}" name="Inventory_turnover_per_year" dataDxfId="16"/>
    <tableColumn id="14" xr3:uid="{50D1853D-F279-4FEF-BED0-5BDD32EC122E}" name="Dryers_used" dataDxfId="15"/>
  </tableColumns>
  <tableStyleInfo name="TableStyleLight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3EC5DC8-78D7-4929-B68B-0E8310F32671}" name="Tableau15" displayName="Tableau15" ref="B17:F23" totalsRowShown="0" headerRowDxfId="14" dataDxfId="13">
  <autoFilter ref="B17:F23" xr:uid="{B3EC5DC8-78D7-4929-B68B-0E8310F32671}"/>
  <tableColumns count="5">
    <tableColumn id="1" xr3:uid="{E2845ECC-55AD-4DAB-A5F7-17C2D93905D7}" name="Indicator" dataDxfId="12"/>
    <tableColumn id="2" xr3:uid="{4769DDBA-EA93-4910-9161-323A34C3BF12}" name="Without Voice Translation App (per year)" dataDxfId="11"/>
    <tableColumn id="3" xr3:uid="{4114FEB4-0DC0-47B8-871A-8335BA194647}" name="With Voice Translation App (per year)" dataDxfId="10"/>
    <tableColumn id="4" xr3:uid="{FC569C57-537B-4138-AE9C-575A34137988}" name="Gain due to No-Reesa App" dataDxfId="9"/>
    <tableColumn id="5" xr3:uid="{58427727-92CC-482E-9A8D-D45BF64114BD}" name="Impact (%)" dataDxfId="8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060306-4F0A-4997-BE51-C38788F47A99}" name="Tableau7" displayName="Tableau7" ref="J11:K16" totalsRowShown="0" headerRowDxfId="7" dataDxfId="6">
  <autoFilter ref="J11:K16" xr:uid="{3E060306-4F0A-4997-BE51-C38788F47A99}"/>
  <tableColumns count="2">
    <tableColumn id="1" xr3:uid="{B206DA83-77F7-4AFF-996F-262DAB59799F}" name="Abbreviation / Term" dataDxfId="5"/>
    <tableColumn id="2" xr3:uid="{111AB595-9127-4DFB-BD2F-1A559CB32310}" name="Definition" dataDxfId="4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AE18027-F729-4285-97A9-865BB952BF66}" name="Tableau8" displayName="Tableau8" ref="C24:D30" totalsRowShown="0" headerRowDxfId="3" dataDxfId="2">
  <autoFilter ref="C24:D30" xr:uid="{3AE18027-F729-4285-97A9-865BB952BF66}"/>
  <tableColumns count="2">
    <tableColumn id="3" xr3:uid="{D4E69F58-5F49-4BB1-B500-CB7C57222CC1}" name="Savings Breakdown (Sources of Annual Savings)" dataDxfId="1"/>
    <tableColumn id="4" xr3:uid="{0185207F-0984-47CA-BBA4-D8D7091B098B}" name="Estimated Value [€ / year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6" dT="2025-10-01T10:13:39.54" personId="{02E52B62-B1FB-48C7-92A0-239BF5515333}" id="{87341C9E-B9DB-46D3-A2AE-F69101F97733}">
    <text xml:space="preserve">where does 100 comes from? report, study, guess? </text>
  </threadedComment>
  <threadedComment ref="G6" dT="2025-10-01T10:19:49.17" personId="{02E52B62-B1FB-48C7-92A0-239BF5515333}" id="{22C3CF43-16EF-46A0-BEDF-D97A1B3D4DF7}" parentId="{87341C9E-B9DB-46D3-A2AE-F69101F97733}">
    <text>this depends on how big is the spacing between the trees as well. could you add this parameter to the input column</text>
  </threadedComment>
  <threadedComment ref="G6" dT="2025-10-07T10:46:43.45" personId="{8B06D484-4323-44DE-8D2D-5F7F6535D9C7}" id="{DBCEF768-585F-407B-BA3D-A57B66A6F764}" parentId="{87341C9E-B9DB-46D3-A2AE-F69101F97733}">
    <text>100 is the estimated number of trees in 1 hectare with a space of 10 m between the trees. You can see the details in the input parameters and definitions</text>
  </threadedComment>
  <threadedComment ref="H6" dT="2025-10-01T10:14:55.93" personId="{02E52B62-B1FB-48C7-92A0-239BF5515333}" id="{A2EC88CB-F0FA-4B5A-87BE-4EFA3FD8B23F}">
    <text>please make the formula easy to explain e.g. what is 1000? what is 100? you could make a separate column for  the input parameters</text>
  </threadedComment>
  <threadedComment ref="H6" dT="2025-10-07T11:55:40.96" personId="{8B06D484-4323-44DE-8D2D-5F7F6535D9C7}" id="{C8716488-349A-44CD-879A-572972ADD140}" parentId="{A2EC88CB-F0FA-4B5A-87BE-4EFA3FD8B23F}">
    <text>You can find the explanation in the input parameters and definition table</text>
  </threadedComment>
  <threadedComment ref="I6" dT="2025-10-01T10:23:03.71" personId="{02E52B62-B1FB-48C7-92A0-239BF5515333}" id="{E19C23D8-BDDB-4941-BC67-7D4382D1D427}">
    <text>does the tree age play a role? e.g. young trees vs mature trees</text>
  </threadedComment>
  <threadedComment ref="I6" dT="2025-10-01T10:24:11.26" personId="{02E52B62-B1FB-48C7-92A0-239BF5515333}" id="{3C3F22B3-02E3-4580-8582-783A00B8BE06}" parentId="{E19C23D8-BDDB-4941-BC67-7D4382D1D427}">
    <text>does this number applies to all year long and all climate conditions e.g. in rainy season the number could be low, ..etc.</text>
  </threadedComment>
  <threadedComment ref="I6" dT="2025-10-07T10:27:59.68" personId="{8B06D484-4323-44DE-8D2D-5F7F6535D9C7}" id="{86B9DC09-37FD-4C14-884E-1378A64F796B}" parentId="{E19C23D8-BDDB-4941-BC67-7D4382D1D427}">
    <text>this is for mature mango trees in dry season</text>
  </threadedComment>
  <threadedComment ref="J6" dT="2025-10-01T10:15:47.06" personId="{02E52B62-B1FB-48C7-92A0-239BF5515333}" id="{E63A8420-42E4-475E-9B92-4E143EEB8E76}">
    <text>what is 5? please explain as suggested with input column</text>
  </threadedComment>
  <threadedComment ref="J6" dT="2025-10-07T10:29:05.82" personId="{8B06D484-4323-44DE-8D2D-5F7F6535D9C7}" id="{36E63635-DF97-449D-9327-8F1F4B8850FF}" parentId="{E63A8420-42E4-475E-9B92-4E143EEB8E76}">
    <text>it represents the daily irrigation duration</text>
  </threadedComment>
  <threadedComment ref="K6" dT="2025-10-07T10:50:18.97" personId="{8B06D484-4323-44DE-8D2D-5F7F6535D9C7}" id="{19629B0B-C54E-4B3C-8465-8E35837978E0}">
    <text>60 is the number of minutes in 1 hour</text>
  </threadedComment>
  <threadedComment ref="P6" dT="2025-10-01T10:28:03.27" personId="{02E52B62-B1FB-48C7-92A0-239BF5515333}" id="{2A25DE7A-0856-4475-AD35-68E9FCF33CAC}">
    <text>does this calculation include any buffer to compensate for losses e.g. efficiency, variations ...etc.?please consider that and adjust your calculations accordingly</text>
  </threadedComment>
  <threadedComment ref="P6" dT="2025-10-07T11:08:37.68" personId="{8B06D484-4323-44DE-8D2D-5F7F6535D9C7}" id="{13B85FF6-B839-4B20-B12D-71300884BB82}" parentId="{2A25DE7A-0856-4475-AD35-68E9FCF33CAC}">
    <text>yes, it does include any buffer for compensation in case of losses</text>
  </threadedComment>
  <threadedComment ref="L10" dT="2025-10-09T09:31:36.42" personId="{8B06D484-4323-44DE-8D2D-5F7F6535D9C7}" id="{892C97E1-21AA-4D14-AE88-EC5916786E41}">
    <text>Some of the cost are local cost. For the smart add-on, drip irrigation, filtration+MPPT costs, it has been estimated basing on the international market</text>
  </threadedComment>
  <threadedComment ref="L12" dT="2025-10-01T10:28:31.27" personId="{02E52B62-B1FB-48C7-92A0-239BF5515333}" id="{4A14AA5F-08E0-4FCB-A3C9-8381563E4600}">
    <text>what is the capacity of the tank?</text>
  </threadedComment>
  <threadedComment ref="P12" dT="2025-10-01T10:29:39.91" personId="{02E52B62-B1FB-48C7-92A0-239BF5515333}" id="{CC67322F-66CC-4932-B3F8-6FFF15835BFE}">
    <text>did you consider any cheaper alternatives?</text>
  </threadedComment>
  <threadedComment ref="P12" dT="2025-10-07T11:25:23.00" personId="{8B06D484-4323-44DE-8D2D-5F7F6535D9C7}" id="{1E7D19D0-5954-4FFA-B68E-E73F5E123511}" parentId="{CC67322F-66CC-4932-B3F8-6FFF15835BFE}">
    <text>Yes I considered now</text>
  </threadedComment>
  <threadedComment ref="U13" dT="2025-10-07T11:41:33.94" personId="{8B06D484-4323-44DE-8D2D-5F7F6535D9C7}" id="{73136E15-C0EE-4511-87AF-28D1D6E443C1}">
    <text>CAPEX (Capital Expenditure)</text>
  </threadedComment>
  <threadedComment ref="O14" dT="2025-10-01T10:30:02.52" personId="{02E52B62-B1FB-48C7-92A0-239BF5515333}" id="{76E52E48-D57E-45CC-8C24-B37A110B39FE}">
    <text>from which market? burkina faso, china, germany?</text>
  </threadedComment>
  <threadedComment ref="P18" dT="2025-10-01T10:31:23.38" personId="{02E52B62-B1FB-48C7-92A0-239BF5515333}" id="{1F6F246C-E630-4B82-BC73-079414E2AE0A}">
    <text>how much time do you think you can get this investment sum repaid back. payback period is short means a profitable project, if payback period is long it means less profitable project. make assumptions to calculate payback period</text>
  </threadedComment>
  <threadedComment ref="P18" dT="2025-10-09T07:52:16.74" personId="{8B06D484-4323-44DE-8D2D-5F7F6535D9C7}" id="{F64D0B68-A537-4D04-94BC-07A5811FAEBA}" parentId="{1F6F246C-E630-4B82-BC73-079414E2AE0A}">
    <text>You can see it on the calculation table</text>
  </threadedComment>
  <threadedComment ref="S18" dT="2025-10-09T07:56:22.16" personId="{8B06D484-4323-44DE-8D2D-5F7F6535D9C7}" id="{D5590B21-3252-4B15-A613-BD2E41FDBFA8}">
    <text>replaced every 10 years; 2 replacement in total during the project lifetime</text>
  </threadedComment>
  <threadedComment ref="S19" dT="2025-10-09T07:56:46.77" personId="{8B06D484-4323-44DE-8D2D-5F7F6535D9C7}" id="{CB6F7D8E-A003-43C3-86F6-5C1E11FFE1C1}">
    <text>replaced every 10 years; 2 replacement in total</text>
  </threadedComment>
  <threadedComment ref="S20" dT="2025-10-09T07:57:46.32" personId="{8B06D484-4323-44DE-8D2D-5F7F6535D9C7}" id="{30737756-ECBA-4179-BDAF-FE843EB63C53}">
    <text>replaced every 10 years also; 2 replacement in total during the project lifetime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" dT="2025-10-01T16:40:23.36" personId="{02E52B62-B1FB-48C7-92A0-239BF5515333}" id="{3B5B4A5C-1540-4A5C-B265-7A9B69BF94B1}">
    <text>we might not need a ball mill for the mango but what we need are machines which can be used for cutting the mango</text>
  </threadedComment>
  <threadedComment ref="B3" dT="2025-10-01T16:12:24.43" personId="{02E52B62-B1FB-48C7-92A0-239BF5515333}" id="{55E8B360-440F-4231-87DA-16F19DBD6083}">
    <text>why are the numbers fluctuating?</text>
  </threadedComment>
  <threadedComment ref="B3" dT="2025-10-01T19:26:36.35" personId="{4D9BE69F-A665-4781-85A1-D80CE12975BE}" id="{9E348B6F-E012-4B4B-BC1F-B8327D4D5213}" parentId="{55E8B360-440F-4231-87DA-16F19DBD6083}">
    <text>The numbers rise and fall because in Burkina Faso there are periods when mango production is very high and when this period passes production also falls.</text>
  </threadedComment>
  <threadedComment ref="C3" dT="2025-10-01T16:38:11.50" personId="{02E52B62-B1FB-48C7-92A0-239BF5515333}" id="{DA61F77F-54E6-4B0E-9684-90D85F7012AC}">
    <text>how is this calculated?</text>
  </threadedComment>
  <threadedComment ref="C3" dT="2025-10-01T19:41:14.04" personId="{4D9BE69F-A665-4781-85A1-D80CE12975BE}" id="{33933C0F-616D-4969-810D-A8400C5E385E}" parentId="{DA61F77F-54E6-4B0E-9684-90D85F7012AC}">
    <text>The number is based on study showing that the waste generated is around 50% of the quantity of processed mangoes.</text>
  </threadedComment>
  <threadedComment ref="D3" dT="2025-10-01T16:38:36.75" personId="{02E52B62-B1FB-48C7-92A0-239BF5515333}" id="{5E36174B-72D2-4061-AA6B-C464FF877BA9}">
    <text>how is biogas calculated? is it assumed or based on study?</text>
  </threadedComment>
  <threadedComment ref="D3" dT="2025-10-01T19:31:15.51" personId="{4D9BE69F-A665-4781-85A1-D80CE12975BE}" id="{4AE72957-08E8-4678-9A75-1167E7647203}" parentId="{5E36174B-72D2-4061-AA6B-C464FF877BA9}">
    <text>The biogas is calculated by following this formula : 1 kg of mango waste gives 0.043 m³ of biogas. This formula is based on study from the net.</text>
  </threadedComment>
  <threadedComment ref="Q3" dT="2025-10-16T23:58:28.50" personId="{4D9BE69F-A665-4781-85A1-D80CE12975BE}" id="{825DA654-6A40-49AF-B694-1A3FC6FE8696}">
    <text>This annual output is from the plant sheet in the common excel</text>
  </threadedComment>
  <threadedComment ref="L4" dT="2025-10-01T19:31:50.07" personId="{4D9BE69F-A665-4781-85A1-D80CE12975BE}" id="{13DC0BDD-8FD5-44D4-980D-3FAC0AA6374D}">
    <text xml:space="preserve">This biogas volume was used to calculate biogas outputs for each month of the year.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6" dT="2025-10-01T10:32:30.83" personId="{02E52B62-B1FB-48C7-92A0-239BF5515333}" id="{753BF6E2-4B3E-4436-9CF2-5A0882711F66}">
    <text>where is the source of this value, report? study? historical data? or assumption</text>
  </threadedComment>
  <threadedComment ref="C16" dT="2025-10-02T09:59:59.62" personId="{4D9BE69F-A665-4781-85A1-D80CE12975BE}" id="{B8900FCF-EFB8-4299-B571-70B968C1A91F}" parentId="{753BF6E2-4B3E-4436-9CF2-5A0882711F66}">
    <text>https://www.researchgate.net/publication/242642925_The_mango_tree_in_central_and_northern_Benin_Cultivar_inventory_yield_assessment_infested_stages_and_loss_due_to_fruit_flies_Diptera_Tephritidae</text>
  </threadedComment>
  <threadedComment ref="C17" dT="2025-10-01T10:32:56.28" personId="{02E52B62-B1FB-48C7-92A0-239BF5515333}" id="{C7EF18BD-B85D-4954-87E5-07E6AE76388A}">
    <text>what does recovery rate means?</text>
  </threadedComment>
  <threadedComment ref="C17" dT="2025-10-02T10:08:08.77" personId="{4D9BE69F-A665-4781-85A1-D80CE12975BE}" id="{ADCB1198-FBA6-48D9-9146-9A945824C105}" parentId="{C7EF18BD-B85D-4954-87E5-07E6AE76388A}">
    <text>The proportion of usable, good-quality product that remains after harvesting, handling, and processing compared to the total originally harvested.</text>
  </threadedComment>
  <threadedComment ref="C18" dT="2025-10-01T10:34:15.94" personId="{02E52B62-B1FB-48C7-92A0-239BF5515333}" id="{D951C372-0506-4115-8AB7-F872A9CFC94B}">
    <text>I understood the term transformation ration but I didn't get 4? e.g. if I put 1 kg of fresh mango how much dried mango I get?</text>
  </threadedComment>
  <threadedComment ref="C18" dT="2025-10-07T17:08:00.98" personId="{4D9BE69F-A665-4781-85A1-D80CE12975BE}" id="{F6DDBF57-74FB-479A-8F6A-7F4BA8A6AEC8}" parentId="{D951C372-0506-4115-8AB7-F872A9CFC94B}">
    <text>I have added the link saying that It takes between 12 to 15 kg of fresh mangoes to produce 1 kg of dried fruit, although some estimates put the conversion rate closer to 10%. Then with 1 kg appying 10% outputs 0.1kg</text>
  </threadedComment>
  <threadedComment ref="C20" dT="2025-10-01T10:35:07.16" personId="{02E52B62-B1FB-48C7-92A0-239BF5515333}" id="{8C26E72D-0395-4FCD-B593-447B3BF16F18}">
    <text>please indicate the source of the price is there a portal which tracks these information and publish them?</text>
  </threadedComment>
  <threadedComment ref="C20" dT="2025-10-08T12:13:48.87" personId="{4D9BE69F-A665-4781-85A1-D80CE12975BE}" id="{AA7E407A-6D85-456F-BFF1-9405A7CAE0B3}" parentId="{8C26E72D-0395-4FCD-B593-447B3BF16F18}">
    <text>Alright</text>
  </threadedComment>
  <threadedComment ref="C22" dT="2025-10-01T10:35:33.38" personId="{02E52B62-B1FB-48C7-92A0-239BF5515333}" id="{06AD86B0-7E8C-4A63-8CBD-D8D0C8A8EF7A}">
    <text>what is meant by campaign here?</text>
  </threadedComment>
  <threadedComment ref="C22" dT="2025-10-07T19:39:42.51" personId="{4D9BE69F-A665-4781-85A1-D80CE12975BE}" id="{4CCF12DA-1869-4C42-A6A4-727571DDE811}" parentId="{06AD86B0-7E8C-4A63-8CBD-D8D0C8A8EF7A}">
    <text>It refers to the mango active harvesting season in Burkina.</text>
  </threadedComment>
  <threadedComment ref="C24" dT="2025-10-01T10:36:12.27" personId="{02E52B62-B1FB-48C7-92A0-239BF5515333}" id="{8023BE6E-9434-439C-8570-AF29F0292DA8}">
    <text xml:space="preserve">make a calculation column in Euro values </text>
  </threadedComment>
  <threadedComment ref="C24" dT="2025-10-02T09:43:54.77" personId="{4D9BE69F-A665-4781-85A1-D80CE12975BE}" id="{A006808D-EE5B-4F91-A17C-8B02BDC629B2}" parentId="{8023BE6E-9434-439C-8570-AF29F0292DA8}">
    <text>Alright</text>
  </threadedComment>
  <threadedComment ref="C25" dT="2025-10-01T11:07:19.77" personId="{02E52B62-B1FB-48C7-92A0-239BF5515333}" id="{125BEC1E-245A-4C9A-A0A9-4D2B90AD1CA7}">
    <text>I am wondering here how did you consider the 1 hectar area, or 3 hectar area, did you consider that 2.2. 2hectar farm could yield 10 ton mango every month and based on that the calculations are made</text>
  </threadedComment>
  <threadedComment ref="C25" dT="2025-10-02T09:40:27.00" personId="{4D9BE69F-A665-4781-85A1-D80CE12975BE}" id="{44724CF8-8E6D-435D-8F09-BB20EB165C1B}" parentId="{125BEC1E-245A-4C9A-A0A9-4D2B90AD1CA7}">
    <text>yes</text>
  </threadedComment>
  <threadedComment ref="C25" dT="2025-10-08T12:12:32.37" personId="{4D9BE69F-A665-4781-85A1-D80CE12975BE}" id="{581EB673-21B3-43B0-96D6-09C7A6F4A912}" parentId="{125BEC1E-245A-4C9A-A0A9-4D2B90AD1CA7}">
    <text>But i considered the fact that  1 hectar farm could yield 10 ton mango every year</text>
  </threadedComment>
  <threadedComment ref="C26" dT="2025-10-01T11:08:38.21" personId="{02E52B62-B1FB-48C7-92A0-239BF5515333}" id="{F5972CDE-4248-415E-AF64-7D93634046F5}">
    <text>the selected size of the farm is the 2 hectar please do the calculatoins for that</text>
  </threadedComment>
  <threadedComment ref="C26" dT="2025-10-02T09:38:58.49" personId="{4D9BE69F-A665-4781-85A1-D80CE12975BE}" id="{1B868EBC-42DC-4C3B-BDF2-AB006DD434EB}" parentId="{F5972CDE-4248-415E-AF64-7D93634046F5}">
    <text>I thought we should use the last cohort findings.</text>
  </threadedComment>
  <threadedComment ref="B48" dT="2025-10-01T11:11:38.18" personId="{02E52B62-B1FB-48C7-92A0-239BF5515333}" id="{DF8695E9-6696-4920-8BDF-FD7B96FB6012}">
    <text>is there a calculation for 2 hectar?</text>
  </threadedComment>
  <threadedComment ref="B48" dT="2025-10-02T10:17:28.86" personId="{4D9BE69F-A665-4781-85A1-D80CE12975BE}" id="{8E9737F1-2EBA-4D2E-BFDF-C0767E46091A}" parentId="{DF8695E9-6696-4920-8BDF-FD7B96FB6012}">
    <text>I will include it.</text>
  </threadedComment>
  <threadedComment ref="D49" dT="2025-10-01T11:16:21.55" personId="{02E52B62-B1FB-48C7-92A0-239BF5515333}" id="{D279D25C-3385-411C-B4F1-7B65C1C8AEC6}">
    <text xml:space="preserve">what is the source of this calculation?
</text>
  </threadedComment>
  <threadedComment ref="D49" dT="2025-10-02T10:23:37.00" personId="{4D9BE69F-A665-4781-85A1-D80CE12975BE}" id="{48C6F360-A128-4E9B-94C8-5716C4B8DF52}" parentId="{D279D25C-3385-411C-B4F1-7B65C1C8AEC6}">
    <text>Over 10000 kg per year 8000 kg is usable can pass through the drying process regarding the  recovery rate.</text>
  </threadedComment>
  <threadedComment ref="E49" dT="2025-10-01T11:16:37.72" personId="{02E52B62-B1FB-48C7-92A0-239BF5515333}" id="{0515190D-1523-48D3-B116-8EDF74B7E455}">
    <text>how is this calculation made?</text>
  </threadedComment>
  <threadedComment ref="E49" dT="2025-10-02T09:33:49.25" personId="{4D9BE69F-A665-4781-85A1-D80CE12975BE}" id="{61F21AC4-6F6B-470C-914B-CD9377A16166}" parentId="{0515190D-1523-48D3-B116-8EDF74B7E455}">
    <text>I made a different file mentionning the formulas used accessible from the my homepage. I will ensure to include them into the excel sheet for easier understanding.</text>
  </threadedComment>
  <threadedComment ref="F49" dT="2025-10-01T11:18:47.45" personId="{02E52B62-B1FB-48C7-92A0-239BF5515333}" id="{624A26E7-0561-4706-998D-854E8C54F4DD}">
    <text>why is this column increasing? is the price increasing per time?</text>
  </threadedComment>
  <threadedComment ref="F49" dT="2025-10-08T13:57:00.27" personId="{4D9BE69F-A665-4781-85A1-D80CE12975BE}" id="{AE9F3116-0D6A-4472-AD49-30517138121F}" parentId="{624A26E7-0561-4706-998D-854E8C54F4DD}">
    <text>I sincerely apologize,this was a mistake.</text>
  </threadedComment>
  <threadedComment ref="H49" dT="2025-10-01T11:20:43.34" personId="{02E52B62-B1FB-48C7-92A0-239BF5515333}" id="{343D0121-6C45-4CAE-8065-B6BA7846309F}">
    <text>how is this value obtained? please use the formula mode in Excel e.g. =F46+E46*D47</text>
  </threadedComment>
  <threadedComment ref="H49" dT="2025-10-09T02:37:26.83" personId="{4D9BE69F-A665-4781-85A1-D80CE12975BE}" id="{986ECB99-5491-48E6-8A21-A6A85FBF6B4E}" parentId="{343D0121-6C45-4CAE-8065-B6BA7846309F}">
    <text>I added it</text>
  </threadedComment>
  <threadedComment ref="B125" dT="2025-10-01T11:11:38.18" personId="{02E52B62-B1FB-48C7-92A0-239BF5515333}" id="{B24F0E4A-1782-4739-8599-C50F0D4C0E24}">
    <text>is there a calculation for 2 hectar?</text>
  </threadedComment>
  <threadedComment ref="B125" dT="2025-10-02T10:17:28.86" personId="{4D9BE69F-A665-4781-85A1-D80CE12975BE}" id="{37AFBEB7-3363-437F-AD10-7793D5D34752}" parentId="{B24F0E4A-1782-4739-8599-C50F0D4C0E24}">
    <text>I will include it.</text>
  </threadedComment>
  <threadedComment ref="D126" dT="2025-10-01T11:16:21.55" personId="{02E52B62-B1FB-48C7-92A0-239BF5515333}" id="{49BAD0B2-8887-4A5E-90C8-1F2C46A611EA}">
    <text xml:space="preserve">what is the source of this calculation?
</text>
  </threadedComment>
  <threadedComment ref="D126" dT="2025-10-02T10:23:37.00" personId="{4D9BE69F-A665-4781-85A1-D80CE12975BE}" id="{1A806684-2A50-4AC3-873D-F1D779C25CB8}" parentId="{49BAD0B2-8887-4A5E-90C8-1F2C46A611EA}">
    <text>Over 10000 kg per year 8000 kg is usable can pass through the drying process regarding the  recovery rate.</text>
  </threadedComment>
  <threadedComment ref="E126" dT="2025-10-01T11:16:37.72" personId="{02E52B62-B1FB-48C7-92A0-239BF5515333}" id="{F541040C-BEE0-41F7-A593-2E9D0DF678BE}">
    <text>how is this calculation made?</text>
  </threadedComment>
  <threadedComment ref="E126" dT="2025-10-02T09:33:49.25" personId="{4D9BE69F-A665-4781-85A1-D80CE12975BE}" id="{F2472D38-4B72-4044-B128-8E509FD706AE}" parentId="{F541040C-BEE0-41F7-A593-2E9D0DF678BE}">
    <text>I made a different file mentionning the formulas used accessible from the my homepage. I will ensure to include them into the excel sheet for easier understanding.</text>
  </threadedComment>
  <threadedComment ref="F126" dT="2025-10-01T11:18:47.45" personId="{02E52B62-B1FB-48C7-92A0-239BF5515333}" id="{C87ABDE0-E7AD-4415-B3C2-3E9FBAD8B851}">
    <text>why is this column increasing? is the price increasing per time?</text>
  </threadedComment>
  <threadedComment ref="F126" dT="2025-10-08T13:57:00.27" personId="{4D9BE69F-A665-4781-85A1-D80CE12975BE}" id="{6388A5A2-84E4-48D4-BC11-9EA9C172F915}" parentId="{C87ABDE0-E7AD-4415-B3C2-3E9FBAD8B851}">
    <text>I sincerely apologize,this was a mistake.</text>
  </threadedComment>
  <threadedComment ref="H126" dT="2025-10-01T11:20:43.34" personId="{02E52B62-B1FB-48C7-92A0-239BF5515333}" id="{494C4857-ABBC-4C45-8BD1-2C6D1D43D130}">
    <text>how is this value obtained? please use the formula mode in Excel e.g. =F46+E46*D47</text>
  </threadedComment>
  <threadedComment ref="H126" dT="2025-10-09T02:37:26.83" personId="{4D9BE69F-A665-4781-85A1-D80CE12975BE}" id="{C9D75337-9225-4595-A24C-AEE9A1EE966B}" parentId="{494C4857-ABBC-4C45-8BD1-2C6D1D43D130}">
    <text>I added it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16" dT="2025-10-01T10:32:30.83" personId="{02E52B62-B1FB-48C7-92A0-239BF5515333}" id="{9F152FF6-AD8B-47A8-8004-B198D1AB1F82}">
    <text>where is the source of this value, report? study? historical data? or assumption</text>
  </threadedComment>
  <threadedComment ref="C16" dT="2025-10-02T09:59:59.62" personId="{4D9BE69F-A665-4781-85A1-D80CE12975BE}" id="{5B88D1FE-2140-4071-AF19-27CD3BAECA80}" parentId="{9F152FF6-AD8B-47A8-8004-B198D1AB1F82}">
    <text>https://www.researchgate.net/publication/242642925_The_mango_tree_in_central_and_northern_Benin_Cultivar_inventory_yield_assessment_infested_stages_and_loss_due_to_fruit_flies_Diptera_Tephritidae</text>
  </threadedComment>
  <threadedComment ref="C17" dT="2025-10-01T10:32:56.28" personId="{02E52B62-B1FB-48C7-92A0-239BF5515333}" id="{566EA0D0-E544-42B6-812A-028D87358BEE}">
    <text>what does recovery rate means?</text>
  </threadedComment>
  <threadedComment ref="C17" dT="2025-10-02T10:08:08.77" personId="{4D9BE69F-A665-4781-85A1-D80CE12975BE}" id="{610C23CC-38D7-4DE0-90CA-F71BDDFF9847}" parentId="{566EA0D0-E544-42B6-812A-028D87358BEE}">
    <text>The proportion of usable, good-quality product that remains after harvesting, handling, and processing compared to the total originally harvested.</text>
  </threadedComment>
  <threadedComment ref="C18" dT="2025-10-01T10:34:15.94" personId="{02E52B62-B1FB-48C7-92A0-239BF5515333}" id="{C42CB579-ECD9-4C85-82ED-C7CA8D66E49A}">
    <text>I understood the term transformation ration but I didn't get 4? e.g. if I put 1 kg of fresh mango how much dried mango I get?</text>
  </threadedComment>
  <threadedComment ref="C18" dT="2025-10-07T17:08:00.98" personId="{4D9BE69F-A665-4781-85A1-D80CE12975BE}" id="{37C8FECA-89EC-42ED-9EFC-4E17785751A5}" parentId="{C42CB579-ECD9-4C85-82ED-C7CA8D66E49A}">
    <text>I have added the link saying that It takes between 12 to 15 kg of fresh mangoes to produce 1 kg of dried fruit, although some estimates put the conversion rate closer to 10%. Then with 1 kg appying 10% outputs 0.1kg</text>
  </threadedComment>
  <threadedComment ref="C20" dT="2025-10-01T10:35:07.16" personId="{02E52B62-B1FB-48C7-92A0-239BF5515333}" id="{7516E66B-E591-4EF8-85EB-99BA6BBFE367}">
    <text>please indicate the source of the price is there a portal which tracks these information and publish them?</text>
  </threadedComment>
  <threadedComment ref="C20" dT="2025-10-08T12:13:48.87" personId="{4D9BE69F-A665-4781-85A1-D80CE12975BE}" id="{9F47FEA7-D6B1-40ED-9E52-4A5E285E6890}" parentId="{7516E66B-E591-4EF8-85EB-99BA6BBFE367}">
    <text>Alright</text>
  </threadedComment>
  <threadedComment ref="C22" dT="2025-10-01T10:35:33.38" personId="{02E52B62-B1FB-48C7-92A0-239BF5515333}" id="{6A972256-F4B4-4C99-AD96-FDAF431B0640}">
    <text>what is meant by campaign here?</text>
  </threadedComment>
  <threadedComment ref="C22" dT="2025-10-07T19:39:42.51" personId="{4D9BE69F-A665-4781-85A1-D80CE12975BE}" id="{49C872EF-2C5B-4E3E-87B3-56D21E44B0F4}" parentId="{6A972256-F4B4-4C99-AD96-FDAF431B0640}">
    <text>It refers to the mango active harvesting season in Burkina.</text>
  </threadedComment>
  <threadedComment ref="C24" dT="2025-10-01T10:36:12.27" personId="{02E52B62-B1FB-48C7-92A0-239BF5515333}" id="{F7A5B134-28E9-405A-8B6F-88B98C0E316B}">
    <text xml:space="preserve">make a calculation column in Euro values </text>
  </threadedComment>
  <threadedComment ref="C24" dT="2025-10-02T09:43:54.77" personId="{4D9BE69F-A665-4781-85A1-D80CE12975BE}" id="{7FA5D73E-764D-4796-ABE7-23742C30A589}" parentId="{F7A5B134-28E9-405A-8B6F-88B98C0E316B}">
    <text>Alright</text>
  </threadedComment>
  <threadedComment ref="C25" dT="2025-10-01T11:07:19.77" personId="{02E52B62-B1FB-48C7-92A0-239BF5515333}" id="{1CC22084-851C-45C6-9FE2-51A8833A2222}">
    <text>I am wondering here how did you consider the 1 hectar area, or 3 hectar area, did you consider that 2.2. 2hectar farm could yield 10 ton mango every month and based on that the calculations are made</text>
  </threadedComment>
  <threadedComment ref="C25" dT="2025-10-02T09:40:27.00" personId="{4D9BE69F-A665-4781-85A1-D80CE12975BE}" id="{C043BE11-52FE-42EE-B3B6-9FEA5A2A32D8}" parentId="{1CC22084-851C-45C6-9FE2-51A8833A2222}">
    <text>yes</text>
  </threadedComment>
  <threadedComment ref="C25" dT="2025-10-08T12:12:32.37" personId="{4D9BE69F-A665-4781-85A1-D80CE12975BE}" id="{CADEBAA9-5398-4E6E-81AA-5B60A7408A56}" parentId="{1CC22084-851C-45C6-9FE2-51A8833A2222}">
    <text>But i considered the fact that  1 hectar farm could yield 10 ton mango every year</text>
  </threadedComment>
  <threadedComment ref="C26" dT="2025-10-01T11:08:38.21" personId="{02E52B62-B1FB-48C7-92A0-239BF5515333}" id="{7484853F-1BBC-4C5D-ABCC-E307F2A08489}">
    <text>the selected size of the farm is the 2 hectar please do the calculatoins for that</text>
  </threadedComment>
  <threadedComment ref="C26" dT="2025-10-02T09:38:58.49" personId="{4D9BE69F-A665-4781-85A1-D80CE12975BE}" id="{B873D0B2-2DEF-49A6-AC43-A03022C19C0C}" parentId="{7484853F-1BBC-4C5D-ABCC-E307F2A08489}">
    <text>I thought we should use the last cohort findings.</text>
  </threadedComment>
  <threadedComment ref="B48" dT="2025-10-01T11:11:38.18" personId="{02E52B62-B1FB-48C7-92A0-239BF5515333}" id="{8F0ACF32-B859-4E70-8A1E-3466073CD0F1}">
    <text>is there a calculation for 2 hectar?</text>
  </threadedComment>
  <threadedComment ref="B48" dT="2025-10-02T10:17:28.86" personId="{4D9BE69F-A665-4781-85A1-D80CE12975BE}" id="{4E0CD412-6308-487B-97B7-A51DCB52F4A6}" parentId="{8F0ACF32-B859-4E70-8A1E-3466073CD0F1}">
    <text>I will include it.</text>
  </threadedComment>
  <threadedComment ref="D49" dT="2025-10-01T11:16:21.55" personId="{02E52B62-B1FB-48C7-92A0-239BF5515333}" id="{C0CC9F8F-52B7-4CBE-A467-7B5A8C3A9C09}">
    <text xml:space="preserve">what is the source of this calculation?
</text>
  </threadedComment>
  <threadedComment ref="D49" dT="2025-10-02T10:23:37.00" personId="{4D9BE69F-A665-4781-85A1-D80CE12975BE}" id="{425B387B-B3CC-47BA-A7C8-6DDD25A84E6B}" parentId="{C0CC9F8F-52B7-4CBE-A467-7B5A8C3A9C09}">
    <text>Over 10000 kg per year 8000 kg is usable can pass through the drying process regarding the  recovery rate.</text>
  </threadedComment>
  <threadedComment ref="E49" dT="2025-10-01T11:16:37.72" personId="{02E52B62-B1FB-48C7-92A0-239BF5515333}" id="{0A793C4C-3BB6-4EF7-830B-D6B344A96DE2}">
    <text>how is this calculation made?</text>
  </threadedComment>
  <threadedComment ref="E49" dT="2025-10-02T09:33:49.25" personId="{4D9BE69F-A665-4781-85A1-D80CE12975BE}" id="{8C45E9B3-26F7-4DDA-87A1-ACF8CAC314BA}" parentId="{0A793C4C-3BB6-4EF7-830B-D6B344A96DE2}">
    <text>I made a different file mentionning the formulas used accessible from the my homepage. I will ensure to include them into the excel sheet for easier understanding.</text>
  </threadedComment>
  <threadedComment ref="F49" dT="2025-10-01T11:18:47.45" personId="{02E52B62-B1FB-48C7-92A0-239BF5515333}" id="{DFB61F11-6968-4360-AD5C-01C3D228510B}">
    <text>why is this column increasing? is the price increasing per time?</text>
  </threadedComment>
  <threadedComment ref="F49" dT="2025-10-08T13:57:00.27" personId="{4D9BE69F-A665-4781-85A1-D80CE12975BE}" id="{140A9FE4-95EF-4EF6-924B-CBB6DE66C220}" parentId="{DFB61F11-6968-4360-AD5C-01C3D228510B}">
    <text>I sincerely apologize,this was a mistake.</text>
  </threadedComment>
  <threadedComment ref="H49" dT="2025-10-01T11:20:43.34" personId="{02E52B62-B1FB-48C7-92A0-239BF5515333}" id="{F14C2C92-BA57-4466-A3DB-12EC4B0E41A6}">
    <text>how is this value obtained? please use the formula mode in Excel e.g. =F46+E46*D47</text>
  </threadedComment>
  <threadedComment ref="H49" dT="2025-10-09T02:37:26.83" personId="{4D9BE69F-A665-4781-85A1-D80CE12975BE}" id="{9454B6DE-ABDB-4F43-A53F-1A95DF15DCBF}" parentId="{F14C2C92-BA57-4466-A3DB-12EC4B0E41A6}">
    <text>I added it</text>
  </threadedComment>
  <threadedComment ref="B125" dT="2025-10-01T11:11:38.18" personId="{02E52B62-B1FB-48C7-92A0-239BF5515333}" id="{896BBB76-E938-400F-BB94-563C48DD21BE}">
    <text>is there a calculation for 2 hectar?</text>
  </threadedComment>
  <threadedComment ref="B125" dT="2025-10-02T10:17:28.86" personId="{4D9BE69F-A665-4781-85A1-D80CE12975BE}" id="{21DE06DB-E374-425A-AAF1-1783FD9D70DD}" parentId="{896BBB76-E938-400F-BB94-563C48DD21BE}">
    <text>I will include it.</text>
  </threadedComment>
  <threadedComment ref="D126" dT="2025-10-01T11:16:21.55" personId="{02E52B62-B1FB-48C7-92A0-239BF5515333}" id="{57A00F6D-D7AF-4C47-8100-151C347A6C1C}">
    <text xml:space="preserve">what is the source of this calculation?
</text>
  </threadedComment>
  <threadedComment ref="D126" dT="2025-10-02T10:23:37.00" personId="{4D9BE69F-A665-4781-85A1-D80CE12975BE}" id="{519A3A67-5795-4B73-B69B-EEC7E127291B}" parentId="{57A00F6D-D7AF-4C47-8100-151C347A6C1C}">
    <text>Over 10000 kg per year 8000 kg is usable can pass through the drying process regarding the  recovery rate.</text>
  </threadedComment>
  <threadedComment ref="E126" dT="2025-10-01T11:16:37.72" personId="{02E52B62-B1FB-48C7-92A0-239BF5515333}" id="{6ABA4F27-CDB3-4ED7-883C-F5EFE05349D3}">
    <text>how is this calculation made?</text>
  </threadedComment>
  <threadedComment ref="E126" dT="2025-10-02T09:33:49.25" personId="{4D9BE69F-A665-4781-85A1-D80CE12975BE}" id="{3DAC3C76-F40C-493F-8559-83251190A9F5}" parentId="{6ABA4F27-CDB3-4ED7-883C-F5EFE05349D3}">
    <text>I made a different file mentionning the formulas used accessible from the my homepage. I will ensure to include them into the excel sheet for easier understanding.</text>
  </threadedComment>
  <threadedComment ref="F126" dT="2025-10-01T11:18:47.45" personId="{02E52B62-B1FB-48C7-92A0-239BF5515333}" id="{19E1D45B-A45C-4EF1-A21E-94B689B66B1E}">
    <text>why is this column increasing? is the price increasing per time?</text>
  </threadedComment>
  <threadedComment ref="F126" dT="2025-10-08T13:57:00.27" personId="{4D9BE69F-A665-4781-85A1-D80CE12975BE}" id="{915C2A12-50C8-4622-8C24-50815FE7162C}" parentId="{19E1D45B-A45C-4EF1-A21E-94B689B66B1E}">
    <text>I sincerely apologize,this was a mistake.</text>
  </threadedComment>
  <threadedComment ref="H126" dT="2025-10-01T11:20:43.34" personId="{02E52B62-B1FB-48C7-92A0-239BF5515333}" id="{F9070219-9BA1-419C-8F96-C02F3A67CBF8}">
    <text>how is this value obtained? please use the formula mode in Excel e.g. =F46+E46*D47</text>
  </threadedComment>
  <threadedComment ref="H126" dT="2025-10-09T02:37:26.83" personId="{4D9BE69F-A665-4781-85A1-D80CE12975BE}" id="{D618BBA0-CF34-402D-A624-9E9075663C84}" parentId="{F9070219-9BA1-419C-8F96-C02F3A67CBF8}">
    <text>I added it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4" dT="2025-10-01T16:07:44.22" personId="{02E52B62-B1FB-48C7-92A0-239BF5515333}" id="{2057BC50-2FB4-4737-A9F7-799BCFC0BEE7}">
    <text>is this a small pump? would it be enough for the farm?</text>
  </threadedComment>
  <threadedComment ref="C5" dT="2025-10-01T16:08:05.67" personId="{02E52B62-B1FB-48C7-92A0-239BF5515333}" id="{C6353A66-E392-49DB-BFDF-8484511A7CC8}">
    <text>why did you assume that the pump is needed only for 4 hours?</text>
  </threadedComment>
  <threadedComment ref="B8" dT="2025-10-01T16:08:23.67" personId="{02E52B62-B1FB-48C7-92A0-239BF5515333}" id="{FD2D9EAE-BDCF-46E7-B61F-ABFAA18D7E3A}">
    <text>what is meant by Misc??</text>
  </threadedComment>
  <threadedComment ref="B12" dT="2025-10-01T16:08:52.58" personId="{02E52B62-B1FB-48C7-92A0-239BF5515333}" id="{FA25FB5E-137C-4583-81C6-699DC5C8F135}">
    <text>what does PSH stands for? could you explain?</text>
  </threadedComment>
  <threadedComment ref="B15" dT="2025-10-01T16:09:38.99" personId="{02E52B62-B1FB-48C7-92A0-239BF5515333}" id="{976A7DD3-3766-4FAD-8D8E-E1D7EB52E343}">
    <text>what is meant by Derate?</text>
  </threadedComment>
  <threadedComment ref="B25" dT="2025-10-01T16:10:56.33" personId="{02E52B62-B1FB-48C7-92A0-239BF5515333}" id="{8A2FF993-3F77-4D6C-831C-0BC82BCA3533}">
    <text>please add the costs calculations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18" dT="2025-10-01T16:43:12.27" personId="{02E52B62-B1FB-48C7-92A0-239BF5515333}" id="{5B692EBC-535C-4702-B45A-9B4DA3629A2C}">
    <text>what would be the payback period of this investment?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seau.org/outils/ouvrages/2ie_actes_de_la_conference_biocarburants_bioenergies_ouagadougou_2013_2013.pdf" TargetMode="External"/><Relationship Id="rId13" Type="http://schemas.openxmlformats.org/officeDocument/2006/relationships/table" Target="../tables/table2.xml"/><Relationship Id="rId18" Type="http://schemas.openxmlformats.org/officeDocument/2006/relationships/table" Target="../tables/table7.xml"/><Relationship Id="rId3" Type="http://schemas.openxmlformats.org/officeDocument/2006/relationships/hyperlink" Target="https://www.researchgate.net/publication/337149963_POSTHARVEST_LOSSES_OF_MANGOES_AT_DIFFERENT_STAGES_FROM_HARVESTING_TO_CONSUMPTION" TargetMode="External"/><Relationship Id="rId21" Type="http://schemas.openxmlformats.org/officeDocument/2006/relationships/table" Target="../tables/table10.xml"/><Relationship Id="rId7" Type="http://schemas.openxmlformats.org/officeDocument/2006/relationships/hyperlink" Target="https://eservices.colead.link/en/system/files/file_fields/2024/01/17/sectorstudymangofileengweb.pdfhttps:/eservices.colead.link/en/system/files/file_fields/2024/01/17/sectorstudymangofileengweb.pdf" TargetMode="External"/><Relationship Id="rId12" Type="http://schemas.openxmlformats.org/officeDocument/2006/relationships/table" Target="../tables/table1.xml"/><Relationship Id="rId17" Type="http://schemas.openxmlformats.org/officeDocument/2006/relationships/table" Target="../tables/table6.xml"/><Relationship Id="rId25" Type="http://schemas.microsoft.com/office/2017/10/relationships/threadedComment" Target="../threadedComments/threadedComment3.xml"/><Relationship Id="rId2" Type="http://schemas.openxmlformats.org/officeDocument/2006/relationships/hyperlink" Target="https://www.cbi.eu/market-information/processed-fruit-vegetables-edible-nuts/dried-mango/market-potential" TargetMode="External"/><Relationship Id="rId16" Type="http://schemas.openxmlformats.org/officeDocument/2006/relationships/table" Target="../tables/table5.xml"/><Relationship Id="rId20" Type="http://schemas.openxmlformats.org/officeDocument/2006/relationships/table" Target="../tables/table9.xml"/><Relationship Id="rId1" Type="http://schemas.openxmlformats.org/officeDocument/2006/relationships/hyperlink" Target="https://www.journalijar.com/article/46868/potential-availability-of-mango-by-products-in-the-bobo-dioulasso-and-orodara-areas-of-burkina-faso%3A-assessment-of-the-quantities-of-mango-by-products-and-mango-feed-producible-for-ruminants/" TargetMode="External"/><Relationship Id="rId6" Type="http://schemas.openxmlformats.org/officeDocument/2006/relationships/hyperlink" Target="https://thaiscience.info/Journals/Article/SNRU/10997761.pdf" TargetMode="External"/><Relationship Id="rId11" Type="http://schemas.openxmlformats.org/officeDocument/2006/relationships/vmlDrawing" Target="../drawings/vmlDrawing3.vml"/><Relationship Id="rId24" Type="http://schemas.openxmlformats.org/officeDocument/2006/relationships/comments" Target="../comments3.xml"/><Relationship Id="rId5" Type="http://schemas.openxmlformats.org/officeDocument/2006/relationships/hyperlink" Target="https://www.researchgate.net/publication/242642925_The_mango_tree_in_central_and_northern_Benin_Cultivar_inventory_yield_assessment_infested_stages_and_loss_due_to_fruit_flies_Diptera_Tephritidae" TargetMode="External"/><Relationship Id="rId15" Type="http://schemas.openxmlformats.org/officeDocument/2006/relationships/table" Target="../tables/table4.xml"/><Relationship Id="rId23" Type="http://schemas.openxmlformats.org/officeDocument/2006/relationships/table" Target="../tables/table12.xml"/><Relationship Id="rId10" Type="http://schemas.openxmlformats.org/officeDocument/2006/relationships/hyperlink" Target="https://www.pseau.org/outils/ouvrages/2ie_actes_de_la_conference_biocarburants_bioenergies_ouagadougou_2013_2013.pdf" TargetMode="External"/><Relationship Id="rId19" Type="http://schemas.openxmlformats.org/officeDocument/2006/relationships/table" Target="../tables/table8.xml"/><Relationship Id="rId4" Type="http://schemas.openxmlformats.org/officeDocument/2006/relationships/hyperlink" Target="https://www.gebana.com/eu-en/dried-fruits-mangos-amelie-bio-burkina-faso-quantity" TargetMode="External"/><Relationship Id="rId9" Type="http://schemas.openxmlformats.org/officeDocument/2006/relationships/hyperlink" Target="https://www.pseau.org/outils/ouvrages/2ie_actes_de_la_conference_biocarburants_bioenergies_ouagadougou_2013_2013.pdf" TargetMode="External"/><Relationship Id="rId14" Type="http://schemas.openxmlformats.org/officeDocument/2006/relationships/table" Target="../tables/table3.xml"/><Relationship Id="rId22" Type="http://schemas.openxmlformats.org/officeDocument/2006/relationships/table" Target="../tables/table1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seau.org/outils/ouvrages/2ie_actes_de_la_conference_biocarburants_bioenergies_ouagadougou_2013_2013.pdf" TargetMode="External"/><Relationship Id="rId13" Type="http://schemas.openxmlformats.org/officeDocument/2006/relationships/table" Target="../tables/table14.xml"/><Relationship Id="rId18" Type="http://schemas.openxmlformats.org/officeDocument/2006/relationships/table" Target="../tables/table19.xml"/><Relationship Id="rId3" Type="http://schemas.openxmlformats.org/officeDocument/2006/relationships/hyperlink" Target="https://www.researchgate.net/publication/337149963_POSTHARVEST_LOSSES_OF_MANGOES_AT_DIFFERENT_STAGES_FROM_HARVESTING_TO_CONSUMPTION" TargetMode="External"/><Relationship Id="rId21" Type="http://schemas.openxmlformats.org/officeDocument/2006/relationships/table" Target="../tables/table22.xml"/><Relationship Id="rId7" Type="http://schemas.openxmlformats.org/officeDocument/2006/relationships/hyperlink" Target="https://eservices.colead.link/en/system/files/file_fields/2024/01/17/sectorstudymangofileengweb.pdfhttps:/eservices.colead.link/en/system/files/file_fields/2024/01/17/sectorstudymangofileengweb.pdf" TargetMode="External"/><Relationship Id="rId12" Type="http://schemas.openxmlformats.org/officeDocument/2006/relationships/table" Target="../tables/table13.xml"/><Relationship Id="rId17" Type="http://schemas.openxmlformats.org/officeDocument/2006/relationships/table" Target="../tables/table18.xml"/><Relationship Id="rId25" Type="http://schemas.microsoft.com/office/2017/10/relationships/threadedComment" Target="../threadedComments/threadedComment4.xml"/><Relationship Id="rId2" Type="http://schemas.openxmlformats.org/officeDocument/2006/relationships/hyperlink" Target="https://www.cbi.eu/market-information/processed-fruit-vegetables-edible-nuts/dried-mango/market-potential" TargetMode="External"/><Relationship Id="rId16" Type="http://schemas.openxmlformats.org/officeDocument/2006/relationships/table" Target="../tables/table17.xml"/><Relationship Id="rId20" Type="http://schemas.openxmlformats.org/officeDocument/2006/relationships/table" Target="../tables/table21.xml"/><Relationship Id="rId1" Type="http://schemas.openxmlformats.org/officeDocument/2006/relationships/hyperlink" Target="https://www.journalijar.com/article/46868/potential-availability-of-mango-by-products-in-the-bobo-dioulasso-and-orodara-areas-of-burkina-faso%3A-assessment-of-the-quantities-of-mango-by-products-and-mango-feed-producible-for-ruminants/" TargetMode="External"/><Relationship Id="rId6" Type="http://schemas.openxmlformats.org/officeDocument/2006/relationships/hyperlink" Target="https://thaiscience.info/Journals/Article/SNRU/10997761.pdf" TargetMode="External"/><Relationship Id="rId11" Type="http://schemas.openxmlformats.org/officeDocument/2006/relationships/vmlDrawing" Target="../drawings/vmlDrawing4.vml"/><Relationship Id="rId24" Type="http://schemas.openxmlformats.org/officeDocument/2006/relationships/comments" Target="../comments4.xml"/><Relationship Id="rId5" Type="http://schemas.openxmlformats.org/officeDocument/2006/relationships/hyperlink" Target="https://www.researchgate.net/publication/242642925_The_mango_tree_in_central_and_northern_Benin_Cultivar_inventory_yield_assessment_infested_stages_and_loss_due_to_fruit_flies_Diptera_Tephritidae" TargetMode="External"/><Relationship Id="rId15" Type="http://schemas.openxmlformats.org/officeDocument/2006/relationships/table" Target="../tables/table16.xml"/><Relationship Id="rId23" Type="http://schemas.openxmlformats.org/officeDocument/2006/relationships/table" Target="../tables/table24.xml"/><Relationship Id="rId10" Type="http://schemas.openxmlformats.org/officeDocument/2006/relationships/hyperlink" Target="https://www.pseau.org/outils/ouvrages/2ie_actes_de_la_conference_biocarburants_bioenergies_ouagadougou_2013_2013.pdf" TargetMode="External"/><Relationship Id="rId19" Type="http://schemas.openxmlformats.org/officeDocument/2006/relationships/table" Target="../tables/table20.xml"/><Relationship Id="rId4" Type="http://schemas.openxmlformats.org/officeDocument/2006/relationships/hyperlink" Target="https://www.gebana.com/eu-en/dried-fruits-mangos-amelie-bio-burkina-faso-quantity" TargetMode="External"/><Relationship Id="rId9" Type="http://schemas.openxmlformats.org/officeDocument/2006/relationships/hyperlink" Target="https://www.pseau.org/outils/ouvrages/2ie_actes_de_la_conference_biocarburants_bioenergies_ouagadougou_2013_2013.pdf" TargetMode="External"/><Relationship Id="rId14" Type="http://schemas.openxmlformats.org/officeDocument/2006/relationships/table" Target="../tables/table15.xml"/><Relationship Id="rId22" Type="http://schemas.openxmlformats.org/officeDocument/2006/relationships/table" Target="../tables/table23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vmlDrawing" Target="../drawings/vmlDrawing6.vml"/><Relationship Id="rId5" Type="http://schemas.microsoft.com/office/2017/10/relationships/threadedComment" Target="../threadedComments/threadedComment6.xml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L33:L36"/>
  <sheetViews>
    <sheetView workbookViewId="0"/>
  </sheetViews>
  <sheetFormatPr defaultRowHeight="15"/>
  <cols>
    <col min="1" max="1" width="22" customWidth="1"/>
    <col min="2" max="2" width="20.7109375" customWidth="1"/>
    <col min="3" max="3" width="24.85546875" customWidth="1"/>
    <col min="4" max="4" width="20" customWidth="1"/>
    <col min="5" max="5" width="12.42578125" customWidth="1"/>
    <col min="8" max="8" width="25.85546875" bestFit="1" customWidth="1"/>
    <col min="9" max="9" width="14.140625" customWidth="1"/>
  </cols>
  <sheetData>
    <row r="33" spans="12:12" ht="18" customHeight="1">
      <c r="L33" s="22"/>
    </row>
    <row r="34" spans="12:12" ht="19.5" customHeight="1"/>
    <row r="35" spans="12:12" ht="15.75" customHeight="1"/>
    <row r="36" spans="12:12" ht="20.2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1C921-7FCF-49CE-AD71-D6F3A8AFB092}">
  <dimension ref="A1:O76"/>
  <sheetViews>
    <sheetView topLeftCell="A66" workbookViewId="0">
      <selection activeCell="A60" sqref="A60:C71"/>
    </sheetView>
  </sheetViews>
  <sheetFormatPr defaultRowHeight="15"/>
  <cols>
    <col min="1" max="1" width="36.28515625" customWidth="1"/>
    <col min="2" max="2" width="25" customWidth="1"/>
    <col min="3" max="3" width="30.140625" customWidth="1"/>
    <col min="4" max="4" width="20.42578125" style="55" customWidth="1"/>
    <col min="5" max="5" width="20" style="55" customWidth="1"/>
    <col min="6" max="6" width="31.7109375" customWidth="1"/>
    <col min="7" max="7" width="19.5703125" customWidth="1"/>
    <col min="8" max="8" width="26" customWidth="1"/>
    <col min="9" max="9" width="18.28515625" customWidth="1"/>
    <col min="10" max="10" width="19.42578125" customWidth="1"/>
    <col min="11" max="11" width="20" customWidth="1"/>
    <col min="12" max="12" width="24.28515625" customWidth="1"/>
  </cols>
  <sheetData>
    <row r="1" spans="1:15" ht="18.75">
      <c r="A1" s="278" t="s">
        <v>0</v>
      </c>
      <c r="B1" s="278"/>
      <c r="C1" s="278"/>
      <c r="D1" s="258"/>
      <c r="E1" s="258"/>
    </row>
    <row r="2" spans="1:15" ht="15.75">
      <c r="A2" s="185" t="s">
        <v>1</v>
      </c>
      <c r="B2" s="185" t="s">
        <v>2</v>
      </c>
      <c r="C2" s="185" t="s">
        <v>3</v>
      </c>
      <c r="D2" s="258"/>
      <c r="E2" s="258"/>
    </row>
    <row r="3" spans="1:15">
      <c r="A3" s="56" t="s">
        <v>4</v>
      </c>
      <c r="B3" s="56">
        <v>50</v>
      </c>
      <c r="C3" s="57" t="s">
        <v>5</v>
      </c>
      <c r="D3" s="258"/>
      <c r="E3" s="258"/>
    </row>
    <row r="4" spans="1:15">
      <c r="A4" s="195" t="s">
        <v>6</v>
      </c>
      <c r="B4" s="195">
        <v>200</v>
      </c>
      <c r="C4" s="195" t="s">
        <v>5</v>
      </c>
      <c r="D4" s="258"/>
      <c r="E4" s="258"/>
    </row>
    <row r="5" spans="1:15">
      <c r="A5" s="56" t="s">
        <v>7</v>
      </c>
      <c r="B5" s="56">
        <v>1000</v>
      </c>
      <c r="C5" s="56" t="s">
        <v>8</v>
      </c>
      <c r="D5" s="258"/>
      <c r="E5" s="258"/>
    </row>
    <row r="6" spans="1:15">
      <c r="A6" s="56" t="s">
        <v>9</v>
      </c>
      <c r="B6" s="56">
        <v>5000</v>
      </c>
      <c r="C6" s="56" t="s">
        <v>8</v>
      </c>
      <c r="D6" s="258"/>
      <c r="E6" s="258"/>
    </row>
    <row r="10" spans="1:15">
      <c r="D10" s="258"/>
      <c r="E10" s="258"/>
      <c r="O10" t="s">
        <v>10</v>
      </c>
    </row>
    <row r="12" spans="1:15" ht="15.75">
      <c r="A12" s="185" t="s">
        <v>11</v>
      </c>
      <c r="B12" s="185" t="s">
        <v>12</v>
      </c>
      <c r="C12" s="185" t="s">
        <v>2</v>
      </c>
      <c r="D12" s="185" t="s">
        <v>13</v>
      </c>
      <c r="E12" s="258"/>
    </row>
    <row r="13" spans="1:15">
      <c r="A13" s="279" t="s">
        <v>14</v>
      </c>
      <c r="B13" s="58" t="s">
        <v>15</v>
      </c>
      <c r="C13" s="58">
        <v>50</v>
      </c>
      <c r="D13" s="59">
        <v>10000</v>
      </c>
      <c r="E13" s="258"/>
    </row>
    <row r="14" spans="1:15">
      <c r="A14" s="280"/>
      <c r="B14" s="58">
        <v>2</v>
      </c>
      <c r="C14" s="58">
        <v>200</v>
      </c>
      <c r="D14" s="59" t="s">
        <v>16</v>
      </c>
      <c r="E14" s="258"/>
    </row>
    <row r="15" spans="1:15">
      <c r="A15" s="280"/>
      <c r="B15" s="58">
        <v>10</v>
      </c>
      <c r="C15" s="58">
        <v>1000</v>
      </c>
      <c r="D15" s="59" t="s">
        <v>17</v>
      </c>
      <c r="E15" s="258"/>
    </row>
    <row r="16" spans="1:15">
      <c r="A16" s="281"/>
      <c r="B16" s="58">
        <v>50</v>
      </c>
      <c r="C16" s="58">
        <v>5000</v>
      </c>
      <c r="D16" s="59" t="s">
        <v>18</v>
      </c>
      <c r="E16" s="258"/>
    </row>
    <row r="17" spans="1:11">
      <c r="A17" s="282" t="s">
        <v>19</v>
      </c>
      <c r="B17" s="259" t="s">
        <v>15</v>
      </c>
      <c r="C17" s="259">
        <v>50</v>
      </c>
      <c r="D17" s="60" t="s">
        <v>20</v>
      </c>
      <c r="E17" s="258"/>
    </row>
    <row r="18" spans="1:11">
      <c r="A18" s="283"/>
      <c r="B18" s="195">
        <v>2</v>
      </c>
      <c r="C18" s="195">
        <v>200</v>
      </c>
      <c r="D18" s="196" t="s">
        <v>21</v>
      </c>
      <c r="E18" s="258"/>
    </row>
    <row r="19" spans="1:11">
      <c r="A19" s="283"/>
      <c r="B19" s="58">
        <v>10</v>
      </c>
      <c r="C19" s="58">
        <v>1000</v>
      </c>
      <c r="D19" s="61" t="s">
        <v>22</v>
      </c>
      <c r="E19" s="258"/>
    </row>
    <row r="20" spans="1:11">
      <c r="A20" s="284"/>
      <c r="B20" s="58">
        <v>50</v>
      </c>
      <c r="C20" s="58">
        <v>5000</v>
      </c>
      <c r="D20" s="61" t="s">
        <v>23</v>
      </c>
      <c r="E20" s="258"/>
    </row>
    <row r="21" spans="1:11">
      <c r="A21" s="279" t="s">
        <v>24</v>
      </c>
      <c r="B21" s="259" t="s">
        <v>15</v>
      </c>
      <c r="C21" s="259">
        <v>50</v>
      </c>
      <c r="D21" s="60" t="s">
        <v>25</v>
      </c>
      <c r="E21" s="258"/>
    </row>
    <row r="22" spans="1:11">
      <c r="A22" s="280"/>
      <c r="B22" s="58">
        <v>2</v>
      </c>
      <c r="C22" s="58">
        <v>200</v>
      </c>
      <c r="D22" s="61" t="s">
        <v>26</v>
      </c>
      <c r="E22" s="258"/>
    </row>
    <row r="23" spans="1:11">
      <c r="A23" s="280"/>
      <c r="B23" s="58">
        <v>10</v>
      </c>
      <c r="C23" s="58">
        <v>1000</v>
      </c>
      <c r="D23" s="61" t="s">
        <v>27</v>
      </c>
      <c r="E23" s="258"/>
    </row>
    <row r="24" spans="1:11">
      <c r="A24" s="281"/>
      <c r="B24" s="58">
        <v>50</v>
      </c>
      <c r="C24" s="58">
        <v>5000</v>
      </c>
      <c r="D24" s="61" t="s">
        <v>28</v>
      </c>
      <c r="E24" s="258"/>
    </row>
    <row r="26" spans="1:11" ht="15.75">
      <c r="A26" s="285" t="s">
        <v>29</v>
      </c>
      <c r="B26" s="285"/>
      <c r="C26" s="285"/>
      <c r="D26" s="285"/>
      <c r="E26" s="285"/>
    </row>
    <row r="30" spans="1:11" ht="21">
      <c r="D30" s="258"/>
      <c r="E30" s="258"/>
      <c r="H30" s="296" t="s">
        <v>30</v>
      </c>
      <c r="I30" s="297"/>
      <c r="J30" s="297"/>
      <c r="K30" s="297"/>
    </row>
    <row r="31" spans="1:11" ht="18.75">
      <c r="A31" s="287" t="s">
        <v>31</v>
      </c>
      <c r="B31" s="287"/>
      <c r="C31" s="287"/>
      <c r="D31" s="258"/>
      <c r="E31" s="258"/>
      <c r="H31" s="188" t="s">
        <v>32</v>
      </c>
      <c r="I31" s="298" t="s">
        <v>33</v>
      </c>
      <c r="J31" s="299"/>
      <c r="K31" s="300"/>
    </row>
    <row r="32" spans="1:11" ht="15.75">
      <c r="A32" s="185" t="s">
        <v>34</v>
      </c>
      <c r="B32" s="187" t="s">
        <v>35</v>
      </c>
      <c r="C32" s="186"/>
      <c r="D32" s="258"/>
      <c r="E32" s="258"/>
      <c r="H32" s="189" t="s">
        <v>36</v>
      </c>
      <c r="I32" s="301" t="s">
        <v>37</v>
      </c>
      <c r="J32" s="302"/>
      <c r="K32" s="303"/>
    </row>
    <row r="33" spans="1:12">
      <c r="A33" s="56" t="s">
        <v>38</v>
      </c>
      <c r="B33" s="62" t="s">
        <v>39</v>
      </c>
      <c r="C33" s="63"/>
      <c r="D33" s="258"/>
      <c r="E33" s="258"/>
      <c r="H33" s="190" t="s">
        <v>40</v>
      </c>
      <c r="I33" s="288" t="s">
        <v>41</v>
      </c>
      <c r="J33" s="289"/>
      <c r="K33" s="290"/>
    </row>
    <row r="34" spans="1:12">
      <c r="A34" s="56" t="s">
        <v>42</v>
      </c>
      <c r="B34" s="62" t="s">
        <v>43</v>
      </c>
      <c r="C34" s="63"/>
      <c r="D34" s="258"/>
      <c r="E34" s="258"/>
      <c r="H34" s="213" t="s">
        <v>44</v>
      </c>
      <c r="I34" s="304" t="s">
        <v>45</v>
      </c>
      <c r="J34" s="305"/>
      <c r="K34" s="306"/>
    </row>
    <row r="35" spans="1:12">
      <c r="A35" s="56" t="s">
        <v>46</v>
      </c>
      <c r="B35" s="62" t="s">
        <v>47</v>
      </c>
      <c r="C35" s="63"/>
      <c r="D35" s="258"/>
      <c r="E35" s="258"/>
      <c r="H35" s="191" t="s">
        <v>48</v>
      </c>
      <c r="I35" s="288" t="s">
        <v>49</v>
      </c>
      <c r="J35" s="289"/>
      <c r="K35" s="290"/>
    </row>
    <row r="36" spans="1:12">
      <c r="A36" s="56" t="s">
        <v>50</v>
      </c>
      <c r="B36" s="62" t="s">
        <v>51</v>
      </c>
      <c r="C36" s="63"/>
      <c r="D36" s="258"/>
      <c r="E36" s="258"/>
      <c r="H36" s="192" t="s">
        <v>52</v>
      </c>
      <c r="I36" s="291" t="s">
        <v>53</v>
      </c>
      <c r="J36" s="292"/>
      <c r="K36" s="293"/>
    </row>
    <row r="37" spans="1:12">
      <c r="A37" s="56" t="s">
        <v>54</v>
      </c>
      <c r="B37" s="62" t="s">
        <v>55</v>
      </c>
      <c r="C37" s="63"/>
      <c r="D37" s="258"/>
      <c r="E37" s="258"/>
    </row>
    <row r="41" spans="1:12" ht="21">
      <c r="A41" s="287" t="s">
        <v>56</v>
      </c>
      <c r="B41" s="287"/>
      <c r="C41" s="287"/>
      <c r="D41" s="287"/>
      <c r="E41" s="287"/>
      <c r="H41" s="294" t="s">
        <v>57</v>
      </c>
      <c r="I41" s="295"/>
      <c r="J41" s="295"/>
      <c r="K41" s="295"/>
      <c r="L41" s="295"/>
    </row>
    <row r="42" spans="1:12" ht="15.75">
      <c r="A42" s="185" t="s">
        <v>58</v>
      </c>
      <c r="B42" s="185" t="s">
        <v>59</v>
      </c>
      <c r="C42" s="185" t="s">
        <v>60</v>
      </c>
      <c r="D42" s="185" t="s">
        <v>61</v>
      </c>
      <c r="E42" s="185" t="s">
        <v>62</v>
      </c>
      <c r="H42" s="185"/>
      <c r="I42" s="185" t="s">
        <v>59</v>
      </c>
      <c r="J42" s="185" t="s">
        <v>60</v>
      </c>
      <c r="K42" s="185" t="s">
        <v>61</v>
      </c>
      <c r="L42" s="185" t="s">
        <v>62</v>
      </c>
    </row>
    <row r="43" spans="1:12">
      <c r="A43" s="210" t="s">
        <v>63</v>
      </c>
      <c r="B43" s="209" t="s">
        <v>64</v>
      </c>
      <c r="C43" s="211" t="s">
        <v>65</v>
      </c>
      <c r="D43" s="209">
        <v>12000000</v>
      </c>
      <c r="E43" s="208" t="s">
        <v>66</v>
      </c>
      <c r="H43" s="56" t="s">
        <v>67</v>
      </c>
      <c r="I43" s="66" t="s">
        <v>68</v>
      </c>
      <c r="J43" s="193" t="s">
        <v>69</v>
      </c>
      <c r="K43" s="64" t="s">
        <v>70</v>
      </c>
      <c r="L43" s="65" t="s">
        <v>71</v>
      </c>
    </row>
    <row r="44" spans="1:12">
      <c r="A44" s="207" t="s">
        <v>72</v>
      </c>
      <c r="B44" s="209" t="s">
        <v>73</v>
      </c>
      <c r="C44" s="211" t="s">
        <v>74</v>
      </c>
      <c r="D44" s="209">
        <v>7000000</v>
      </c>
      <c r="E44" s="208" t="s">
        <v>75</v>
      </c>
      <c r="H44" s="56" t="s">
        <v>76</v>
      </c>
      <c r="I44" s="64" t="s">
        <v>77</v>
      </c>
      <c r="J44" s="193" t="s">
        <v>78</v>
      </c>
      <c r="K44" s="64" t="s">
        <v>68</v>
      </c>
      <c r="L44" s="65" t="s">
        <v>79</v>
      </c>
    </row>
    <row r="45" spans="1:12">
      <c r="A45" s="210" t="s">
        <v>80</v>
      </c>
      <c r="B45" s="209" t="s">
        <v>81</v>
      </c>
      <c r="C45" s="211" t="s">
        <v>82</v>
      </c>
      <c r="D45" s="209">
        <v>3500000</v>
      </c>
      <c r="E45" s="208" t="s">
        <v>83</v>
      </c>
      <c r="H45" s="56" t="s">
        <v>84</v>
      </c>
      <c r="I45" s="64" t="s">
        <v>85</v>
      </c>
      <c r="J45" s="193" t="s">
        <v>75</v>
      </c>
      <c r="K45" s="64" t="s">
        <v>86</v>
      </c>
      <c r="L45" s="65" t="s">
        <v>87</v>
      </c>
    </row>
    <row r="46" spans="1:12">
      <c r="A46" s="210" t="s">
        <v>88</v>
      </c>
      <c r="B46" s="209" t="s">
        <v>89</v>
      </c>
      <c r="C46" s="211" t="s">
        <v>90</v>
      </c>
      <c r="D46" s="209" t="s">
        <v>91</v>
      </c>
      <c r="E46" s="208" t="s">
        <v>92</v>
      </c>
      <c r="H46" s="72" t="s">
        <v>93</v>
      </c>
      <c r="I46" s="70" t="s">
        <v>94</v>
      </c>
      <c r="J46" s="193" t="s">
        <v>95</v>
      </c>
      <c r="K46" s="70" t="s">
        <v>96</v>
      </c>
      <c r="L46" s="71" t="s">
        <v>97</v>
      </c>
    </row>
    <row r="47" spans="1:12">
      <c r="A47" s="206" t="s">
        <v>98</v>
      </c>
      <c r="B47" s="205" t="s">
        <v>18</v>
      </c>
      <c r="C47" s="212" t="s">
        <v>64</v>
      </c>
      <c r="D47" s="205" t="s">
        <v>99</v>
      </c>
      <c r="E47" s="204" t="s">
        <v>83</v>
      </c>
      <c r="H47" s="76" t="s">
        <v>100</v>
      </c>
      <c r="I47" s="64" t="s">
        <v>101</v>
      </c>
      <c r="J47" s="194" t="s">
        <v>102</v>
      </c>
      <c r="K47" s="67" t="s">
        <v>103</v>
      </c>
      <c r="L47" s="65" t="s">
        <v>104</v>
      </c>
    </row>
    <row r="48" spans="1:12">
      <c r="A48" s="74" t="s">
        <v>105</v>
      </c>
      <c r="B48" s="73" t="s">
        <v>94</v>
      </c>
      <c r="C48" s="203" t="s">
        <v>95</v>
      </c>
      <c r="D48" s="75" t="s">
        <v>106</v>
      </c>
      <c r="E48" s="73" t="s">
        <v>97</v>
      </c>
    </row>
    <row r="49" spans="1:9" ht="18.75">
      <c r="A49" s="286" t="s">
        <v>107</v>
      </c>
      <c r="B49" s="286"/>
      <c r="C49" s="286"/>
      <c r="D49" s="286"/>
      <c r="E49" s="286"/>
    </row>
    <row r="50" spans="1:9" ht="46.5">
      <c r="A50" s="87" t="s">
        <v>1</v>
      </c>
      <c r="B50" s="85" t="s">
        <v>108</v>
      </c>
      <c r="C50" s="86" t="s">
        <v>109</v>
      </c>
      <c r="D50" s="85" t="s">
        <v>110</v>
      </c>
      <c r="E50" s="84" t="s">
        <v>111</v>
      </c>
      <c r="F50" s="83" t="s">
        <v>112</v>
      </c>
      <c r="G50" s="83" t="s">
        <v>113</v>
      </c>
      <c r="H50" s="83" t="s">
        <v>114</v>
      </c>
      <c r="I50" s="82" t="s">
        <v>115</v>
      </c>
    </row>
    <row r="51" spans="1:9">
      <c r="A51" s="56" t="s">
        <v>4</v>
      </c>
      <c r="B51" s="64" t="s">
        <v>116</v>
      </c>
      <c r="C51" s="67" t="s">
        <v>117</v>
      </c>
      <c r="D51" s="68" t="s">
        <v>83</v>
      </c>
      <c r="E51" s="77" t="s">
        <v>118</v>
      </c>
      <c r="F51" s="80" t="s">
        <v>119</v>
      </c>
      <c r="G51" s="77" t="s">
        <v>101</v>
      </c>
      <c r="H51" s="77" t="s">
        <v>120</v>
      </c>
      <c r="I51" s="69">
        <v>5.19</v>
      </c>
    </row>
    <row r="52" spans="1:9" s="202" customFormat="1">
      <c r="A52" s="195" t="s">
        <v>6</v>
      </c>
      <c r="B52" s="196" t="s">
        <v>121</v>
      </c>
      <c r="C52" s="197" t="s">
        <v>122</v>
      </c>
      <c r="D52" s="198" t="s">
        <v>75</v>
      </c>
      <c r="E52" s="199" t="s">
        <v>123</v>
      </c>
      <c r="F52" s="200" t="s">
        <v>124</v>
      </c>
      <c r="G52" s="199" t="s">
        <v>102</v>
      </c>
      <c r="H52" s="199" t="s">
        <v>125</v>
      </c>
      <c r="I52" s="201">
        <v>4.3</v>
      </c>
    </row>
    <row r="53" spans="1:9">
      <c r="A53" s="56" t="s">
        <v>7</v>
      </c>
      <c r="B53" s="64" t="s">
        <v>126</v>
      </c>
      <c r="C53" s="67" t="s">
        <v>127</v>
      </c>
      <c r="D53" s="68" t="s">
        <v>128</v>
      </c>
      <c r="E53" s="77" t="s">
        <v>129</v>
      </c>
      <c r="F53" s="77" t="s">
        <v>130</v>
      </c>
      <c r="G53" s="77" t="s">
        <v>103</v>
      </c>
      <c r="H53" s="78">
        <v>0.27489999999999998</v>
      </c>
      <c r="I53" s="69">
        <v>3.92</v>
      </c>
    </row>
    <row r="54" spans="1:9">
      <c r="A54" s="56" t="s">
        <v>9</v>
      </c>
      <c r="B54" s="64" t="s">
        <v>131</v>
      </c>
      <c r="C54" s="67" t="s">
        <v>132</v>
      </c>
      <c r="D54" s="128" t="s">
        <v>133</v>
      </c>
      <c r="E54" s="128" t="s">
        <v>134</v>
      </c>
      <c r="F54" s="81" t="s">
        <v>135</v>
      </c>
      <c r="G54" s="128" t="s">
        <v>104</v>
      </c>
      <c r="H54" s="79">
        <v>0.33810000000000001</v>
      </c>
      <c r="I54" s="127">
        <v>3.73</v>
      </c>
    </row>
    <row r="55" spans="1:9">
      <c r="D55" s="258"/>
      <c r="E55" s="258"/>
    </row>
    <row r="56" spans="1:9">
      <c r="D56" s="258"/>
      <c r="E56" s="258"/>
    </row>
    <row r="57" spans="1:9" ht="18.75">
      <c r="A57" s="276"/>
      <c r="B57" s="277"/>
      <c r="C57" s="277"/>
      <c r="D57" s="258"/>
      <c r="E57" s="258" t="s">
        <v>136</v>
      </c>
    </row>
    <row r="58" spans="1:9">
      <c r="A58" s="275" t="s">
        <v>137</v>
      </c>
      <c r="B58" s="275"/>
      <c r="C58" s="275"/>
      <c r="D58" s="258"/>
      <c r="E58" s="258"/>
    </row>
    <row r="59" spans="1:9" ht="15.75">
      <c r="A59" s="234"/>
      <c r="B59" s="51"/>
      <c r="D59" s="258"/>
      <c r="E59" s="258"/>
    </row>
    <row r="60" spans="1:9" s="202" customFormat="1">
      <c r="A60" s="265" t="s">
        <v>138</v>
      </c>
      <c r="B60" s="265" t="s">
        <v>139</v>
      </c>
      <c r="C60" s="265" t="s">
        <v>140</v>
      </c>
      <c r="D60" s="264"/>
      <c r="E60" s="264"/>
    </row>
    <row r="61" spans="1:9">
      <c r="A61" s="273" t="s">
        <v>141</v>
      </c>
      <c r="B61" s="266" t="s">
        <v>142</v>
      </c>
      <c r="C61" s="267" t="s">
        <v>143</v>
      </c>
      <c r="D61" s="258"/>
      <c r="E61" s="258"/>
    </row>
    <row r="62" spans="1:9" ht="18.75">
      <c r="A62" s="273"/>
      <c r="B62" s="267" t="s">
        <v>144</v>
      </c>
      <c r="C62" s="267" t="s">
        <v>145</v>
      </c>
      <c r="D62" s="233"/>
      <c r="E62" s="258"/>
    </row>
    <row r="63" spans="1:9">
      <c r="A63" s="274" t="s">
        <v>146</v>
      </c>
      <c r="B63" s="74" t="s">
        <v>147</v>
      </c>
      <c r="C63" s="268" t="s">
        <v>148</v>
      </c>
      <c r="D63" s="258"/>
      <c r="E63" s="258"/>
    </row>
    <row r="64" spans="1:9" ht="43.5">
      <c r="A64" s="274"/>
      <c r="B64" s="269" t="s">
        <v>149</v>
      </c>
      <c r="C64" s="268" t="s">
        <v>150</v>
      </c>
      <c r="D64" s="258"/>
      <c r="E64" s="258"/>
    </row>
    <row r="65" spans="1:4" ht="29.25">
      <c r="A65" s="273" t="s">
        <v>151</v>
      </c>
      <c r="B65" s="270" t="s">
        <v>152</v>
      </c>
      <c r="C65" s="271" t="s">
        <v>153</v>
      </c>
      <c r="D65" s="258"/>
    </row>
    <row r="66" spans="1:4">
      <c r="A66" s="273"/>
      <c r="B66" s="267" t="s">
        <v>154</v>
      </c>
      <c r="C66" s="271" t="s">
        <v>155</v>
      </c>
      <c r="D66" s="258"/>
    </row>
    <row r="67" spans="1:4">
      <c r="A67" s="274" t="s">
        <v>156</v>
      </c>
      <c r="B67" s="74" t="s">
        <v>157</v>
      </c>
      <c r="C67" s="272" t="s">
        <v>124</v>
      </c>
      <c r="D67" s="258"/>
    </row>
    <row r="68" spans="1:4">
      <c r="A68" s="274"/>
      <c r="B68" s="74" t="s">
        <v>158</v>
      </c>
      <c r="C68" s="272" t="s">
        <v>122</v>
      </c>
      <c r="D68" s="258"/>
    </row>
    <row r="69" spans="1:4">
      <c r="A69" s="274"/>
      <c r="B69" s="74" t="s">
        <v>159</v>
      </c>
      <c r="C69" s="272" t="s">
        <v>160</v>
      </c>
      <c r="D69" s="258"/>
    </row>
    <row r="70" spans="1:4">
      <c r="A70" s="273" t="s">
        <v>161</v>
      </c>
      <c r="B70" s="267" t="s">
        <v>162</v>
      </c>
      <c r="C70" s="267" t="s">
        <v>163</v>
      </c>
      <c r="D70" s="258"/>
    </row>
    <row r="71" spans="1:4">
      <c r="A71" s="273"/>
      <c r="B71" s="267" t="s">
        <v>164</v>
      </c>
      <c r="C71" s="267" t="s">
        <v>165</v>
      </c>
      <c r="D71" s="258"/>
    </row>
    <row r="72" spans="1:4">
      <c r="D72" s="258"/>
    </row>
    <row r="76" spans="1:4">
      <c r="D76" s="258" t="s">
        <v>166</v>
      </c>
    </row>
  </sheetData>
  <mergeCells count="23">
    <mergeCell ref="I35:K35"/>
    <mergeCell ref="I36:K36"/>
    <mergeCell ref="H41:L41"/>
    <mergeCell ref="H30:K30"/>
    <mergeCell ref="I31:K31"/>
    <mergeCell ref="I32:K32"/>
    <mergeCell ref="I33:K33"/>
    <mergeCell ref="I34:K34"/>
    <mergeCell ref="A58:C58"/>
    <mergeCell ref="A57:C57"/>
    <mergeCell ref="A1:C1"/>
    <mergeCell ref="A13:A16"/>
    <mergeCell ref="A17:A20"/>
    <mergeCell ref="A21:A24"/>
    <mergeCell ref="A26:E26"/>
    <mergeCell ref="A49:E49"/>
    <mergeCell ref="A31:C31"/>
    <mergeCell ref="A41:E41"/>
    <mergeCell ref="A61:A62"/>
    <mergeCell ref="A63:A64"/>
    <mergeCell ref="A65:A66"/>
    <mergeCell ref="A67:A69"/>
    <mergeCell ref="A70:A7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0EFB5-7FE4-443C-BDFE-33AAFF1BB1E2}">
  <dimension ref="B3:AA23"/>
  <sheetViews>
    <sheetView topLeftCell="A52" workbookViewId="0">
      <selection activeCell="H14" sqref="H14"/>
    </sheetView>
  </sheetViews>
  <sheetFormatPr defaultRowHeight="15"/>
  <cols>
    <col min="2" max="2" width="16.28515625" customWidth="1"/>
    <col min="3" max="3" width="30" customWidth="1"/>
    <col min="4" max="4" width="5.42578125" customWidth="1"/>
    <col min="5" max="5" width="15.7109375" customWidth="1"/>
    <col min="6" max="6" width="20.28515625" customWidth="1"/>
    <col min="8" max="8" width="19.140625" customWidth="1"/>
    <col min="9" max="9" width="24.42578125" bestFit="1" customWidth="1"/>
    <col min="10" max="10" width="14.42578125" customWidth="1"/>
    <col min="11" max="11" width="16.28515625" customWidth="1"/>
    <col min="12" max="12" width="42.140625" customWidth="1"/>
    <col min="13" max="13" width="19" customWidth="1"/>
    <col min="14" max="14" width="18" customWidth="1"/>
    <col min="15" max="15" width="18" bestFit="1" customWidth="1"/>
    <col min="16" max="16" width="16.42578125" customWidth="1"/>
    <col min="17" max="17" width="18.85546875" bestFit="1" customWidth="1"/>
    <col min="18" max="18" width="33.140625" customWidth="1"/>
    <col min="19" max="19" width="13.42578125" bestFit="1" customWidth="1"/>
    <col min="20" max="20" width="12.7109375" bestFit="1" customWidth="1"/>
    <col min="21" max="21" width="36.5703125" bestFit="1" customWidth="1"/>
    <col min="22" max="22" width="15.5703125" bestFit="1" customWidth="1"/>
  </cols>
  <sheetData>
    <row r="3" spans="2:27" ht="9" customHeight="1"/>
    <row r="4" spans="2:27" ht="18.75">
      <c r="E4" s="310" t="s">
        <v>167</v>
      </c>
      <c r="F4" s="311"/>
      <c r="G4" s="311"/>
      <c r="H4" s="311"/>
      <c r="I4" s="311"/>
      <c r="J4" s="311"/>
      <c r="K4" s="311"/>
      <c r="L4" s="311"/>
      <c r="M4" s="311"/>
      <c r="N4" s="311"/>
      <c r="O4" s="311"/>
      <c r="P4" s="312"/>
    </row>
    <row r="5" spans="2:27" ht="30.75">
      <c r="E5" s="47" t="s">
        <v>168</v>
      </c>
      <c r="F5" s="49" t="s">
        <v>169</v>
      </c>
      <c r="G5" s="49" t="s">
        <v>170</v>
      </c>
      <c r="H5" s="48" t="s">
        <v>171</v>
      </c>
      <c r="I5" s="49" t="s">
        <v>172</v>
      </c>
      <c r="J5" s="49" t="s">
        <v>173</v>
      </c>
      <c r="K5" s="49" t="s">
        <v>174</v>
      </c>
      <c r="L5" s="49" t="s">
        <v>175</v>
      </c>
      <c r="M5" s="48" t="s">
        <v>176</v>
      </c>
      <c r="N5" s="48" t="s">
        <v>177</v>
      </c>
      <c r="O5" s="50" t="s">
        <v>178</v>
      </c>
      <c r="P5" s="229" t="s">
        <v>179</v>
      </c>
      <c r="Q5" s="114" t="s">
        <v>180</v>
      </c>
      <c r="R5" s="114" t="s">
        <v>164</v>
      </c>
    </row>
    <row r="6" spans="2:27" ht="18.75">
      <c r="E6" s="27" t="s">
        <v>181</v>
      </c>
      <c r="F6" s="26">
        <v>2</v>
      </c>
      <c r="G6" s="26">
        <f>F6*100</f>
        <v>200</v>
      </c>
      <c r="H6" s="26">
        <f>(G6*100)/1000</f>
        <v>20</v>
      </c>
      <c r="I6" s="26">
        <f>H6*7</f>
        <v>140</v>
      </c>
      <c r="J6" s="26">
        <f>H6/5</f>
        <v>4</v>
      </c>
      <c r="K6" s="112">
        <f>(J6*I16)/60</f>
        <v>66.666666666666671</v>
      </c>
      <c r="L6" s="26">
        <f>0.0027*J6*35</f>
        <v>0.378</v>
      </c>
      <c r="M6" s="111">
        <f>L6/0.85</f>
        <v>0.44470588235294117</v>
      </c>
      <c r="N6" s="110">
        <f>M6</f>
        <v>0.44470588235294117</v>
      </c>
      <c r="O6" s="111">
        <f>N6/0.85</f>
        <v>0.52318339100346023</v>
      </c>
      <c r="P6" s="230">
        <v>4</v>
      </c>
      <c r="Q6" s="231">
        <f>P18</f>
        <v>5420</v>
      </c>
      <c r="R6" s="232">
        <f>S15</f>
        <v>7.2266666666666666</v>
      </c>
    </row>
    <row r="9" spans="2:27">
      <c r="E9" s="22"/>
      <c r="F9" s="22"/>
    </row>
    <row r="10" spans="2:27" ht="18.75">
      <c r="B10" s="308" t="s">
        <v>182</v>
      </c>
      <c r="C10" s="309"/>
      <c r="D10" s="22"/>
      <c r="E10" s="103"/>
      <c r="F10" s="313" t="s">
        <v>183</v>
      </c>
      <c r="G10" s="314"/>
      <c r="H10" s="314"/>
      <c r="I10" s="314"/>
      <c r="J10" s="312"/>
      <c r="L10" s="315" t="s">
        <v>184</v>
      </c>
      <c r="M10" s="316"/>
      <c r="N10" s="316"/>
      <c r="O10" s="316"/>
      <c r="P10" s="317"/>
      <c r="R10" s="307" t="s">
        <v>107</v>
      </c>
      <c r="S10" s="307"/>
      <c r="T10" s="307"/>
      <c r="U10" s="307"/>
    </row>
    <row r="11" spans="2:27" ht="36">
      <c r="B11" s="45" t="s">
        <v>185</v>
      </c>
      <c r="C11" s="46" t="s">
        <v>186</v>
      </c>
      <c r="D11" s="22"/>
      <c r="E11" s="40"/>
      <c r="F11" s="46" t="s">
        <v>187</v>
      </c>
      <c r="G11" s="46" t="s">
        <v>188</v>
      </c>
      <c r="H11" s="46" t="s">
        <v>189</v>
      </c>
      <c r="I11" s="46" t="s">
        <v>190</v>
      </c>
      <c r="J11" s="46" t="s">
        <v>139</v>
      </c>
      <c r="L11" s="44" t="s">
        <v>191</v>
      </c>
      <c r="M11" s="43" t="s">
        <v>189</v>
      </c>
      <c r="N11" s="43" t="s">
        <v>192</v>
      </c>
      <c r="O11" s="43" t="s">
        <v>193</v>
      </c>
      <c r="P11" s="43" t="s">
        <v>194</v>
      </c>
      <c r="R11" s="46" t="s">
        <v>187</v>
      </c>
      <c r="S11" s="46" t="s">
        <v>190</v>
      </c>
      <c r="T11" s="46" t="s">
        <v>195</v>
      </c>
      <c r="U11" s="46" t="s">
        <v>196</v>
      </c>
    </row>
    <row r="12" spans="2:27" ht="54.75">
      <c r="B12" s="117" t="s">
        <v>197</v>
      </c>
      <c r="C12" s="123" t="s">
        <v>198</v>
      </c>
      <c r="D12" s="22"/>
      <c r="E12" s="40"/>
      <c r="F12" s="117" t="s">
        <v>169</v>
      </c>
      <c r="G12" s="117" t="s">
        <v>199</v>
      </c>
      <c r="H12" s="117" t="s">
        <v>200</v>
      </c>
      <c r="I12" s="117">
        <v>2</v>
      </c>
      <c r="J12" s="122" t="s">
        <v>201</v>
      </c>
      <c r="L12" s="115" t="s">
        <v>202</v>
      </c>
      <c r="M12" s="114" t="s">
        <v>203</v>
      </c>
      <c r="N12" s="116">
        <v>1</v>
      </c>
      <c r="O12" s="116">
        <v>1800</v>
      </c>
      <c r="P12" s="116">
        <f>O12*N12</f>
        <v>1800</v>
      </c>
      <c r="R12" s="117" t="s">
        <v>204</v>
      </c>
      <c r="S12" s="117">
        <v>800</v>
      </c>
      <c r="T12" s="117" t="s">
        <v>205</v>
      </c>
      <c r="U12" s="122" t="s">
        <v>206</v>
      </c>
    </row>
    <row r="13" spans="2:27" ht="54.75">
      <c r="B13" s="117" t="s">
        <v>170</v>
      </c>
      <c r="C13" s="123" t="s">
        <v>207</v>
      </c>
      <c r="D13" s="22"/>
      <c r="E13" s="40"/>
      <c r="F13" s="117" t="s">
        <v>144</v>
      </c>
      <c r="G13" s="117" t="s">
        <v>208</v>
      </c>
      <c r="H13" s="117" t="s">
        <v>209</v>
      </c>
      <c r="I13" s="117" t="s">
        <v>210</v>
      </c>
      <c r="J13" s="122" t="s">
        <v>211</v>
      </c>
      <c r="L13" s="119" t="s">
        <v>212</v>
      </c>
      <c r="M13" s="114" t="s">
        <v>213</v>
      </c>
      <c r="N13" s="116">
        <v>2000</v>
      </c>
      <c r="O13" s="116">
        <v>0.25</v>
      </c>
      <c r="P13" s="116">
        <f t="shared" ref="P13:P17" si="0">O13*N13</f>
        <v>500</v>
      </c>
      <c r="R13" s="117" t="s">
        <v>214</v>
      </c>
      <c r="S13" s="117">
        <f>P18</f>
        <v>5420</v>
      </c>
      <c r="T13" s="117" t="s">
        <v>215</v>
      </c>
      <c r="U13" s="117" t="s">
        <v>216</v>
      </c>
      <c r="V13" s="40"/>
      <c r="W13" s="40"/>
      <c r="X13" s="40"/>
      <c r="Y13" s="40"/>
      <c r="Z13" s="42"/>
      <c r="AA13" s="22"/>
    </row>
    <row r="14" spans="2:27" ht="90.75">
      <c r="B14" s="122" t="s">
        <v>217</v>
      </c>
      <c r="C14" s="123" t="s">
        <v>218</v>
      </c>
      <c r="D14" s="22"/>
      <c r="E14" s="40"/>
      <c r="F14" s="117" t="s">
        <v>2</v>
      </c>
      <c r="G14" s="117" t="s">
        <v>219</v>
      </c>
      <c r="H14" s="117" t="s">
        <v>220</v>
      </c>
      <c r="I14" s="117">
        <v>200</v>
      </c>
      <c r="J14" s="122" t="s">
        <v>221</v>
      </c>
      <c r="L14" s="117" t="s">
        <v>222</v>
      </c>
      <c r="M14" s="118" t="s">
        <v>203</v>
      </c>
      <c r="N14" s="116">
        <v>4</v>
      </c>
      <c r="O14" s="116">
        <v>105</v>
      </c>
      <c r="P14" s="116">
        <f t="shared" si="0"/>
        <v>420</v>
      </c>
      <c r="R14" s="117" t="s">
        <v>223</v>
      </c>
      <c r="S14" s="117">
        <v>50</v>
      </c>
      <c r="T14" s="117" t="s">
        <v>205</v>
      </c>
      <c r="U14" s="122" t="s">
        <v>224</v>
      </c>
      <c r="V14" s="40"/>
      <c r="W14" s="40"/>
      <c r="X14" s="40"/>
      <c r="Y14" s="40"/>
      <c r="Z14" s="42"/>
      <c r="AA14" s="22"/>
    </row>
    <row r="15" spans="2:27" ht="90.75">
      <c r="B15" s="117" t="s">
        <v>225</v>
      </c>
      <c r="C15" s="123" t="s">
        <v>226</v>
      </c>
      <c r="D15" s="22"/>
      <c r="E15" s="40"/>
      <c r="F15" s="122" t="s">
        <v>227</v>
      </c>
      <c r="G15" s="117" t="s">
        <v>228</v>
      </c>
      <c r="H15" s="117" t="s">
        <v>229</v>
      </c>
      <c r="I15" s="117">
        <v>100</v>
      </c>
      <c r="J15" s="122" t="s">
        <v>230</v>
      </c>
      <c r="L15" s="120" t="s">
        <v>231</v>
      </c>
      <c r="M15" s="114" t="s">
        <v>203</v>
      </c>
      <c r="N15" s="116">
        <v>1</v>
      </c>
      <c r="O15" s="116">
        <v>650</v>
      </c>
      <c r="P15" s="116">
        <f t="shared" si="0"/>
        <v>650</v>
      </c>
      <c r="R15" s="175" t="s">
        <v>164</v>
      </c>
      <c r="S15" s="176">
        <f>S13/(S12-S14)</f>
        <v>7.2266666666666666</v>
      </c>
      <c r="T15" s="175" t="s">
        <v>232</v>
      </c>
      <c r="U15" s="177" t="s">
        <v>233</v>
      </c>
      <c r="V15" s="22"/>
      <c r="W15" s="22"/>
      <c r="X15" s="22"/>
      <c r="Y15" s="22"/>
      <c r="Z15" s="22"/>
      <c r="AA15" s="22"/>
    </row>
    <row r="16" spans="2:27" ht="54.75">
      <c r="B16" s="117" t="s">
        <v>234</v>
      </c>
      <c r="C16" s="123" t="s">
        <v>235</v>
      </c>
      <c r="E16" s="40"/>
      <c r="F16" s="122" t="s">
        <v>236</v>
      </c>
      <c r="G16" s="117" t="s">
        <v>237</v>
      </c>
      <c r="H16" s="117" t="s">
        <v>237</v>
      </c>
      <c r="I16" s="117">
        <v>1000</v>
      </c>
      <c r="J16" s="122" t="s">
        <v>238</v>
      </c>
      <c r="L16" s="115" t="s">
        <v>239</v>
      </c>
      <c r="M16" s="114" t="s">
        <v>240</v>
      </c>
      <c r="N16" s="116">
        <v>1</v>
      </c>
      <c r="O16" s="116">
        <v>250</v>
      </c>
      <c r="P16" s="116">
        <f t="shared" si="0"/>
        <v>250</v>
      </c>
      <c r="R16" s="117" t="s">
        <v>241</v>
      </c>
      <c r="S16" s="117">
        <f>S12-S14</f>
        <v>750</v>
      </c>
      <c r="T16" s="178" t="s">
        <v>215</v>
      </c>
      <c r="U16" s="174"/>
    </row>
    <row r="17" spans="2:21" ht="54.75">
      <c r="B17" s="117" t="s">
        <v>242</v>
      </c>
      <c r="C17" s="123" t="s">
        <v>243</v>
      </c>
      <c r="E17" s="40"/>
      <c r="F17" s="122" t="s">
        <v>244</v>
      </c>
      <c r="G17" s="117" t="s">
        <v>245</v>
      </c>
      <c r="H17" s="117" t="s">
        <v>246</v>
      </c>
      <c r="I17" s="117">
        <v>5</v>
      </c>
      <c r="J17" s="122" t="s">
        <v>247</v>
      </c>
      <c r="L17" s="115" t="s">
        <v>248</v>
      </c>
      <c r="M17" s="114" t="s">
        <v>240</v>
      </c>
      <c r="N17" s="116">
        <v>1</v>
      </c>
      <c r="O17" s="116">
        <v>1800</v>
      </c>
      <c r="P17" s="116">
        <f t="shared" si="0"/>
        <v>1800</v>
      </c>
      <c r="R17" s="117" t="s">
        <v>249</v>
      </c>
      <c r="S17" s="117">
        <v>25</v>
      </c>
      <c r="T17" s="117" t="s">
        <v>250</v>
      </c>
      <c r="U17" s="174"/>
    </row>
    <row r="18" spans="2:21" ht="72.75">
      <c r="B18" s="117" t="s">
        <v>251</v>
      </c>
      <c r="C18" s="123" t="s">
        <v>252</v>
      </c>
      <c r="E18" s="22"/>
      <c r="F18" s="122" t="s">
        <v>253</v>
      </c>
      <c r="G18" s="117" t="s">
        <v>254</v>
      </c>
      <c r="H18" s="117" t="s">
        <v>255</v>
      </c>
      <c r="I18" s="117">
        <v>85</v>
      </c>
      <c r="J18" s="122" t="s">
        <v>256</v>
      </c>
      <c r="L18" s="113" t="s">
        <v>257</v>
      </c>
      <c r="M18" s="41" t="s">
        <v>258</v>
      </c>
      <c r="N18" s="41" t="s">
        <v>258</v>
      </c>
      <c r="O18" s="41" t="s">
        <v>258</v>
      </c>
      <c r="P18" s="121">
        <f>P12+P13+P14+P15+P16+P17</f>
        <v>5420</v>
      </c>
      <c r="R18" s="117" t="s">
        <v>259</v>
      </c>
      <c r="S18" s="117">
        <v>650</v>
      </c>
      <c r="T18" s="178" t="s">
        <v>215</v>
      </c>
      <c r="U18" s="174"/>
    </row>
    <row r="19" spans="2:21" ht="72.75">
      <c r="B19" s="117" t="s">
        <v>260</v>
      </c>
      <c r="C19" s="123" t="s">
        <v>261</v>
      </c>
      <c r="F19" s="117" t="s">
        <v>262</v>
      </c>
      <c r="G19" s="117" t="s">
        <v>263</v>
      </c>
      <c r="H19" s="117" t="s">
        <v>213</v>
      </c>
      <c r="I19" s="117">
        <v>20</v>
      </c>
      <c r="J19" s="122" t="s">
        <v>264</v>
      </c>
      <c r="K19" s="22"/>
      <c r="R19" s="117" t="s">
        <v>265</v>
      </c>
      <c r="S19" s="117">
        <v>250</v>
      </c>
      <c r="T19" s="178" t="s">
        <v>215</v>
      </c>
      <c r="U19" s="174"/>
    </row>
    <row r="20" spans="2:21" ht="90.75">
      <c r="B20" s="124" t="s">
        <v>266</v>
      </c>
      <c r="C20" s="125" t="s">
        <v>267</v>
      </c>
      <c r="F20" s="117" t="s">
        <v>268</v>
      </c>
      <c r="G20" s="117" t="s">
        <v>237</v>
      </c>
      <c r="H20" s="117" t="s">
        <v>269</v>
      </c>
      <c r="I20" s="117">
        <v>30</v>
      </c>
      <c r="J20" s="122" t="s">
        <v>270</v>
      </c>
      <c r="R20" s="117" t="s">
        <v>271</v>
      </c>
      <c r="S20" s="117">
        <v>1000</v>
      </c>
      <c r="T20" s="178" t="s">
        <v>215</v>
      </c>
      <c r="U20" s="174"/>
    </row>
    <row r="21" spans="2:21" ht="138.75" customHeight="1">
      <c r="B21" s="115" t="s">
        <v>248</v>
      </c>
      <c r="C21" s="122" t="s">
        <v>272</v>
      </c>
      <c r="F21" s="117" t="s">
        <v>273</v>
      </c>
      <c r="G21" s="117" t="s">
        <v>274</v>
      </c>
      <c r="H21" s="117" t="s">
        <v>275</v>
      </c>
      <c r="I21" s="117">
        <v>1000</v>
      </c>
      <c r="J21" s="122" t="s">
        <v>276</v>
      </c>
      <c r="R21" s="117" t="s">
        <v>277</v>
      </c>
      <c r="S21" s="117">
        <f>(S18*2)+(S19*2)+(S20*2)</f>
        <v>3800</v>
      </c>
      <c r="T21" s="178" t="s">
        <v>215</v>
      </c>
      <c r="U21" s="174"/>
    </row>
    <row r="22" spans="2:21" ht="54.75">
      <c r="F22" s="117" t="s">
        <v>278</v>
      </c>
      <c r="G22" s="117" t="s">
        <v>279</v>
      </c>
      <c r="H22" s="117" t="s">
        <v>280</v>
      </c>
      <c r="I22" s="117">
        <v>9.81</v>
      </c>
      <c r="J22" s="122" t="s">
        <v>281</v>
      </c>
      <c r="R22" s="122" t="s">
        <v>282</v>
      </c>
      <c r="S22" s="117">
        <f>S16*25</f>
        <v>18750</v>
      </c>
      <c r="T22" s="178" t="s">
        <v>215</v>
      </c>
      <c r="U22" s="174"/>
    </row>
    <row r="23" spans="2:21" ht="72.75">
      <c r="F23" s="117" t="s">
        <v>283</v>
      </c>
      <c r="G23" s="117" t="s">
        <v>284</v>
      </c>
      <c r="H23" s="117" t="s">
        <v>285</v>
      </c>
      <c r="I23" s="117" t="s">
        <v>237</v>
      </c>
      <c r="J23" s="122" t="s">
        <v>286</v>
      </c>
      <c r="R23" s="117" t="s">
        <v>287</v>
      </c>
      <c r="S23" s="117">
        <f>S13+S21</f>
        <v>9220</v>
      </c>
      <c r="T23" s="178" t="s">
        <v>215</v>
      </c>
      <c r="U23" s="174"/>
    </row>
  </sheetData>
  <mergeCells count="5">
    <mergeCell ref="R10:U10"/>
    <mergeCell ref="B10:C10"/>
    <mergeCell ref="E4:P4"/>
    <mergeCell ref="F10:J10"/>
    <mergeCell ref="L10:P10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14369-8810-45D6-8563-A5817C7CFDCB}">
  <dimension ref="A1:AD56"/>
  <sheetViews>
    <sheetView topLeftCell="D107" workbookViewId="0">
      <selection activeCell="M160" sqref="M160"/>
    </sheetView>
  </sheetViews>
  <sheetFormatPr defaultRowHeight="15"/>
  <cols>
    <col min="1" max="1" width="34.7109375" customWidth="1"/>
    <col min="2" max="2" width="40.5703125" customWidth="1"/>
    <col min="3" max="3" width="23.5703125" customWidth="1"/>
    <col min="4" max="4" width="23.140625" customWidth="1"/>
    <col min="5" max="5" width="26.28515625" customWidth="1"/>
    <col min="6" max="6" width="23.5703125" customWidth="1"/>
    <col min="7" max="7" width="35.42578125" customWidth="1"/>
    <col min="8" max="8" width="29.5703125" customWidth="1"/>
    <col min="9" max="9" width="23.140625" customWidth="1"/>
    <col min="11" max="11" width="50.42578125" customWidth="1"/>
    <col min="12" max="12" width="68.85546875" customWidth="1"/>
    <col min="13" max="13" width="23.140625" customWidth="1"/>
    <col min="14" max="14" width="84.7109375" customWidth="1"/>
    <col min="17" max="17" width="121.5703125" customWidth="1"/>
    <col min="18" max="18" width="42.5703125" customWidth="1"/>
    <col min="19" max="19" width="48.7109375" customWidth="1"/>
    <col min="20" max="20" width="67.140625" customWidth="1"/>
    <col min="21" max="21" width="28.42578125" customWidth="1"/>
  </cols>
  <sheetData>
    <row r="1" spans="1:30" ht="46.5">
      <c r="P1" s="324" t="s">
        <v>288</v>
      </c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</row>
    <row r="2" spans="1:30" ht="24">
      <c r="A2" s="325" t="s">
        <v>289</v>
      </c>
      <c r="B2" s="275"/>
      <c r="C2" s="275"/>
      <c r="D2" s="275"/>
      <c r="E2" s="275"/>
      <c r="F2" s="275"/>
      <c r="G2" s="275"/>
      <c r="H2" s="275"/>
      <c r="I2" s="275"/>
    </row>
    <row r="3" spans="1:30" ht="33">
      <c r="A3" s="2" t="s">
        <v>290</v>
      </c>
      <c r="B3" s="2" t="s">
        <v>291</v>
      </c>
      <c r="C3" s="2" t="s">
        <v>292</v>
      </c>
      <c r="D3" s="2" t="s">
        <v>293</v>
      </c>
      <c r="E3" s="2" t="s">
        <v>294</v>
      </c>
      <c r="F3" s="2" t="s">
        <v>295</v>
      </c>
      <c r="G3" s="2" t="s">
        <v>296</v>
      </c>
      <c r="H3" s="2" t="s">
        <v>297</v>
      </c>
      <c r="I3" s="2" t="s">
        <v>298</v>
      </c>
      <c r="K3" s="326" t="s">
        <v>299</v>
      </c>
      <c r="L3" s="327"/>
      <c r="M3" s="263"/>
      <c r="N3" s="260" t="s">
        <v>300</v>
      </c>
      <c r="O3" s="258"/>
      <c r="P3" s="258"/>
      <c r="Q3" s="244"/>
      <c r="U3" s="258"/>
      <c r="V3" s="258"/>
      <c r="W3" s="258"/>
      <c r="X3" s="258"/>
      <c r="Y3" s="258"/>
      <c r="Z3" s="258"/>
      <c r="AA3" s="258"/>
      <c r="AB3" s="258"/>
    </row>
    <row r="4" spans="1:30" ht="24">
      <c r="A4" s="3">
        <v>1</v>
      </c>
      <c r="B4" s="5">
        <v>2000</v>
      </c>
      <c r="C4" s="5">
        <v>1000</v>
      </c>
      <c r="D4" s="4">
        <v>60</v>
      </c>
      <c r="E4" s="4">
        <v>360</v>
      </c>
      <c r="F4" s="215" t="s">
        <v>301</v>
      </c>
      <c r="G4" s="215">
        <v>686</v>
      </c>
      <c r="H4" s="215" t="s">
        <v>302</v>
      </c>
      <c r="I4" s="215" t="s">
        <v>303</v>
      </c>
      <c r="K4" s="14" t="s">
        <v>304</v>
      </c>
      <c r="L4" s="261" t="s">
        <v>305</v>
      </c>
      <c r="M4" s="7"/>
      <c r="N4" s="18" t="s">
        <v>306</v>
      </c>
      <c r="O4" s="8"/>
      <c r="P4" s="258"/>
      <c r="Q4" s="246" t="s">
        <v>307</v>
      </c>
      <c r="R4" s="247"/>
      <c r="S4" s="247"/>
      <c r="T4" s="247"/>
      <c r="U4" s="258"/>
      <c r="V4" s="258"/>
      <c r="W4" s="258"/>
      <c r="X4" s="258"/>
      <c r="Y4" s="258"/>
      <c r="Z4" s="258"/>
      <c r="AA4" s="258"/>
      <c r="AB4" s="258"/>
    </row>
    <row r="5" spans="1:30" ht="24">
      <c r="A5" s="2">
        <v>2</v>
      </c>
      <c r="B5" s="1">
        <v>2200</v>
      </c>
      <c r="C5" s="1">
        <v>1100</v>
      </c>
      <c r="D5" s="6">
        <v>66</v>
      </c>
      <c r="E5" s="6">
        <v>396</v>
      </c>
      <c r="F5" s="216" t="s">
        <v>301</v>
      </c>
      <c r="G5" s="217" t="s">
        <v>308</v>
      </c>
      <c r="H5" s="217" t="s">
        <v>309</v>
      </c>
      <c r="I5" s="217" t="s">
        <v>310</v>
      </c>
      <c r="K5" s="14" t="s">
        <v>311</v>
      </c>
      <c r="L5" s="261" t="s">
        <v>312</v>
      </c>
      <c r="M5" s="7"/>
      <c r="N5" s="18" t="s">
        <v>313</v>
      </c>
      <c r="O5" s="8"/>
      <c r="P5" s="258"/>
      <c r="Q5" s="248" t="s">
        <v>314</v>
      </c>
      <c r="R5" s="247"/>
      <c r="S5" s="247"/>
      <c r="T5" s="247"/>
      <c r="U5" s="258"/>
      <c r="V5" s="258"/>
      <c r="W5" s="258"/>
      <c r="X5" s="258"/>
      <c r="Y5" s="258"/>
      <c r="Z5" s="258"/>
      <c r="AA5" s="258"/>
      <c r="AB5" s="258"/>
    </row>
    <row r="6" spans="1:30" ht="24">
      <c r="A6" s="3">
        <v>3</v>
      </c>
      <c r="B6" s="5">
        <v>2500</v>
      </c>
      <c r="C6" s="5">
        <v>1250</v>
      </c>
      <c r="D6" s="4">
        <v>75</v>
      </c>
      <c r="E6" s="4">
        <v>450</v>
      </c>
      <c r="F6" s="216" t="s">
        <v>301</v>
      </c>
      <c r="G6" s="216" t="s">
        <v>315</v>
      </c>
      <c r="H6" s="216" t="s">
        <v>316</v>
      </c>
      <c r="I6" s="216" t="s">
        <v>317</v>
      </c>
      <c r="K6" s="15" t="s">
        <v>318</v>
      </c>
      <c r="L6" s="261" t="s">
        <v>319</v>
      </c>
      <c r="M6" s="9"/>
      <c r="N6" s="18" t="s">
        <v>320</v>
      </c>
      <c r="O6" s="8"/>
      <c r="P6" s="258"/>
      <c r="Q6" s="249" t="s">
        <v>321</v>
      </c>
      <c r="R6" s="247"/>
      <c r="S6" s="247"/>
      <c r="T6" s="247"/>
      <c r="U6" s="258"/>
      <c r="V6" s="258"/>
      <c r="W6" s="258"/>
      <c r="X6" s="258"/>
      <c r="Y6" s="258"/>
      <c r="Z6" s="258"/>
      <c r="AA6" s="258"/>
      <c r="AB6" s="258"/>
    </row>
    <row r="7" spans="1:30" ht="24">
      <c r="A7" s="2">
        <v>4</v>
      </c>
      <c r="B7" s="1">
        <v>2700</v>
      </c>
      <c r="C7" s="1">
        <v>1350</v>
      </c>
      <c r="D7" s="6">
        <v>81</v>
      </c>
      <c r="E7" s="6">
        <v>486</v>
      </c>
      <c r="F7" s="216" t="s">
        <v>301</v>
      </c>
      <c r="G7" s="217" t="s">
        <v>322</v>
      </c>
      <c r="H7" s="217" t="s">
        <v>323</v>
      </c>
      <c r="I7" s="217" t="s">
        <v>315</v>
      </c>
      <c r="K7" s="15" t="s">
        <v>324</v>
      </c>
      <c r="L7" s="261" t="s">
        <v>325</v>
      </c>
      <c r="M7" s="7"/>
      <c r="N7" s="18" t="s">
        <v>326</v>
      </c>
      <c r="O7" s="8"/>
      <c r="P7" s="258"/>
      <c r="Q7" s="246" t="s">
        <v>327</v>
      </c>
      <c r="R7" s="247"/>
      <c r="S7" s="247"/>
      <c r="T7" s="247"/>
      <c r="U7" s="258"/>
      <c r="V7" s="258"/>
      <c r="W7" s="258"/>
      <c r="X7" s="258"/>
      <c r="Y7" s="258"/>
      <c r="Z7" s="258"/>
      <c r="AA7" s="258"/>
      <c r="AB7" s="258"/>
    </row>
    <row r="8" spans="1:30" ht="24">
      <c r="A8" s="3">
        <v>5</v>
      </c>
      <c r="B8" s="5">
        <v>3000</v>
      </c>
      <c r="C8" s="5">
        <v>1500</v>
      </c>
      <c r="D8" s="4">
        <v>90</v>
      </c>
      <c r="E8" s="4">
        <v>540</v>
      </c>
      <c r="F8" s="216" t="s">
        <v>301</v>
      </c>
      <c r="G8" s="216" t="s">
        <v>328</v>
      </c>
      <c r="H8" s="216" t="s">
        <v>329</v>
      </c>
      <c r="I8" s="216" t="s">
        <v>330</v>
      </c>
      <c r="K8" s="15" t="s">
        <v>331</v>
      </c>
      <c r="L8" s="261" t="s">
        <v>332</v>
      </c>
      <c r="M8" s="7"/>
      <c r="N8" s="18" t="s">
        <v>333</v>
      </c>
      <c r="O8" s="8"/>
      <c r="P8" s="258"/>
      <c r="Q8" s="249" t="s">
        <v>334</v>
      </c>
      <c r="R8" s="247"/>
      <c r="S8" s="247"/>
      <c r="T8" s="247"/>
      <c r="U8" s="258"/>
      <c r="V8" s="258"/>
      <c r="W8" s="258"/>
      <c r="X8" s="258"/>
      <c r="Y8" s="258"/>
      <c r="Z8" s="258"/>
      <c r="AA8" s="258"/>
      <c r="AB8" s="258"/>
    </row>
    <row r="9" spans="1:30" ht="24">
      <c r="A9" s="2">
        <v>6</v>
      </c>
      <c r="B9" s="1">
        <v>3200</v>
      </c>
      <c r="C9" s="1">
        <v>1600</v>
      </c>
      <c r="D9" s="6">
        <v>96</v>
      </c>
      <c r="E9" s="6">
        <v>576</v>
      </c>
      <c r="F9" s="216" t="s">
        <v>301</v>
      </c>
      <c r="G9" s="217" t="s">
        <v>335</v>
      </c>
      <c r="H9" s="217" t="s">
        <v>336</v>
      </c>
      <c r="I9" s="217" t="s">
        <v>337</v>
      </c>
      <c r="K9" s="328" t="s">
        <v>338</v>
      </c>
      <c r="L9" s="329"/>
      <c r="M9" s="7"/>
      <c r="N9" s="7"/>
      <c r="O9" s="8"/>
      <c r="P9" s="258"/>
      <c r="Q9" s="249" t="s">
        <v>339</v>
      </c>
      <c r="R9" s="247"/>
      <c r="S9" s="247"/>
      <c r="T9" s="247"/>
      <c r="U9" s="258"/>
      <c r="V9" s="258"/>
      <c r="W9" s="258"/>
      <c r="X9" s="258"/>
      <c r="Y9" s="258"/>
      <c r="Z9" s="258"/>
      <c r="AA9" s="258"/>
      <c r="AB9" s="258"/>
    </row>
    <row r="10" spans="1:30" ht="24">
      <c r="A10" s="3">
        <v>7</v>
      </c>
      <c r="B10" s="5">
        <v>2800</v>
      </c>
      <c r="C10" s="5">
        <v>1400</v>
      </c>
      <c r="D10" s="4">
        <v>84</v>
      </c>
      <c r="E10" s="4">
        <v>504</v>
      </c>
      <c r="F10" s="216" t="s">
        <v>301</v>
      </c>
      <c r="G10" s="216" t="s">
        <v>340</v>
      </c>
      <c r="H10" s="216" t="s">
        <v>341</v>
      </c>
      <c r="I10" s="216" t="s">
        <v>342</v>
      </c>
      <c r="K10" s="7"/>
      <c r="L10" s="7"/>
      <c r="M10" s="7"/>
      <c r="N10" s="7"/>
      <c r="O10" s="8"/>
      <c r="P10" s="258"/>
      <c r="Q10" s="249" t="s">
        <v>343</v>
      </c>
      <c r="R10" s="247"/>
      <c r="S10" s="247"/>
      <c r="T10" s="247"/>
      <c r="U10" s="258"/>
      <c r="V10" s="258"/>
      <c r="W10" s="258"/>
      <c r="X10" s="258"/>
      <c r="Y10" s="258"/>
      <c r="Z10" s="258"/>
      <c r="AA10" s="258"/>
      <c r="AB10" s="258"/>
    </row>
    <row r="11" spans="1:30" ht="24">
      <c r="A11" s="2">
        <v>8</v>
      </c>
      <c r="B11" s="1">
        <v>2600</v>
      </c>
      <c r="C11" s="1">
        <v>1300</v>
      </c>
      <c r="D11" s="6">
        <v>78</v>
      </c>
      <c r="E11" s="6">
        <v>468</v>
      </c>
      <c r="F11" s="216" t="s">
        <v>301</v>
      </c>
      <c r="G11" s="217" t="s">
        <v>344</v>
      </c>
      <c r="H11" s="217" t="s">
        <v>345</v>
      </c>
      <c r="I11" s="217" t="s">
        <v>346</v>
      </c>
      <c r="K11" s="322" t="s">
        <v>347</v>
      </c>
      <c r="L11" s="330"/>
      <c r="M11" s="330"/>
      <c r="N11" s="330"/>
      <c r="O11" s="8"/>
      <c r="P11" s="258"/>
      <c r="Q11" s="246" t="s">
        <v>348</v>
      </c>
      <c r="R11" s="247"/>
      <c r="S11" s="247"/>
      <c r="T11" s="247"/>
      <c r="U11" s="258"/>
      <c r="V11" s="258"/>
      <c r="W11" s="258"/>
      <c r="X11" s="258"/>
      <c r="Y11" s="258"/>
      <c r="Z11" s="258"/>
      <c r="AA11" s="258"/>
      <c r="AB11" s="258"/>
    </row>
    <row r="12" spans="1:30" ht="23.25">
      <c r="A12" s="3">
        <v>9</v>
      </c>
      <c r="B12" s="5">
        <v>2400</v>
      </c>
      <c r="C12" s="5">
        <v>1200</v>
      </c>
      <c r="D12" s="4">
        <v>72</v>
      </c>
      <c r="E12" s="4">
        <v>432</v>
      </c>
      <c r="F12" s="216" t="s">
        <v>301</v>
      </c>
      <c r="G12" s="216" t="s">
        <v>349</v>
      </c>
      <c r="H12" s="216" t="s">
        <v>350</v>
      </c>
      <c r="I12" s="216" t="s">
        <v>351</v>
      </c>
      <c r="K12" s="14" t="s">
        <v>352</v>
      </c>
      <c r="L12" s="14" t="s">
        <v>353</v>
      </c>
      <c r="M12" s="14" t="s">
        <v>354</v>
      </c>
      <c r="N12" s="14" t="s">
        <v>355</v>
      </c>
      <c r="O12" s="8"/>
      <c r="P12" s="258"/>
      <c r="Q12" s="250" t="s">
        <v>138</v>
      </c>
      <c r="R12" s="250" t="s">
        <v>356</v>
      </c>
      <c r="S12" s="250" t="s">
        <v>357</v>
      </c>
      <c r="T12" s="250" t="s">
        <v>358</v>
      </c>
      <c r="U12" s="258"/>
      <c r="V12" s="258"/>
      <c r="W12" s="258"/>
      <c r="X12" s="258"/>
      <c r="Y12" s="258"/>
      <c r="Z12" s="258"/>
      <c r="AA12" s="258"/>
      <c r="AB12" s="258"/>
    </row>
    <row r="13" spans="1:30" ht="23.25">
      <c r="A13" s="2">
        <v>10</v>
      </c>
      <c r="B13" s="1">
        <v>2200</v>
      </c>
      <c r="C13" s="1">
        <v>1100</v>
      </c>
      <c r="D13" s="6">
        <v>66</v>
      </c>
      <c r="E13" s="6">
        <v>396</v>
      </c>
      <c r="F13" s="216" t="s">
        <v>301</v>
      </c>
      <c r="G13" s="217" t="s">
        <v>308</v>
      </c>
      <c r="H13" s="217" t="s">
        <v>309</v>
      </c>
      <c r="I13" s="217" t="s">
        <v>359</v>
      </c>
      <c r="K13" s="261" t="s">
        <v>360</v>
      </c>
      <c r="L13" s="16">
        <v>3</v>
      </c>
      <c r="M13" s="261" t="s">
        <v>361</v>
      </c>
      <c r="N13" s="261" t="s">
        <v>362</v>
      </c>
      <c r="O13" s="8"/>
      <c r="P13" s="258"/>
      <c r="Q13" s="251" t="s">
        <v>363</v>
      </c>
      <c r="R13" s="251" t="s">
        <v>364</v>
      </c>
      <c r="S13" s="251" t="s">
        <v>365</v>
      </c>
      <c r="T13" s="251" t="s">
        <v>366</v>
      </c>
      <c r="U13" s="258"/>
      <c r="V13" s="258"/>
      <c r="W13" s="258"/>
      <c r="X13" s="258"/>
      <c r="Y13" s="258"/>
      <c r="Z13" s="258"/>
      <c r="AA13" s="258"/>
      <c r="AB13" s="258"/>
    </row>
    <row r="14" spans="1:30" ht="23.25">
      <c r="A14" s="3">
        <v>11</v>
      </c>
      <c r="B14" s="5">
        <v>2000</v>
      </c>
      <c r="C14" s="5">
        <v>1000</v>
      </c>
      <c r="D14" s="4">
        <v>60</v>
      </c>
      <c r="E14" s="4">
        <v>360</v>
      </c>
      <c r="F14" s="216" t="s">
        <v>301</v>
      </c>
      <c r="G14" s="216">
        <v>686</v>
      </c>
      <c r="H14" s="216" t="s">
        <v>302</v>
      </c>
      <c r="I14" s="216" t="s">
        <v>303</v>
      </c>
      <c r="K14" s="261" t="s">
        <v>367</v>
      </c>
      <c r="L14" s="17">
        <v>5</v>
      </c>
      <c r="M14" s="261" t="s">
        <v>368</v>
      </c>
      <c r="N14" s="261" t="s">
        <v>369</v>
      </c>
      <c r="O14" s="8"/>
      <c r="P14" s="258"/>
      <c r="Q14" s="251" t="s">
        <v>370</v>
      </c>
      <c r="R14" s="251" t="s">
        <v>371</v>
      </c>
      <c r="S14" s="251" t="s">
        <v>372</v>
      </c>
      <c r="T14" s="251" t="s">
        <v>373</v>
      </c>
      <c r="U14" s="258"/>
      <c r="V14" s="258"/>
      <c r="W14" s="258"/>
      <c r="X14" s="258"/>
      <c r="Y14" s="258"/>
      <c r="Z14" s="258"/>
      <c r="AA14" s="258"/>
      <c r="AB14" s="258"/>
    </row>
    <row r="15" spans="1:30" ht="23.25">
      <c r="A15" s="2">
        <v>12</v>
      </c>
      <c r="B15" s="1">
        <v>1800</v>
      </c>
      <c r="C15" s="1">
        <v>900</v>
      </c>
      <c r="D15" s="6">
        <v>54</v>
      </c>
      <c r="E15" s="6">
        <v>324</v>
      </c>
      <c r="F15" s="216" t="s">
        <v>301</v>
      </c>
      <c r="G15" s="217" t="s">
        <v>374</v>
      </c>
      <c r="H15" s="217" t="s">
        <v>375</v>
      </c>
      <c r="I15" s="217" t="s">
        <v>376</v>
      </c>
      <c r="K15" s="261" t="s">
        <v>377</v>
      </c>
      <c r="L15" s="16">
        <v>450</v>
      </c>
      <c r="M15" s="261" t="s">
        <v>378</v>
      </c>
      <c r="N15" s="261" t="s">
        <v>379</v>
      </c>
      <c r="O15" s="8"/>
      <c r="P15" s="258"/>
      <c r="Q15" s="251" t="s">
        <v>380</v>
      </c>
      <c r="R15" s="251" t="s">
        <v>381</v>
      </c>
      <c r="S15" s="251" t="s">
        <v>382</v>
      </c>
      <c r="T15" s="251" t="s">
        <v>383</v>
      </c>
      <c r="U15" s="258"/>
      <c r="V15" s="258"/>
      <c r="W15" s="258"/>
      <c r="X15" s="258"/>
      <c r="Y15" s="258"/>
      <c r="Z15" s="258"/>
      <c r="AA15" s="258"/>
      <c r="AB15" s="258"/>
    </row>
    <row r="16" spans="1:30" ht="24">
      <c r="K16" s="261" t="s">
        <v>384</v>
      </c>
      <c r="L16" s="261">
        <v>75</v>
      </c>
      <c r="M16" s="261" t="s">
        <v>385</v>
      </c>
      <c r="N16" s="261" t="s">
        <v>386</v>
      </c>
      <c r="O16" s="8"/>
      <c r="P16" s="258"/>
      <c r="Q16" s="246" t="s">
        <v>387</v>
      </c>
      <c r="R16" s="247"/>
      <c r="S16" s="247"/>
      <c r="T16" s="247"/>
      <c r="U16" s="258"/>
      <c r="V16" s="258"/>
      <c r="W16" s="258"/>
      <c r="X16" s="258"/>
      <c r="Y16" s="258"/>
      <c r="Z16" s="258"/>
      <c r="AA16" s="258"/>
      <c r="AB16" s="258"/>
    </row>
    <row r="17" spans="1:28" ht="24">
      <c r="A17" s="320" t="s">
        <v>388</v>
      </c>
      <c r="B17" s="321"/>
      <c r="C17" s="321"/>
      <c r="D17" s="321"/>
      <c r="F17" s="321" t="s">
        <v>389</v>
      </c>
      <c r="G17" s="321"/>
      <c r="H17" s="321"/>
      <c r="I17" s="321"/>
      <c r="Q17" s="249" t="s">
        <v>390</v>
      </c>
      <c r="R17" s="247"/>
      <c r="S17" s="247"/>
      <c r="T17" s="247"/>
      <c r="U17" s="258"/>
      <c r="V17" s="258"/>
      <c r="W17" s="258"/>
      <c r="X17" s="258"/>
      <c r="Y17" s="258"/>
      <c r="Z17" s="258"/>
      <c r="AA17" s="258"/>
      <c r="AB17" s="258"/>
    </row>
    <row r="18" spans="1:28" ht="36">
      <c r="A18" s="10" t="s">
        <v>391</v>
      </c>
      <c r="B18" s="11" t="s">
        <v>392</v>
      </c>
      <c r="C18" s="11" t="s">
        <v>393</v>
      </c>
      <c r="D18" s="11" t="s">
        <v>394</v>
      </c>
      <c r="F18" s="10" t="s">
        <v>187</v>
      </c>
      <c r="G18" s="11" t="s">
        <v>395</v>
      </c>
      <c r="H18" s="11" t="s">
        <v>396</v>
      </c>
      <c r="I18" s="11" t="s">
        <v>355</v>
      </c>
      <c r="K18" s="322" t="s">
        <v>397</v>
      </c>
      <c r="L18" s="323"/>
      <c r="Q18" s="249" t="s">
        <v>398</v>
      </c>
      <c r="R18" s="247"/>
      <c r="S18" s="247"/>
      <c r="T18" s="247"/>
      <c r="U18" s="258"/>
      <c r="V18" s="258"/>
      <c r="W18" s="258"/>
      <c r="X18" s="258"/>
      <c r="Y18" s="258"/>
      <c r="Z18" s="258"/>
      <c r="AA18" s="258"/>
      <c r="AB18" s="258"/>
    </row>
    <row r="19" spans="1:28" ht="37.5">
      <c r="A19" s="12" t="s">
        <v>399</v>
      </c>
      <c r="B19" s="13" t="s">
        <v>400</v>
      </c>
      <c r="C19" s="13" t="s">
        <v>401</v>
      </c>
      <c r="D19" s="13" t="s">
        <v>402</v>
      </c>
      <c r="F19" s="12" t="s">
        <v>403</v>
      </c>
      <c r="G19" s="13" t="s">
        <v>404</v>
      </c>
      <c r="H19" s="13" t="s">
        <v>405</v>
      </c>
      <c r="I19" s="13" t="s">
        <v>406</v>
      </c>
      <c r="K19" s="214" t="s">
        <v>407</v>
      </c>
      <c r="L19" s="214" t="s">
        <v>408</v>
      </c>
      <c r="Q19" s="249" t="s">
        <v>409</v>
      </c>
      <c r="R19" s="247"/>
      <c r="S19" s="247"/>
      <c r="T19" s="247"/>
      <c r="U19" s="258"/>
      <c r="V19" s="258"/>
      <c r="W19" s="258"/>
      <c r="X19" s="258"/>
      <c r="Y19" s="258"/>
      <c r="Z19" s="258"/>
      <c r="AA19" s="258"/>
      <c r="AB19" s="258"/>
    </row>
    <row r="20" spans="1:28" ht="37.5">
      <c r="A20" s="12"/>
      <c r="B20" s="13"/>
      <c r="C20" s="13"/>
      <c r="D20" s="13"/>
      <c r="F20" s="12" t="s">
        <v>410</v>
      </c>
      <c r="G20" s="13" t="s">
        <v>411</v>
      </c>
      <c r="H20" s="13" t="s">
        <v>412</v>
      </c>
      <c r="I20" s="13" t="s">
        <v>413</v>
      </c>
      <c r="K20" s="261" t="s">
        <v>414</v>
      </c>
      <c r="L20" s="261" t="s">
        <v>415</v>
      </c>
      <c r="Q20" s="249" t="s">
        <v>416</v>
      </c>
      <c r="R20" s="247"/>
      <c r="S20" s="247"/>
      <c r="T20" s="247"/>
      <c r="U20" s="258"/>
      <c r="V20" s="258"/>
      <c r="W20" s="258"/>
      <c r="X20" s="258"/>
      <c r="Y20" s="258"/>
      <c r="Z20" s="258"/>
      <c r="AA20" s="258"/>
      <c r="AB20" s="258"/>
    </row>
    <row r="21" spans="1:28" ht="37.5">
      <c r="F21" s="12" t="s">
        <v>417</v>
      </c>
      <c r="G21" s="13" t="s">
        <v>418</v>
      </c>
      <c r="H21" s="13" t="s">
        <v>419</v>
      </c>
      <c r="I21" s="13" t="s">
        <v>420</v>
      </c>
      <c r="K21" s="261" t="s">
        <v>421</v>
      </c>
      <c r="L21" s="261" t="s">
        <v>422</v>
      </c>
      <c r="Q21" s="252" t="s">
        <v>423</v>
      </c>
      <c r="R21" s="247"/>
      <c r="S21" s="247"/>
      <c r="T21" s="247"/>
      <c r="U21" s="258"/>
      <c r="V21" s="258"/>
      <c r="W21" s="258"/>
      <c r="X21" s="258"/>
      <c r="Y21" s="258"/>
      <c r="Z21" s="258"/>
      <c r="AA21" s="258"/>
      <c r="AB21" s="258"/>
    </row>
    <row r="22" spans="1:28" ht="24">
      <c r="A22" s="318" t="s">
        <v>424</v>
      </c>
      <c r="B22" s="319"/>
      <c r="F22" s="12" t="s">
        <v>425</v>
      </c>
      <c r="G22" s="13" t="s">
        <v>426</v>
      </c>
      <c r="H22" s="13" t="s">
        <v>246</v>
      </c>
      <c r="I22" s="13" t="s">
        <v>427</v>
      </c>
      <c r="K22" s="261" t="s">
        <v>419</v>
      </c>
      <c r="L22" s="261" t="s">
        <v>428</v>
      </c>
      <c r="Q22" s="253"/>
      <c r="R22" s="247"/>
      <c r="S22" s="247"/>
      <c r="T22" s="247"/>
      <c r="U22" s="258"/>
      <c r="V22" s="258"/>
      <c r="W22" s="258"/>
      <c r="X22" s="258"/>
      <c r="Y22" s="258"/>
      <c r="Z22" s="258"/>
      <c r="AA22" s="258"/>
      <c r="AB22" s="258"/>
    </row>
    <row r="23" spans="1:28" ht="24">
      <c r="A23" s="10" t="s">
        <v>429</v>
      </c>
      <c r="B23" s="11" t="s">
        <v>430</v>
      </c>
      <c r="F23" s="12" t="s">
        <v>431</v>
      </c>
      <c r="G23" s="13" t="s">
        <v>432</v>
      </c>
      <c r="H23" s="13" t="s">
        <v>433</v>
      </c>
      <c r="I23" s="13" t="s">
        <v>434</v>
      </c>
      <c r="K23" s="261" t="s">
        <v>435</v>
      </c>
      <c r="L23" s="261" t="s">
        <v>436</v>
      </c>
      <c r="Q23" s="246" t="s">
        <v>437</v>
      </c>
      <c r="R23" s="247"/>
      <c r="S23" s="247"/>
      <c r="T23" s="247"/>
      <c r="U23" s="258"/>
      <c r="V23" s="258"/>
      <c r="W23" s="258"/>
      <c r="X23" s="258"/>
      <c r="Y23" s="258"/>
      <c r="Z23" s="258"/>
      <c r="AA23" s="258"/>
      <c r="AB23" s="258"/>
    </row>
    <row r="24" spans="1:28" ht="24">
      <c r="A24" s="12" t="s">
        <v>438</v>
      </c>
      <c r="B24" s="13" t="s">
        <v>439</v>
      </c>
      <c r="F24" s="12" t="s">
        <v>440</v>
      </c>
      <c r="G24" s="13" t="s">
        <v>401</v>
      </c>
      <c r="H24" s="13" t="s">
        <v>441</v>
      </c>
      <c r="I24" s="13" t="s">
        <v>442</v>
      </c>
      <c r="K24" s="261" t="s">
        <v>443</v>
      </c>
      <c r="L24" s="261" t="s">
        <v>444</v>
      </c>
      <c r="Q24" s="249" t="s">
        <v>445</v>
      </c>
      <c r="R24" s="247"/>
      <c r="S24" s="247"/>
      <c r="T24" s="247"/>
      <c r="U24" s="258"/>
      <c r="V24" s="258"/>
      <c r="W24" s="258"/>
      <c r="X24" s="258"/>
      <c r="Y24" s="258"/>
      <c r="Z24" s="258"/>
      <c r="AA24" s="258"/>
      <c r="AB24" s="258"/>
    </row>
    <row r="25" spans="1:28" ht="24">
      <c r="A25" s="12" t="s">
        <v>446</v>
      </c>
      <c r="B25" s="13" t="s">
        <v>447</v>
      </c>
      <c r="K25" s="261" t="s">
        <v>448</v>
      </c>
      <c r="L25" s="261" t="s">
        <v>449</v>
      </c>
      <c r="Q25" s="249" t="s">
        <v>450</v>
      </c>
      <c r="R25" s="247"/>
      <c r="S25" s="247"/>
      <c r="T25" s="247"/>
      <c r="U25" s="258"/>
      <c r="V25" s="258"/>
      <c r="W25" s="258"/>
      <c r="X25" s="258"/>
      <c r="Y25" s="258"/>
      <c r="Z25" s="258"/>
      <c r="AA25" s="258"/>
      <c r="AB25" s="258"/>
    </row>
    <row r="26" spans="1:28" ht="24">
      <c r="A26" s="12" t="s">
        <v>451</v>
      </c>
      <c r="B26" s="13" t="s">
        <v>452</v>
      </c>
      <c r="K26" s="261" t="s">
        <v>453</v>
      </c>
      <c r="L26" s="261" t="s">
        <v>454</v>
      </c>
      <c r="Q26" s="249" t="s">
        <v>455</v>
      </c>
      <c r="R26" s="247"/>
      <c r="S26" s="247"/>
      <c r="T26" s="247"/>
      <c r="U26" s="258"/>
      <c r="V26" s="258"/>
      <c r="W26" s="258"/>
      <c r="X26" s="258"/>
      <c r="Y26" s="258"/>
      <c r="Z26" s="258"/>
      <c r="AA26" s="258"/>
      <c r="AB26" s="258"/>
    </row>
    <row r="27" spans="1:28" ht="24">
      <c r="A27" s="12" t="s">
        <v>456</v>
      </c>
      <c r="B27" s="13" t="s">
        <v>457</v>
      </c>
      <c r="I27" s="258"/>
      <c r="K27" s="261" t="s">
        <v>433</v>
      </c>
      <c r="L27" s="261" t="s">
        <v>458</v>
      </c>
      <c r="Q27" s="249" t="s">
        <v>459</v>
      </c>
      <c r="R27" s="247"/>
      <c r="S27" s="247"/>
      <c r="T27" s="247"/>
      <c r="U27" s="258"/>
      <c r="V27" s="258"/>
      <c r="W27" s="258"/>
      <c r="X27" s="258"/>
      <c r="Y27" s="258"/>
      <c r="Z27" s="258"/>
      <c r="AA27" s="258"/>
      <c r="AB27" s="258"/>
    </row>
    <row r="28" spans="1:28" ht="24">
      <c r="K28" s="261" t="s">
        <v>460</v>
      </c>
      <c r="L28" s="261" t="s">
        <v>461</v>
      </c>
      <c r="Q28" s="254" t="s">
        <v>462</v>
      </c>
      <c r="R28" s="247"/>
      <c r="S28" s="247"/>
      <c r="T28" s="247"/>
      <c r="U28" s="258"/>
      <c r="V28" s="258"/>
      <c r="W28" s="258"/>
      <c r="X28" s="258"/>
      <c r="Y28" s="258"/>
      <c r="Z28" s="258"/>
      <c r="AA28" s="258"/>
      <c r="AB28" s="258"/>
    </row>
    <row r="29" spans="1:28" ht="24">
      <c r="K29" s="261"/>
      <c r="L29" s="261"/>
      <c r="Q29" s="253"/>
      <c r="R29" s="247"/>
      <c r="S29" s="247"/>
      <c r="T29" s="247"/>
      <c r="U29" s="258"/>
      <c r="V29" s="258"/>
      <c r="W29" s="258"/>
      <c r="X29" s="258"/>
      <c r="Y29" s="258"/>
      <c r="Z29" s="258"/>
      <c r="AA29" s="258"/>
      <c r="AB29" s="258"/>
    </row>
    <row r="30" spans="1:28" ht="24">
      <c r="Q30" s="246" t="s">
        <v>463</v>
      </c>
      <c r="R30" s="247"/>
      <c r="S30" s="247"/>
      <c r="T30" s="247"/>
      <c r="U30" s="258"/>
      <c r="V30" s="258"/>
      <c r="W30" s="258"/>
      <c r="X30" s="258"/>
      <c r="Y30" s="258"/>
      <c r="Z30" s="258"/>
      <c r="AA30" s="258"/>
      <c r="AB30" s="258"/>
    </row>
    <row r="31" spans="1:28" ht="24">
      <c r="Q31" s="249" t="s">
        <v>464</v>
      </c>
      <c r="R31" s="247"/>
      <c r="S31" s="247"/>
      <c r="T31" s="247"/>
      <c r="U31" s="258"/>
      <c r="V31" s="258"/>
      <c r="W31" s="258"/>
      <c r="X31" s="258"/>
      <c r="Y31" s="258"/>
      <c r="Z31" s="258"/>
      <c r="AA31" s="258"/>
      <c r="AB31" s="258"/>
    </row>
    <row r="32" spans="1:28" ht="24">
      <c r="Q32" s="249" t="s">
        <v>465</v>
      </c>
      <c r="R32" s="247"/>
      <c r="S32" s="247"/>
      <c r="T32" s="247"/>
      <c r="U32" s="258"/>
      <c r="V32" s="258"/>
      <c r="W32" s="258"/>
      <c r="X32" s="258"/>
      <c r="Y32" s="258"/>
      <c r="Z32" s="258"/>
      <c r="AA32" s="258"/>
      <c r="AB32" s="258"/>
    </row>
    <row r="33" spans="17:28" ht="24">
      <c r="Q33" s="246" t="s">
        <v>466</v>
      </c>
      <c r="R33" s="247"/>
      <c r="S33" s="247"/>
      <c r="T33" s="247"/>
      <c r="U33" s="258"/>
      <c r="V33" s="258"/>
      <c r="W33" s="258"/>
      <c r="X33" s="258"/>
      <c r="Y33" s="258"/>
      <c r="Z33" s="258"/>
      <c r="AA33" s="258"/>
      <c r="AB33" s="258"/>
    </row>
    <row r="34" spans="17:28" ht="24">
      <c r="Q34" s="249" t="s">
        <v>467</v>
      </c>
      <c r="R34" s="247"/>
      <c r="S34" s="247"/>
      <c r="T34" s="247"/>
      <c r="U34" s="258"/>
      <c r="V34" s="258"/>
      <c r="W34" s="258"/>
      <c r="X34" s="258"/>
      <c r="Y34" s="258"/>
      <c r="Z34" s="258"/>
      <c r="AA34" s="258"/>
      <c r="AB34" s="258"/>
    </row>
    <row r="35" spans="17:28" ht="24">
      <c r="Q35" s="249" t="s">
        <v>468</v>
      </c>
      <c r="R35" s="247"/>
      <c r="S35" s="247"/>
      <c r="T35" s="247"/>
      <c r="U35" s="258"/>
      <c r="V35" s="258"/>
      <c r="W35" s="258"/>
      <c r="X35" s="258"/>
      <c r="Y35" s="258"/>
      <c r="Z35" s="258"/>
      <c r="AA35" s="258"/>
      <c r="AB35" s="258"/>
    </row>
    <row r="36" spans="17:28" ht="24">
      <c r="Q36" s="249" t="s">
        <v>469</v>
      </c>
      <c r="R36" s="247"/>
      <c r="S36" s="247"/>
      <c r="T36" s="247"/>
      <c r="U36" s="258"/>
      <c r="V36" s="258"/>
      <c r="W36" s="258"/>
      <c r="X36" s="258"/>
      <c r="Y36" s="258"/>
      <c r="Z36" s="258"/>
      <c r="AA36" s="258"/>
      <c r="AB36" s="258"/>
    </row>
    <row r="37" spans="17:28" ht="24">
      <c r="Q37" s="255" t="s">
        <v>470</v>
      </c>
      <c r="R37" s="247"/>
      <c r="S37" s="247"/>
      <c r="T37" s="247"/>
      <c r="U37" s="258"/>
      <c r="V37" s="258"/>
      <c r="W37" s="258"/>
      <c r="X37" s="258"/>
      <c r="Y37" s="258"/>
      <c r="Z37" s="258"/>
      <c r="AA37" s="258"/>
      <c r="AB37" s="258"/>
    </row>
    <row r="38" spans="17:28" ht="24">
      <c r="Q38" s="256"/>
      <c r="R38" s="247"/>
      <c r="S38" s="247"/>
      <c r="T38" s="247"/>
      <c r="U38" s="258"/>
      <c r="V38" s="258"/>
      <c r="W38" s="258"/>
      <c r="X38" s="258"/>
      <c r="Y38" s="258"/>
      <c r="Z38" s="258"/>
      <c r="AA38" s="258"/>
      <c r="AB38" s="258"/>
    </row>
    <row r="39" spans="17:28" ht="24">
      <c r="Q39" s="246" t="s">
        <v>471</v>
      </c>
      <c r="R39" s="247"/>
      <c r="S39" s="247"/>
      <c r="T39" s="247"/>
      <c r="U39" s="258"/>
      <c r="V39" s="258"/>
      <c r="W39" s="258"/>
      <c r="X39" s="258"/>
      <c r="Y39" s="258"/>
      <c r="Z39" s="258"/>
      <c r="AA39" s="258"/>
      <c r="AB39" s="258"/>
    </row>
    <row r="40" spans="17:28" ht="24">
      <c r="Q40" s="250" t="s">
        <v>187</v>
      </c>
      <c r="R40" s="250" t="s">
        <v>190</v>
      </c>
      <c r="S40" s="247"/>
      <c r="T40" s="247"/>
      <c r="U40" s="258"/>
      <c r="V40" s="258"/>
      <c r="W40" s="258"/>
      <c r="X40" s="258"/>
      <c r="Y40" s="258"/>
      <c r="Z40" s="258"/>
      <c r="AA40" s="258"/>
      <c r="AB40" s="258"/>
    </row>
    <row r="41" spans="17:28" ht="24">
      <c r="Q41" s="251" t="s">
        <v>472</v>
      </c>
      <c r="R41" s="251" t="s">
        <v>473</v>
      </c>
      <c r="S41" s="247"/>
      <c r="T41" s="247"/>
      <c r="U41" s="258"/>
      <c r="V41" s="258"/>
      <c r="W41" s="258"/>
      <c r="X41" s="258"/>
      <c r="Y41" s="258"/>
      <c r="Z41" s="258"/>
      <c r="AA41" s="258"/>
      <c r="AB41" s="258"/>
    </row>
    <row r="42" spans="17:28" ht="24">
      <c r="Q42" s="251" t="s">
        <v>474</v>
      </c>
      <c r="R42" s="251" t="s">
        <v>475</v>
      </c>
      <c r="S42" s="247"/>
      <c r="T42" s="247"/>
    </row>
    <row r="43" spans="17:28" ht="24">
      <c r="Q43" s="251" t="s">
        <v>476</v>
      </c>
      <c r="R43" s="251" t="s">
        <v>477</v>
      </c>
      <c r="S43" s="247"/>
      <c r="T43" s="247"/>
    </row>
    <row r="44" spans="17:28" ht="24">
      <c r="Q44" s="251" t="s">
        <v>478</v>
      </c>
      <c r="R44" s="251" t="s">
        <v>479</v>
      </c>
      <c r="S44" s="247"/>
      <c r="T44" s="247"/>
    </row>
    <row r="45" spans="17:28" ht="24">
      <c r="Q45" s="251" t="s">
        <v>480</v>
      </c>
      <c r="R45" s="251">
        <v>3.81</v>
      </c>
      <c r="S45" s="247"/>
      <c r="T45" s="247"/>
    </row>
    <row r="46" spans="17:28" ht="24">
      <c r="Q46" s="251" t="s">
        <v>481</v>
      </c>
      <c r="R46" s="251">
        <v>1.9570000000000001</v>
      </c>
      <c r="S46" s="247"/>
      <c r="T46" s="247"/>
    </row>
    <row r="47" spans="17:28" ht="24">
      <c r="Q47" s="251" t="s">
        <v>482</v>
      </c>
      <c r="R47" s="251">
        <v>1.853</v>
      </c>
      <c r="S47" s="247"/>
      <c r="T47" s="247"/>
    </row>
    <row r="48" spans="17:28" ht="24">
      <c r="Q48" s="251" t="s">
        <v>483</v>
      </c>
      <c r="R48" s="251">
        <v>9.3000000000000007</v>
      </c>
      <c r="S48" s="247"/>
      <c r="T48" s="247"/>
    </row>
    <row r="49" spans="17:20" ht="24">
      <c r="Q49" s="251" t="s">
        <v>484</v>
      </c>
      <c r="R49" s="251" t="s">
        <v>485</v>
      </c>
      <c r="S49" s="247"/>
      <c r="T49" s="247"/>
    </row>
    <row r="50" spans="17:20" ht="24">
      <c r="Q50" s="257" t="s">
        <v>486</v>
      </c>
      <c r="R50" s="247"/>
      <c r="S50" s="247"/>
      <c r="T50" s="247"/>
    </row>
    <row r="51" spans="17:20" ht="24">
      <c r="Q51" s="256" t="s">
        <v>487</v>
      </c>
      <c r="R51" s="247"/>
      <c r="S51" s="247"/>
      <c r="T51" s="247"/>
    </row>
    <row r="52" spans="17:20" ht="24">
      <c r="Q52" s="257" t="s">
        <v>488</v>
      </c>
      <c r="R52" s="247"/>
      <c r="S52" s="247"/>
      <c r="T52" s="247"/>
    </row>
    <row r="53" spans="17:20" ht="24">
      <c r="Q53" s="257" t="s">
        <v>489</v>
      </c>
      <c r="R53" s="247"/>
      <c r="S53" s="247"/>
      <c r="T53" s="247"/>
    </row>
    <row r="54" spans="17:20" ht="24">
      <c r="Q54" s="257" t="s">
        <v>490</v>
      </c>
      <c r="R54" s="247"/>
      <c r="S54" s="247"/>
      <c r="T54" s="247"/>
    </row>
    <row r="55" spans="17:20" ht="24">
      <c r="Q55" s="257" t="s">
        <v>491</v>
      </c>
      <c r="R55" s="247"/>
      <c r="S55" s="247"/>
      <c r="T55" s="247"/>
    </row>
    <row r="56" spans="17:20">
      <c r="Q56" s="245"/>
    </row>
  </sheetData>
  <mergeCells count="9">
    <mergeCell ref="A22:B22"/>
    <mergeCell ref="A17:D17"/>
    <mergeCell ref="F17:I17"/>
    <mergeCell ref="K18:L18"/>
    <mergeCell ref="P1:AD1"/>
    <mergeCell ref="A2:I2"/>
    <mergeCell ref="K3:L3"/>
    <mergeCell ref="K9:L9"/>
    <mergeCell ref="K11:N11"/>
  </mergeCells>
  <hyperlinks>
    <hyperlink ref="Q5" location="_msocom_1" display="- Annual output: 44,000 kg [AN1] → 44,000 ÷ 12 ≈ 3,667 kg/month" xr:uid="{EF71E718-2295-431F-82C5-68AC9E7371B9}"/>
  </hyperlink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17224-E992-4BED-BF7F-FC1356C7BEDB}">
  <dimension ref="A1:Z238"/>
  <sheetViews>
    <sheetView topLeftCell="A21" workbookViewId="0">
      <selection activeCell="O239" sqref="A1:Z239"/>
    </sheetView>
  </sheetViews>
  <sheetFormatPr defaultRowHeight="15"/>
  <cols>
    <col min="1" max="1" width="30.85546875" bestFit="1" customWidth="1"/>
    <col min="2" max="2" width="38" bestFit="1" customWidth="1"/>
    <col min="3" max="3" width="41.7109375" customWidth="1"/>
    <col min="4" max="4" width="22.28515625" customWidth="1"/>
    <col min="5" max="5" width="18.140625" bestFit="1" customWidth="1"/>
    <col min="6" max="6" width="23.28515625" bestFit="1" customWidth="1"/>
    <col min="7" max="7" width="27.42578125" bestFit="1" customWidth="1"/>
    <col min="8" max="8" width="36.5703125" bestFit="1" customWidth="1"/>
    <col min="9" max="9" width="25.85546875" customWidth="1"/>
    <col min="10" max="10" width="25.85546875" bestFit="1" customWidth="1"/>
    <col min="11" max="11" width="20.7109375" bestFit="1" customWidth="1"/>
    <col min="12" max="12" width="25.140625" bestFit="1" customWidth="1"/>
    <col min="13" max="13" width="20.7109375" bestFit="1" customWidth="1"/>
    <col min="14" max="14" width="30" bestFit="1" customWidth="1"/>
    <col min="15" max="15" width="25.140625" bestFit="1" customWidth="1"/>
    <col min="16" max="16" width="29.28515625" bestFit="1" customWidth="1"/>
    <col min="17" max="17" width="29.5703125" bestFit="1" customWidth="1"/>
    <col min="18" max="18" width="38.28515625" bestFit="1" customWidth="1"/>
    <col min="19" max="19" width="33.42578125" bestFit="1" customWidth="1"/>
    <col min="20" max="20" width="33.5703125" bestFit="1" customWidth="1"/>
    <col min="21" max="21" width="35.5703125" bestFit="1" customWidth="1"/>
    <col min="22" max="22" width="33" bestFit="1" customWidth="1"/>
    <col min="23" max="23" width="30" bestFit="1" customWidth="1"/>
    <col min="24" max="24" width="17.42578125" bestFit="1" customWidth="1"/>
    <col min="25" max="25" width="23.42578125" bestFit="1" customWidth="1"/>
    <col min="26" max="26" width="14.5703125" bestFit="1" customWidth="1"/>
  </cols>
  <sheetData>
    <row r="1" spans="1:26" ht="59.25">
      <c r="A1" s="336" t="s">
        <v>492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</row>
    <row r="2" spans="1:26">
      <c r="A2" s="21"/>
      <c r="D2" s="22"/>
    </row>
    <row r="3" spans="1:26" ht="18">
      <c r="D3" s="23"/>
    </row>
    <row r="4" spans="1:26">
      <c r="D4" s="22"/>
    </row>
    <row r="6" spans="1:26">
      <c r="D6" s="258"/>
    </row>
    <row r="8" spans="1:26">
      <c r="B8" s="337" t="s">
        <v>493</v>
      </c>
      <c r="C8" s="337"/>
      <c r="D8" s="338">
        <v>655</v>
      </c>
    </row>
    <row r="9" spans="1:26">
      <c r="B9" s="337"/>
      <c r="C9" s="337"/>
      <c r="D9" s="339"/>
    </row>
    <row r="10" spans="1:26" ht="19.5">
      <c r="B10" s="340" t="s">
        <v>494</v>
      </c>
      <c r="C10" s="341"/>
      <c r="D10" s="25">
        <v>1525</v>
      </c>
    </row>
    <row r="11" spans="1:26">
      <c r="I11" s="126"/>
      <c r="J11" s="24"/>
      <c r="K11" s="24"/>
    </row>
    <row r="12" spans="1:26" ht="15" customHeight="1">
      <c r="I12" s="126"/>
      <c r="J12" s="24"/>
      <c r="K12" s="24"/>
      <c r="L12" s="352" t="s">
        <v>495</v>
      </c>
      <c r="M12" s="352"/>
      <c r="N12" s="352"/>
      <c r="O12" s="352"/>
      <c r="P12" s="352"/>
    </row>
    <row r="13" spans="1:26" ht="15" customHeight="1">
      <c r="I13" s="126"/>
      <c r="J13" s="24"/>
      <c r="K13" s="24"/>
      <c r="L13" s="353"/>
      <c r="M13" s="353"/>
      <c r="N13" s="353"/>
      <c r="O13" s="353"/>
      <c r="P13" s="353"/>
    </row>
    <row r="14" spans="1:26" ht="18.75">
      <c r="B14" s="343" t="s">
        <v>496</v>
      </c>
      <c r="C14" s="344"/>
      <c r="D14" s="344"/>
      <c r="E14" s="344"/>
      <c r="F14" s="345"/>
      <c r="H14" s="126"/>
      <c r="I14" s="126"/>
      <c r="J14" s="24"/>
      <c r="L14" s="346" t="s">
        <v>497</v>
      </c>
      <c r="M14" s="346" t="s">
        <v>498</v>
      </c>
      <c r="N14" s="348" t="s">
        <v>499</v>
      </c>
      <c r="O14" s="349"/>
      <c r="P14" s="350" t="s">
        <v>500</v>
      </c>
    </row>
    <row r="15" spans="1:26" ht="16.5" customHeight="1">
      <c r="B15" s="95" t="s">
        <v>187</v>
      </c>
      <c r="C15" s="96" t="s">
        <v>190</v>
      </c>
      <c r="D15" s="97" t="s">
        <v>501</v>
      </c>
      <c r="E15" s="101" t="s">
        <v>502</v>
      </c>
      <c r="F15" s="101" t="s">
        <v>500</v>
      </c>
      <c r="I15" s="126"/>
      <c r="J15" s="24"/>
      <c r="L15" s="347"/>
      <c r="M15" s="347"/>
      <c r="N15" s="133" t="s">
        <v>503</v>
      </c>
      <c r="O15" s="68" t="s">
        <v>504</v>
      </c>
      <c r="P15" s="351"/>
      <c r="X15" s="24"/>
    </row>
    <row r="16" spans="1:26" ht="24" customHeight="1">
      <c r="B16" s="89" t="s">
        <v>505</v>
      </c>
      <c r="C16" s="90">
        <v>10000</v>
      </c>
      <c r="D16" s="91" t="s">
        <v>506</v>
      </c>
      <c r="E16" s="145" t="s">
        <v>237</v>
      </c>
      <c r="F16" s="141" t="s">
        <v>507</v>
      </c>
      <c r="I16" s="126"/>
      <c r="J16" s="24"/>
      <c r="L16" s="331" t="s">
        <v>508</v>
      </c>
      <c r="M16" s="134" t="s">
        <v>509</v>
      </c>
      <c r="N16" s="127">
        <v>91.67</v>
      </c>
      <c r="O16" s="127">
        <v>100</v>
      </c>
      <c r="P16" s="354" t="s">
        <v>510</v>
      </c>
      <c r="X16" s="24"/>
    </row>
    <row r="17" spans="2:16">
      <c r="B17" s="89" t="s">
        <v>511</v>
      </c>
      <c r="C17" s="90">
        <v>0.8</v>
      </c>
      <c r="D17" s="91" t="s">
        <v>512</v>
      </c>
      <c r="E17" s="145" t="s">
        <v>237</v>
      </c>
      <c r="F17" s="141" t="s">
        <v>507</v>
      </c>
      <c r="I17" s="126"/>
      <c r="J17" s="24"/>
      <c r="L17" s="333"/>
      <c r="M17" s="135" t="s">
        <v>513</v>
      </c>
      <c r="N17" s="135">
        <v>8.33</v>
      </c>
      <c r="O17" s="127">
        <v>0</v>
      </c>
      <c r="P17" s="355"/>
    </row>
    <row r="18" spans="2:16">
      <c r="B18" s="89" t="s">
        <v>514</v>
      </c>
      <c r="C18" s="90">
        <v>4</v>
      </c>
      <c r="D18" s="91" t="s">
        <v>515</v>
      </c>
      <c r="E18" s="148" t="s">
        <v>237</v>
      </c>
      <c r="F18" s="141" t="s">
        <v>516</v>
      </c>
      <c r="I18" s="126"/>
      <c r="J18" s="24"/>
      <c r="L18" s="331" t="s">
        <v>517</v>
      </c>
      <c r="M18" s="136" t="s">
        <v>518</v>
      </c>
      <c r="N18" s="127">
        <v>10.83</v>
      </c>
      <c r="O18" s="127" t="s">
        <v>237</v>
      </c>
      <c r="P18" s="355"/>
    </row>
    <row r="19" spans="2:16">
      <c r="B19" s="89" t="s">
        <v>519</v>
      </c>
      <c r="C19" s="90">
        <v>150</v>
      </c>
      <c r="D19" s="91" t="s">
        <v>520</v>
      </c>
      <c r="E19" s="149" t="s">
        <v>521</v>
      </c>
      <c r="F19" s="146" t="s">
        <v>237</v>
      </c>
      <c r="I19" s="126"/>
      <c r="J19" s="24"/>
      <c r="L19" s="332"/>
      <c r="M19" s="136" t="s">
        <v>522</v>
      </c>
      <c r="N19" s="127" t="s">
        <v>523</v>
      </c>
      <c r="O19" s="127" t="s">
        <v>237</v>
      </c>
      <c r="P19" s="355"/>
    </row>
    <row r="20" spans="2:16">
      <c r="B20" s="89" t="s">
        <v>524</v>
      </c>
      <c r="C20" s="90">
        <v>20000</v>
      </c>
      <c r="D20" s="91" t="s">
        <v>525</v>
      </c>
      <c r="E20" s="104">
        <v>31</v>
      </c>
      <c r="F20" s="142" t="s">
        <v>526</v>
      </c>
      <c r="I20" s="126"/>
      <c r="J20" s="24"/>
      <c r="L20" s="332"/>
      <c r="M20" s="136" t="s">
        <v>527</v>
      </c>
      <c r="N20" s="127">
        <v>53.61</v>
      </c>
      <c r="O20" s="127" t="s">
        <v>237</v>
      </c>
      <c r="P20" s="355"/>
    </row>
    <row r="21" spans="2:16">
      <c r="B21" s="89" t="s">
        <v>528</v>
      </c>
      <c r="C21" s="90">
        <v>500</v>
      </c>
      <c r="D21" s="91" t="s">
        <v>529</v>
      </c>
      <c r="E21" s="147" t="s">
        <v>237</v>
      </c>
      <c r="F21" s="141" t="s">
        <v>530</v>
      </c>
      <c r="I21" s="126"/>
      <c r="J21" s="24"/>
      <c r="L21" s="332"/>
      <c r="M21" s="136" t="s">
        <v>531</v>
      </c>
      <c r="N21" s="127">
        <v>18.329999999999998</v>
      </c>
      <c r="O21" s="127" t="s">
        <v>237</v>
      </c>
      <c r="P21" s="355"/>
    </row>
    <row r="22" spans="2:16">
      <c r="B22" s="89" t="s">
        <v>532</v>
      </c>
      <c r="C22" s="90">
        <v>120</v>
      </c>
      <c r="D22" s="91" t="s">
        <v>533</v>
      </c>
      <c r="E22" s="145" t="s">
        <v>237</v>
      </c>
      <c r="F22" s="141" t="s">
        <v>534</v>
      </c>
      <c r="I22" s="126"/>
      <c r="J22" s="24"/>
      <c r="L22" s="333"/>
      <c r="M22" s="127" t="s">
        <v>535</v>
      </c>
      <c r="N22" s="127">
        <v>8.89</v>
      </c>
      <c r="O22" s="127" t="s">
        <v>237</v>
      </c>
      <c r="P22" s="355"/>
    </row>
    <row r="23" spans="2:16">
      <c r="B23" s="89" t="s">
        <v>536</v>
      </c>
      <c r="C23" s="90">
        <v>32</v>
      </c>
      <c r="D23" s="91" t="s">
        <v>537</v>
      </c>
      <c r="E23" s="148" t="s">
        <v>237</v>
      </c>
      <c r="F23" s="145" t="s">
        <v>237</v>
      </c>
      <c r="I23" s="126"/>
      <c r="J23" s="24"/>
      <c r="L23" s="331" t="s">
        <v>538</v>
      </c>
      <c r="M23" s="127" t="s">
        <v>539</v>
      </c>
      <c r="N23" s="127" t="s">
        <v>237</v>
      </c>
      <c r="O23" s="136" t="s">
        <v>540</v>
      </c>
      <c r="P23" s="355"/>
    </row>
    <row r="24" spans="2:16">
      <c r="B24" s="89" t="s">
        <v>541</v>
      </c>
      <c r="C24" s="90">
        <v>750000</v>
      </c>
      <c r="D24" s="91" t="s">
        <v>542</v>
      </c>
      <c r="E24" s="144">
        <v>1144</v>
      </c>
      <c r="F24" s="146" t="s">
        <v>237</v>
      </c>
      <c r="I24" s="126"/>
      <c r="J24" s="24"/>
      <c r="L24" s="332"/>
      <c r="M24" s="127" t="s">
        <v>543</v>
      </c>
      <c r="N24" s="127">
        <v>4.17</v>
      </c>
      <c r="O24" s="136" t="s">
        <v>544</v>
      </c>
      <c r="P24" s="355"/>
    </row>
    <row r="25" spans="2:16" ht="18.75">
      <c r="B25" s="89" t="s">
        <v>545</v>
      </c>
      <c r="C25" s="90">
        <v>1820</v>
      </c>
      <c r="D25" s="91" t="s">
        <v>525</v>
      </c>
      <c r="E25" s="150">
        <v>2.77</v>
      </c>
      <c r="F25" s="143" t="s">
        <v>546</v>
      </c>
      <c r="G25" s="23"/>
      <c r="H25" s="23"/>
      <c r="I25" s="126"/>
      <c r="J25" s="24"/>
      <c r="L25" s="332"/>
      <c r="M25" s="127" t="s">
        <v>547</v>
      </c>
      <c r="N25" s="127" t="s">
        <v>237</v>
      </c>
      <c r="O25" s="136" t="s">
        <v>548</v>
      </c>
      <c r="P25" s="355"/>
    </row>
    <row r="26" spans="2:16" ht="18.75">
      <c r="B26" s="89" t="s">
        <v>549</v>
      </c>
      <c r="C26" s="90">
        <v>1695</v>
      </c>
      <c r="D26" s="91" t="s">
        <v>525</v>
      </c>
      <c r="E26" s="150">
        <v>2.58</v>
      </c>
      <c r="F26" s="143" t="s">
        <v>546</v>
      </c>
      <c r="G26" s="23"/>
      <c r="H26" s="23"/>
      <c r="I26" s="126"/>
      <c r="J26" s="24"/>
      <c r="L26" s="332"/>
      <c r="M26" s="137" t="s">
        <v>550</v>
      </c>
      <c r="N26" s="137" t="s">
        <v>551</v>
      </c>
      <c r="O26" s="136" t="s">
        <v>544</v>
      </c>
      <c r="P26" s="355"/>
    </row>
    <row r="27" spans="2:16" ht="18.75">
      <c r="B27" s="89" t="s">
        <v>552</v>
      </c>
      <c r="C27" s="90">
        <v>1350</v>
      </c>
      <c r="D27" s="91" t="s">
        <v>525</v>
      </c>
      <c r="E27" s="150">
        <v>2.0499999999999998</v>
      </c>
      <c r="F27" s="143" t="s">
        <v>546</v>
      </c>
      <c r="G27" s="23"/>
      <c r="H27" s="23"/>
      <c r="I27" s="126"/>
      <c r="J27" s="24"/>
      <c r="L27" s="333"/>
      <c r="M27" s="137" t="s">
        <v>553</v>
      </c>
      <c r="N27" s="129" t="s">
        <v>554</v>
      </c>
      <c r="O27" s="139" t="s">
        <v>237</v>
      </c>
      <c r="P27" s="355"/>
    </row>
    <row r="28" spans="2:16" ht="18.75">
      <c r="B28" s="92" t="s">
        <v>555</v>
      </c>
      <c r="C28" s="93">
        <v>1198</v>
      </c>
      <c r="D28" s="94" t="s">
        <v>525</v>
      </c>
      <c r="E28" s="150">
        <v>1.82</v>
      </c>
      <c r="F28" s="143" t="s">
        <v>546</v>
      </c>
      <c r="G28" s="23"/>
      <c r="H28" s="23"/>
      <c r="I28" s="126"/>
      <c r="J28" s="24"/>
      <c r="L28" s="331" t="s">
        <v>556</v>
      </c>
      <c r="M28" s="138" t="s">
        <v>557</v>
      </c>
      <c r="N28" s="136" t="s">
        <v>558</v>
      </c>
      <c r="O28" s="136" t="s">
        <v>559</v>
      </c>
      <c r="P28" s="355"/>
    </row>
    <row r="29" spans="2:16" ht="18.75">
      <c r="B29" s="23"/>
      <c r="C29" s="23"/>
      <c r="D29" s="23"/>
      <c r="E29" s="23"/>
      <c r="F29" s="23"/>
      <c r="G29" s="23"/>
      <c r="H29" s="23"/>
      <c r="I29" s="23"/>
      <c r="J29" s="23"/>
      <c r="L29" s="332"/>
      <c r="M29" s="138" t="s">
        <v>560</v>
      </c>
      <c r="N29" s="136" t="s">
        <v>561</v>
      </c>
      <c r="O29" s="136" t="s">
        <v>562</v>
      </c>
      <c r="P29" s="355"/>
    </row>
    <row r="30" spans="2:16" ht="18.75">
      <c r="B30" s="23"/>
      <c r="C30" s="23"/>
      <c r="D30" s="23"/>
      <c r="E30" s="23"/>
      <c r="F30" s="23"/>
      <c r="G30" s="23"/>
      <c r="H30" s="23"/>
      <c r="I30" s="23"/>
      <c r="J30" s="23"/>
      <c r="L30" s="332"/>
      <c r="M30" s="138" t="s">
        <v>563</v>
      </c>
      <c r="N30" s="136" t="s">
        <v>564</v>
      </c>
      <c r="O30" s="136" t="s">
        <v>540</v>
      </c>
      <c r="P30" s="355"/>
    </row>
    <row r="31" spans="2:16" ht="18.75">
      <c r="B31" s="23"/>
      <c r="C31" s="23"/>
      <c r="D31" s="23"/>
      <c r="E31" s="23"/>
      <c r="F31" s="23"/>
      <c r="G31" s="23"/>
      <c r="H31" s="23"/>
      <c r="I31" s="23"/>
      <c r="J31" s="23"/>
      <c r="L31" s="333"/>
      <c r="M31" s="136" t="s">
        <v>565</v>
      </c>
      <c r="N31" s="130" t="s">
        <v>561</v>
      </c>
      <c r="O31" s="130" t="s">
        <v>544</v>
      </c>
      <c r="P31" s="356"/>
    </row>
    <row r="32" spans="2:16">
      <c r="B32" s="342" t="s">
        <v>566</v>
      </c>
      <c r="C32" s="342"/>
      <c r="D32" s="342"/>
      <c r="E32" s="342"/>
      <c r="F32" s="342"/>
      <c r="G32" s="342"/>
      <c r="H32" s="342"/>
      <c r="I32" s="342"/>
      <c r="J32" s="342"/>
      <c r="L32" s="24"/>
      <c r="M32" s="132"/>
      <c r="N32" s="132"/>
      <c r="O32" s="132"/>
      <c r="P32" s="131"/>
    </row>
    <row r="33" spans="1:25">
      <c r="B33" s="98" t="s">
        <v>567</v>
      </c>
      <c r="C33" s="99" t="s">
        <v>568</v>
      </c>
      <c r="D33" s="99" t="s">
        <v>569</v>
      </c>
      <c r="E33" s="99" t="s">
        <v>570</v>
      </c>
      <c r="F33" s="99" t="s">
        <v>571</v>
      </c>
      <c r="G33" s="99" t="s">
        <v>572</v>
      </c>
      <c r="H33" s="99" t="s">
        <v>573</v>
      </c>
    </row>
    <row r="34" spans="1:25">
      <c r="B34" s="106">
        <v>1.5</v>
      </c>
      <c r="C34" s="105">
        <v>50000</v>
      </c>
      <c r="D34" s="105">
        <v>150000</v>
      </c>
      <c r="E34" s="105">
        <v>1000</v>
      </c>
      <c r="F34" s="105">
        <v>120000</v>
      </c>
      <c r="G34" s="105">
        <v>20000</v>
      </c>
      <c r="H34" s="105">
        <v>5</v>
      </c>
    </row>
    <row r="35" spans="1:25">
      <c r="A35" s="151" t="s">
        <v>502</v>
      </c>
      <c r="B35" s="153" t="s">
        <v>237</v>
      </c>
      <c r="C35" s="93">
        <v>76.2</v>
      </c>
      <c r="D35" s="93">
        <v>228.6</v>
      </c>
      <c r="E35" s="93">
        <v>1.5</v>
      </c>
      <c r="F35" s="93">
        <v>182.88</v>
      </c>
      <c r="G35" s="93">
        <v>31</v>
      </c>
      <c r="H35" s="152" t="s">
        <v>237</v>
      </c>
    </row>
    <row r="41" spans="1:25">
      <c r="B41" s="334" t="s">
        <v>574</v>
      </c>
      <c r="C41" s="335"/>
      <c r="D41" s="335"/>
      <c r="E41" s="335"/>
      <c r="F41" s="335"/>
      <c r="G41" s="335"/>
      <c r="H41" s="335"/>
      <c r="I41" s="335"/>
      <c r="J41" s="335"/>
      <c r="K41" s="335"/>
      <c r="L41" s="335"/>
      <c r="M41" s="335"/>
      <c r="N41" s="335"/>
      <c r="O41" s="335"/>
    </row>
    <row r="42" spans="1:25">
      <c r="B42" s="335"/>
      <c r="C42" s="335"/>
      <c r="D42" s="335"/>
      <c r="E42" s="335"/>
      <c r="F42" s="335"/>
      <c r="G42" s="335"/>
      <c r="H42" s="335"/>
      <c r="I42" s="335"/>
      <c r="J42" s="335"/>
      <c r="K42" s="335"/>
      <c r="L42" s="335"/>
      <c r="M42" s="335"/>
      <c r="N42" s="335"/>
      <c r="O42" s="335"/>
    </row>
    <row r="43" spans="1:25">
      <c r="B43" s="335"/>
      <c r="C43" s="335"/>
      <c r="D43" s="335"/>
      <c r="E43" s="335"/>
      <c r="F43" s="335"/>
      <c r="G43" s="335"/>
      <c r="H43" s="335"/>
      <c r="I43" s="335"/>
      <c r="J43" s="335"/>
      <c r="K43" s="335"/>
      <c r="L43" s="335"/>
      <c r="M43" s="335"/>
      <c r="N43" s="335"/>
      <c r="O43" s="335"/>
    </row>
    <row r="44" spans="1:25" ht="17.25" customHeight="1">
      <c r="P44" s="161"/>
      <c r="Q44" s="161"/>
      <c r="R44" s="161"/>
      <c r="S44" s="161"/>
      <c r="T44" s="161"/>
      <c r="U44" s="161"/>
      <c r="V44" s="161"/>
      <c r="W44" s="161"/>
      <c r="X44" s="161"/>
      <c r="Y44" s="161"/>
    </row>
    <row r="45" spans="1:25"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30">
      <c r="B47" s="140" t="s">
        <v>575</v>
      </c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B48" s="95" t="s">
        <v>576</v>
      </c>
      <c r="C48" s="96" t="s">
        <v>577</v>
      </c>
      <c r="D48" s="96" t="s">
        <v>578</v>
      </c>
      <c r="E48" s="96" t="s">
        <v>579</v>
      </c>
      <c r="F48" s="96" t="s">
        <v>580</v>
      </c>
      <c r="G48" s="96" t="s">
        <v>581</v>
      </c>
      <c r="H48" s="96" t="s">
        <v>582</v>
      </c>
      <c r="I48" s="96" t="s">
        <v>583</v>
      </c>
      <c r="J48" s="96" t="s">
        <v>584</v>
      </c>
      <c r="K48" s="96" t="s">
        <v>585</v>
      </c>
      <c r="L48" s="96" t="s">
        <v>586</v>
      </c>
      <c r="M48" s="96" t="s">
        <v>587</v>
      </c>
      <c r="N48" s="97" t="s">
        <v>588</v>
      </c>
      <c r="O48" s="173" t="s">
        <v>589</v>
      </c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2:25">
      <c r="B49" s="89">
        <v>1</v>
      </c>
      <c r="C49" s="90">
        <v>1</v>
      </c>
      <c r="D49" s="90">
        <f>C16*C17</f>
        <v>8000</v>
      </c>
      <c r="E49" s="90">
        <f>Tableau2[[#This Row],[Usable_fresh_kg]]*0.1</f>
        <v>800</v>
      </c>
      <c r="F49" s="90">
        <f>C20*Tableau2[[#This Row],[Dried_kg]]</f>
        <v>16000000</v>
      </c>
      <c r="G49" s="90">
        <v>1820</v>
      </c>
      <c r="H49" s="90">
        <f>Tableau2[[#This Row],[Unit_cost_FCFA_per_kg]]*Tableau2[[#This Row],[Dried_kg]]</f>
        <v>1456000</v>
      </c>
      <c r="I49" s="90">
        <v>16</v>
      </c>
      <c r="J49" s="90">
        <v>110000</v>
      </c>
      <c r="K49" s="90">
        <v>30000</v>
      </c>
      <c r="L49" s="90">
        <f>Tableau2[[#This Row],[Cost_yearly_dried_mango_FCFA]]+Tableau2[[#This Row],[Export_price_FCFA]]</f>
        <v>17456000</v>
      </c>
      <c r="M49" s="90">
        <f>Tableau2[[#This Row],[Cost_yearly_dried_mango_FCFA]]-Tableau2[[#This Row],[Energy_cost_FCFA]]-Tableau2[[#This Row],[Maintenance_FCFA]]</f>
        <v>1316000</v>
      </c>
      <c r="N49" s="91">
        <v>4.6100000000000003</v>
      </c>
      <c r="O49" s="91">
        <v>1</v>
      </c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2:25">
      <c r="B50" s="89">
        <v>1</v>
      </c>
      <c r="C50" s="90">
        <v>2</v>
      </c>
      <c r="D50" s="90">
        <f>C16*C17</f>
        <v>8000</v>
      </c>
      <c r="E50" s="90">
        <f>Tableau2[[#This Row],[Usable_fresh_kg]]*0.1</f>
        <v>800</v>
      </c>
      <c r="F50" s="90">
        <f>C20*Tableau2[[#This Row],[Dried_kg]]</f>
        <v>16000000</v>
      </c>
      <c r="G50" s="90">
        <v>1820</v>
      </c>
      <c r="H50" s="90">
        <f>Tableau2[[#This Row],[Unit_cost_FCFA_per_kg]]*Tableau2[[#This Row],[Dried_kg]]</f>
        <v>1456000</v>
      </c>
      <c r="I50" s="90">
        <v>16</v>
      </c>
      <c r="J50" s="90">
        <v>110000</v>
      </c>
      <c r="K50" s="90">
        <v>30000</v>
      </c>
      <c r="L50" s="90">
        <f>Tableau2[[#This Row],[Cost_yearly_dried_mango_FCFA]]+Tableau2[[#This Row],[Export_price_FCFA]]</f>
        <v>17456000</v>
      </c>
      <c r="M50" s="90">
        <f>Tableau2[[#This Row],[Cost_yearly_dried_mango_FCFA]]-Tableau2[[#This Row],[Energy_cost_FCFA]]-Tableau2[[#This Row],[Maintenance_FCFA]]</f>
        <v>1316000</v>
      </c>
      <c r="N50" s="91">
        <v>4.67</v>
      </c>
      <c r="O50" s="91">
        <v>1</v>
      </c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2:25">
      <c r="B51" s="89">
        <v>1</v>
      </c>
      <c r="C51" s="90">
        <v>3</v>
      </c>
      <c r="D51" s="90">
        <f>C16*C17</f>
        <v>8000</v>
      </c>
      <c r="E51" s="90">
        <f>Tableau2[[#This Row],[Usable_fresh_kg]]*0.1</f>
        <v>800</v>
      </c>
      <c r="F51" s="90">
        <f>Tableau2[[#This Row],[Dried_kg]]*C20</f>
        <v>16000000</v>
      </c>
      <c r="G51" s="90">
        <v>1820</v>
      </c>
      <c r="H51" s="90">
        <f>Tableau2[[#This Row],[Unit_cost_FCFA_per_kg]]*Tableau2[[#This Row],[Dried_kg]]</f>
        <v>1456000</v>
      </c>
      <c r="I51" s="90">
        <v>16</v>
      </c>
      <c r="J51" s="90">
        <v>110000</v>
      </c>
      <c r="K51" s="90">
        <v>30000</v>
      </c>
      <c r="L51" s="90">
        <f>Tableau2[[#This Row],[Cost_yearly_dried_mango_FCFA]]+Tableau2[[#This Row],[Export_price_FCFA]]</f>
        <v>17456000</v>
      </c>
      <c r="M51" s="90">
        <f>Tableau2[[#This Row],[Cost_yearly_dried_mango_FCFA]]-Tableau2[[#This Row],[Energy_cost_FCFA]]-Tableau2[[#This Row],[Maintenance_FCFA]]</f>
        <v>1316000</v>
      </c>
      <c r="N51" s="90">
        <v>4.7300000000000004</v>
      </c>
      <c r="O51" s="109">
        <v>1</v>
      </c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2:25">
      <c r="B52" s="89">
        <v>1</v>
      </c>
      <c r="C52" s="90">
        <v>4</v>
      </c>
      <c r="D52" s="90">
        <f>C16*C17</f>
        <v>8000</v>
      </c>
      <c r="E52" s="90">
        <f>Tableau2[[#This Row],[Usable_fresh_kg]]*0.1</f>
        <v>800</v>
      </c>
      <c r="F52" s="90">
        <f>C20*Tableau2[[#This Row],[Dried_kg]]</f>
        <v>16000000</v>
      </c>
      <c r="G52" s="90">
        <v>1820</v>
      </c>
      <c r="H52" s="90">
        <f>Tableau2[[#This Row],[Unit_cost_FCFA_per_kg]]*Tableau2[[#This Row],[Dried_kg]]</f>
        <v>1456000</v>
      </c>
      <c r="I52" s="90">
        <v>16</v>
      </c>
      <c r="J52" s="90">
        <v>110000</v>
      </c>
      <c r="K52" s="90">
        <v>30000</v>
      </c>
      <c r="L52" s="90">
        <f>Tableau2[[#This Row],[Cost_yearly_dried_mango_FCFA]]+Tableau2[[#This Row],[Export_price_FCFA]]</f>
        <v>17456000</v>
      </c>
      <c r="M52" s="90">
        <f>Tableau2[[#This Row],[Cost_yearly_dried_mango_FCFA]]-Tableau2[[#This Row],[Energy_cost_FCFA]]-Tableau2[[#This Row],[Maintenance_FCFA]]</f>
        <v>1316000</v>
      </c>
      <c r="N52" s="90">
        <v>4.79</v>
      </c>
      <c r="O52" s="91">
        <v>1</v>
      </c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2:25">
      <c r="B53" s="89">
        <v>1</v>
      </c>
      <c r="C53" s="90">
        <v>5</v>
      </c>
      <c r="D53" s="90">
        <f>C16*C17</f>
        <v>8000</v>
      </c>
      <c r="E53" s="90">
        <f>Tableau2[[#This Row],[Usable_fresh_kg]]*0.1</f>
        <v>800</v>
      </c>
      <c r="F53" s="90">
        <f>Tableau2[[#This Row],[Dried_kg]]*C20</f>
        <v>16000000</v>
      </c>
      <c r="G53" s="90">
        <v>1820</v>
      </c>
      <c r="H53" s="90">
        <f>Tableau2[[#This Row],[Unit_cost_FCFA_per_kg]]*Tableau2[[#This Row],[Dried_kg]]</f>
        <v>1456000</v>
      </c>
      <c r="I53" s="90">
        <v>16</v>
      </c>
      <c r="J53" s="90">
        <v>110000</v>
      </c>
      <c r="K53" s="90">
        <v>30000</v>
      </c>
      <c r="L53" s="90">
        <f>Tableau2[[#This Row],[Cost_yearly_dried_mango_FCFA]]+Tableau2[[#This Row],[Export_price_FCFA]]</f>
        <v>17456000</v>
      </c>
      <c r="M53" s="90">
        <f>Tableau2[[#This Row],[Cost_yearly_dried_mango_FCFA]]-Tableau2[[#This Row],[Energy_cost_FCFA]]-Tableau2[[#This Row],[Maintenance_FCFA]]</f>
        <v>1316000</v>
      </c>
      <c r="N53" s="90">
        <v>4.8600000000000003</v>
      </c>
      <c r="O53" s="91">
        <v>1</v>
      </c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2:25">
      <c r="B54" s="89">
        <v>1</v>
      </c>
      <c r="C54" s="90">
        <v>6</v>
      </c>
      <c r="D54" s="90">
        <f>C16*C17</f>
        <v>8000</v>
      </c>
      <c r="E54" s="90">
        <f>Tableau2[[#This Row],[Usable_fresh_kg]]*0.1</f>
        <v>800</v>
      </c>
      <c r="F54" s="90">
        <f>C20*Tableau2[[#This Row],[Dried_kg]]</f>
        <v>16000000</v>
      </c>
      <c r="G54" s="90">
        <v>1820</v>
      </c>
      <c r="H54" s="90">
        <f>Tableau2[[#This Row],[Unit_cost_FCFA_per_kg]]*Tableau2[[#This Row],[Dried_kg]]</f>
        <v>1456000</v>
      </c>
      <c r="I54" s="90">
        <v>16</v>
      </c>
      <c r="J54" s="90">
        <v>110000</v>
      </c>
      <c r="K54" s="90">
        <v>30000</v>
      </c>
      <c r="L54" s="90">
        <f>Tableau2[[#This Row],[Cost_yearly_dried_mango_FCFA]]+Tableau2[[#This Row],[Export_price_FCFA]]</f>
        <v>17456000</v>
      </c>
      <c r="M54" s="90">
        <f>Tableau2[[#This Row],[Cost_yearly_dried_mango_FCFA]]-Tableau2[[#This Row],[Energy_cost_FCFA]]-Tableau2[[#This Row],[Maintenance_FCFA]]</f>
        <v>1316000</v>
      </c>
      <c r="N54" s="90">
        <v>4.92</v>
      </c>
      <c r="O54" s="91">
        <v>1</v>
      </c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2:25">
      <c r="B55" s="89">
        <v>1</v>
      </c>
      <c r="C55" s="90">
        <v>7</v>
      </c>
      <c r="D55" s="90">
        <f>C16*C17</f>
        <v>8000</v>
      </c>
      <c r="E55" s="90">
        <f>Tableau2[[#This Row],[Usable_fresh_kg]]*0.1</f>
        <v>800</v>
      </c>
      <c r="F55" s="90">
        <f>C20*Tableau2[[#This Row],[Dried_kg]]</f>
        <v>16000000</v>
      </c>
      <c r="G55" s="90">
        <v>1820</v>
      </c>
      <c r="H55" s="90">
        <f>Tableau2[[#This Row],[Unit_cost_FCFA_per_kg]]*Tableau2[[#This Row],[Dried_kg]]</f>
        <v>1456000</v>
      </c>
      <c r="I55" s="90">
        <v>16</v>
      </c>
      <c r="J55" s="90">
        <v>110000</v>
      </c>
      <c r="K55" s="90">
        <v>30000</v>
      </c>
      <c r="L55" s="90">
        <f>Tableau2[[#This Row],[Cost_yearly_dried_mango_FCFA]]+Tableau2[[#This Row],[Export_price_FCFA]]</f>
        <v>17456000</v>
      </c>
      <c r="M55" s="90">
        <f>Tableau2[[#This Row],[Cost_yearly_dried_mango_FCFA]]-Tableau2[[#This Row],[Energy_cost_FCFA]]-Tableau2[[#This Row],[Maintenance_FCFA]]</f>
        <v>1316000</v>
      </c>
      <c r="N55" s="90">
        <v>4.9800000000000004</v>
      </c>
      <c r="O55" s="91">
        <v>1</v>
      </c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2:25">
      <c r="B56" s="89">
        <v>1</v>
      </c>
      <c r="C56" s="90">
        <v>8</v>
      </c>
      <c r="D56" s="90">
        <f>C16*C17</f>
        <v>8000</v>
      </c>
      <c r="E56" s="90">
        <f>Tableau2[[#This Row],[Usable_fresh_kg]]*0.1</f>
        <v>800</v>
      </c>
      <c r="F56" s="90">
        <f>C20*Tableau2[[#This Row],[Dried_kg]]</f>
        <v>16000000</v>
      </c>
      <c r="G56" s="90">
        <v>1820</v>
      </c>
      <c r="H56" s="90">
        <f>Tableau2[[#This Row],[Unit_cost_FCFA_per_kg]]*Tableau2[[#This Row],[Dried_kg]]</f>
        <v>1456000</v>
      </c>
      <c r="I56" s="90">
        <v>16</v>
      </c>
      <c r="J56" s="90">
        <v>110000</v>
      </c>
      <c r="K56" s="90">
        <v>30000</v>
      </c>
      <c r="L56" s="90">
        <f>Tableau2[[#This Row],[Cost_yearly_dried_mango_FCFA]]+Tableau2[[#This Row],[Export_price_FCFA]]</f>
        <v>17456000</v>
      </c>
      <c r="M56" s="90">
        <f>Tableau2[[#This Row],[Cost_yearly_dried_mango_FCFA]]-Tableau2[[#This Row],[Energy_cost_FCFA]]-Tableau2[[#This Row],[Maintenance_FCFA]]</f>
        <v>1316000</v>
      </c>
      <c r="N56" s="90">
        <v>5.04</v>
      </c>
      <c r="O56" s="91">
        <v>1</v>
      </c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2:25">
      <c r="B57" s="89">
        <v>1</v>
      </c>
      <c r="C57" s="90">
        <v>9</v>
      </c>
      <c r="D57" s="90">
        <f>C16*C17</f>
        <v>8000</v>
      </c>
      <c r="E57" s="90">
        <f>Tableau2[[#This Row],[Usable_fresh_kg]]*0.1</f>
        <v>800</v>
      </c>
      <c r="F57" s="90">
        <f>C20*Tableau2[[#This Row],[Dried_kg]]</f>
        <v>16000000</v>
      </c>
      <c r="G57" s="90">
        <v>1820</v>
      </c>
      <c r="H57" s="90">
        <f>Tableau2[[#This Row],[Unit_cost_FCFA_per_kg]]*Tableau2[[#This Row],[Dried_kg]]</f>
        <v>1456000</v>
      </c>
      <c r="I57" s="90">
        <v>16</v>
      </c>
      <c r="J57" s="90">
        <v>110000</v>
      </c>
      <c r="K57" s="90">
        <v>30000</v>
      </c>
      <c r="L57" s="90">
        <f>Tableau2[[#This Row],[Cost_yearly_dried_mango_FCFA]]+Tableau2[[#This Row],[Export_price_FCFA]]</f>
        <v>17456000</v>
      </c>
      <c r="M57" s="90">
        <f>Tableau2[[#This Row],[Cost_yearly_dried_mango_FCFA]]-Tableau2[[#This Row],[Energy_cost_FCFA]]-Tableau2[[#This Row],[Maintenance_FCFA]]</f>
        <v>1316000</v>
      </c>
      <c r="N57" s="90">
        <v>5.0999999999999996</v>
      </c>
      <c r="O57" s="91">
        <v>1</v>
      </c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2:25">
      <c r="B58" s="92">
        <v>1</v>
      </c>
      <c r="C58" s="93">
        <v>10</v>
      </c>
      <c r="D58" s="93">
        <f>C16*C17</f>
        <v>8000</v>
      </c>
      <c r="E58" s="90">
        <f>Tableau2[[#This Row],[Usable_fresh_kg]]*0.1</f>
        <v>800</v>
      </c>
      <c r="F58" s="90">
        <f>C20*Tableau2[[#This Row],[Dried_kg]]</f>
        <v>16000000</v>
      </c>
      <c r="G58" s="90">
        <v>1820</v>
      </c>
      <c r="H58" s="90">
        <f>Tableau2[[#This Row],[Unit_cost_FCFA_per_kg]]*Tableau2[[#This Row],[Dried_kg]]</f>
        <v>1456000</v>
      </c>
      <c r="I58" s="93">
        <v>16</v>
      </c>
      <c r="J58" s="159">
        <v>110000</v>
      </c>
      <c r="K58" s="159">
        <v>30000</v>
      </c>
      <c r="L58" s="159">
        <f>Tableau2[[#This Row],[Cost_yearly_dried_mango_FCFA]]+Tableau2[[#This Row],[Export_price_FCFA]]</f>
        <v>17456000</v>
      </c>
      <c r="M58" s="90">
        <f>Tableau2[[#This Row],[Cost_yearly_dried_mango_FCFA]]-Tableau2[[#This Row],[Energy_cost_FCFA]]-Tableau2[[#This Row],[Maintenance_FCFA]]</f>
        <v>1316000</v>
      </c>
      <c r="N58" s="93">
        <v>5.17</v>
      </c>
      <c r="O58" s="94">
        <v>1</v>
      </c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2:25"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pans="2:25"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2:25"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2:25"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pans="2:25" ht="30.75" customHeight="1">
      <c r="P63" s="161"/>
      <c r="Q63" s="161"/>
      <c r="R63" s="161"/>
      <c r="S63" s="161"/>
      <c r="T63" s="161"/>
      <c r="U63" s="161"/>
      <c r="V63" s="161"/>
      <c r="W63" s="161"/>
      <c r="X63" s="161"/>
      <c r="Y63" s="161"/>
    </row>
    <row r="64" spans="2:25"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2:25"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spans="2:25" ht="30">
      <c r="B66" s="88" t="s">
        <v>590</v>
      </c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spans="2:25">
      <c r="B67" s="96" t="s">
        <v>576</v>
      </c>
      <c r="C67" s="96" t="s">
        <v>577</v>
      </c>
      <c r="D67" s="96" t="s">
        <v>578</v>
      </c>
      <c r="E67" s="96" t="s">
        <v>579</v>
      </c>
      <c r="F67" s="96" t="s">
        <v>580</v>
      </c>
      <c r="G67" s="96" t="s">
        <v>581</v>
      </c>
      <c r="H67" s="96" t="s">
        <v>582</v>
      </c>
      <c r="I67" s="96" t="s">
        <v>583</v>
      </c>
      <c r="J67" s="96" t="s">
        <v>584</v>
      </c>
      <c r="K67" s="96" t="s">
        <v>591</v>
      </c>
      <c r="L67" s="96" t="s">
        <v>586</v>
      </c>
      <c r="M67" s="96" t="s">
        <v>587</v>
      </c>
      <c r="N67" s="96" t="s">
        <v>588</v>
      </c>
      <c r="O67" s="97" t="s">
        <v>589</v>
      </c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pans="2:25">
      <c r="B68" s="107">
        <v>3</v>
      </c>
      <c r="C68" s="108">
        <v>1</v>
      </c>
      <c r="D68" s="108">
        <f>Tableau3[[#This Row],[Scenario_ha]]*D49</f>
        <v>24000</v>
      </c>
      <c r="E68" s="108">
        <f>Tableau3[[#This Row],[Usable_fresh_kg]]*0.1</f>
        <v>2400</v>
      </c>
      <c r="F68" s="108">
        <f>C20*Tableau3[[#This Row],[Dried_kg]]</f>
        <v>48000000</v>
      </c>
      <c r="G68" s="108">
        <v>1695</v>
      </c>
      <c r="H68" s="108">
        <f>Tableau3[[#This Row],[Dried_kg]]*Tableau3[[#This Row],[Unit_cost_FCFA_per_kg]]</f>
        <v>4068000</v>
      </c>
      <c r="I68" s="108">
        <v>48</v>
      </c>
      <c r="J68" s="108">
        <v>240000</v>
      </c>
      <c r="K68" s="108">
        <v>60000</v>
      </c>
      <c r="L68" s="108">
        <f>Tableau3[[#This Row],[Cost_yearly_dried_mango_FCFA]]+Tableau3[[#This Row],[Export_price_FCFA]]</f>
        <v>52068000</v>
      </c>
      <c r="M68" s="108">
        <f>Tableau3[[#This Row],[Cost_yearly_dried_mango_FCFA]]-Tableau3[[#This Row],[Energy_cost_FCFA]]-Tableau3[[#This Row],[Maintenance]]</f>
        <v>3768000</v>
      </c>
      <c r="N68" s="108">
        <v>4.45</v>
      </c>
      <c r="O68" s="109">
        <v>2</v>
      </c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 spans="2:25">
      <c r="B69" s="89">
        <v>3</v>
      </c>
      <c r="C69" s="90">
        <v>2</v>
      </c>
      <c r="D69" s="108">
        <f>Tableau3[[#This Row],[Scenario_ha]]*D50</f>
        <v>24000</v>
      </c>
      <c r="E69" s="108">
        <f>Tableau3[[#This Row],[Usable_fresh_kg]]*0.1</f>
        <v>2400</v>
      </c>
      <c r="F69" s="90">
        <f>Tableau3[[#This Row],[Dried_kg]]*C20</f>
        <v>48000000</v>
      </c>
      <c r="G69" s="108">
        <v>1695</v>
      </c>
      <c r="H69" s="108">
        <f>Tableau3[[#This Row],[Dried_kg]]*Tableau3[[#This Row],[Unit_cost_FCFA_per_kg]]</f>
        <v>4068000</v>
      </c>
      <c r="I69" s="90">
        <v>48</v>
      </c>
      <c r="J69" s="108">
        <v>240000</v>
      </c>
      <c r="K69" s="108">
        <v>60000</v>
      </c>
      <c r="L69" s="108">
        <f>Tableau3[[#This Row],[Cost_yearly_dried_mango_FCFA]]+Tableau3[[#This Row],[Export_price_FCFA]]</f>
        <v>52068000</v>
      </c>
      <c r="M69" s="108">
        <f>Tableau3[[#This Row],[Cost_yearly_dried_mango_FCFA]]-Tableau3[[#This Row],[Energy_cost_FCFA]]-Tableau3[[#This Row],[Maintenance]]</f>
        <v>3768000</v>
      </c>
      <c r="N69" s="90">
        <v>4.51</v>
      </c>
      <c r="O69" s="91">
        <v>2</v>
      </c>
      <c r="P69" s="22"/>
      <c r="Q69" s="22"/>
      <c r="R69" s="22"/>
      <c r="S69" s="22"/>
      <c r="T69" s="22"/>
      <c r="U69" s="22"/>
      <c r="V69" s="22"/>
      <c r="W69" s="22"/>
      <c r="X69" s="22"/>
      <c r="Y69" s="22"/>
    </row>
    <row r="70" spans="2:25">
      <c r="B70" s="89">
        <v>3</v>
      </c>
      <c r="C70" s="90">
        <v>3</v>
      </c>
      <c r="D70" s="108">
        <f>Tableau3[[#This Row],[Scenario_ha]]*D51</f>
        <v>24000</v>
      </c>
      <c r="E70" s="108">
        <f>Tableau3[[#This Row],[Usable_fresh_kg]]*0.1</f>
        <v>2400</v>
      </c>
      <c r="F70" s="90">
        <f>Tableau3[[#This Row],[Dried_kg]]*C20</f>
        <v>48000000</v>
      </c>
      <c r="G70" s="108">
        <v>1695</v>
      </c>
      <c r="H70" s="108">
        <f>Tableau3[[#This Row],[Dried_kg]]*Tableau3[[#This Row],[Unit_cost_FCFA_per_kg]]</f>
        <v>4068000</v>
      </c>
      <c r="I70" s="90">
        <v>48</v>
      </c>
      <c r="J70" s="108">
        <v>240000</v>
      </c>
      <c r="K70" s="108">
        <v>60000</v>
      </c>
      <c r="L70" s="108">
        <f>Tableau3[[#This Row],[Cost_yearly_dried_mango_FCFA]]+Tableau3[[#This Row],[Export_price_FCFA]]</f>
        <v>52068000</v>
      </c>
      <c r="M70" s="108">
        <f>Tableau3[[#This Row],[Cost_yearly_dried_mango_FCFA]]-Tableau3[[#This Row],[Energy_cost_FCFA]]-Tableau3[[#This Row],[Maintenance]]</f>
        <v>3768000</v>
      </c>
      <c r="N70" s="90">
        <v>4.57</v>
      </c>
      <c r="O70" s="91">
        <v>2</v>
      </c>
      <c r="P70" s="22"/>
      <c r="Q70" s="22"/>
      <c r="R70" s="22"/>
      <c r="S70" s="22"/>
      <c r="T70" s="22"/>
      <c r="U70" s="22"/>
      <c r="V70" s="22"/>
      <c r="W70" s="22"/>
      <c r="X70" s="22"/>
      <c r="Y70" s="22"/>
    </row>
    <row r="71" spans="2:25">
      <c r="B71" s="89">
        <v>3</v>
      </c>
      <c r="C71" s="90">
        <v>4</v>
      </c>
      <c r="D71" s="108">
        <f>Tableau3[[#This Row],[Scenario_ha]]*D52</f>
        <v>24000</v>
      </c>
      <c r="E71" s="108">
        <f>Tableau3[[#This Row],[Usable_fresh_kg]]*0.1</f>
        <v>2400</v>
      </c>
      <c r="F71" s="90">
        <f>Tableau3[[#This Row],[Dried_kg]]*C20</f>
        <v>48000000</v>
      </c>
      <c r="G71" s="108">
        <v>1695</v>
      </c>
      <c r="H71" s="108">
        <f>Tableau3[[#This Row],[Dried_kg]]*Tableau3[[#This Row],[Unit_cost_FCFA_per_kg]]</f>
        <v>4068000</v>
      </c>
      <c r="I71" s="90">
        <v>48</v>
      </c>
      <c r="J71" s="108">
        <v>240000</v>
      </c>
      <c r="K71" s="108">
        <v>60000</v>
      </c>
      <c r="L71" s="108">
        <f>Tableau3[[#This Row],[Cost_yearly_dried_mango_FCFA]]+Tableau3[[#This Row],[Export_price_FCFA]]</f>
        <v>52068000</v>
      </c>
      <c r="M71" s="108">
        <f>Tableau3[[#This Row],[Cost_yearly_dried_mango_FCFA]]-Tableau3[[#This Row],[Energy_cost_FCFA]]-Tableau3[[#This Row],[Maintenance]]</f>
        <v>3768000</v>
      </c>
      <c r="N71" s="90">
        <v>4.63</v>
      </c>
      <c r="O71" s="91">
        <v>2</v>
      </c>
      <c r="P71" s="22"/>
      <c r="Q71" s="22"/>
      <c r="R71" s="22"/>
      <c r="S71" s="22"/>
      <c r="T71" s="22"/>
      <c r="U71" s="22"/>
      <c r="V71" s="22"/>
      <c r="W71" s="22"/>
      <c r="X71" s="22"/>
      <c r="Y71" s="22"/>
    </row>
    <row r="72" spans="2:25">
      <c r="B72" s="89">
        <v>3</v>
      </c>
      <c r="C72" s="90">
        <v>5</v>
      </c>
      <c r="D72" s="108">
        <f>Tableau3[[#This Row],[Scenario_ha]]*D53</f>
        <v>24000</v>
      </c>
      <c r="E72" s="108">
        <f>Tableau3[[#This Row],[Usable_fresh_kg]]*0.1</f>
        <v>2400</v>
      </c>
      <c r="F72" s="90">
        <f>Tableau3[[#This Row],[Dried_kg]]*C20</f>
        <v>48000000</v>
      </c>
      <c r="G72" s="108">
        <v>1695</v>
      </c>
      <c r="H72" s="108">
        <f>Tableau3[[#This Row],[Dried_kg]]*Tableau3[[#This Row],[Unit_cost_FCFA_per_kg]]</f>
        <v>4068000</v>
      </c>
      <c r="I72" s="90">
        <v>48</v>
      </c>
      <c r="J72" s="108">
        <v>240000</v>
      </c>
      <c r="K72" s="108">
        <v>60000</v>
      </c>
      <c r="L72" s="108">
        <f>Tableau3[[#This Row],[Cost_yearly_dried_mango_FCFA]]+Tableau3[[#This Row],[Export_price_FCFA]]</f>
        <v>52068000</v>
      </c>
      <c r="M72" s="108">
        <f>Tableau3[[#This Row],[Cost_yearly_dried_mango_FCFA]]-Tableau3[[#This Row],[Energy_cost_FCFA]]-Tableau3[[#This Row],[Maintenance]]</f>
        <v>3768000</v>
      </c>
      <c r="N72" s="90">
        <v>4.7</v>
      </c>
      <c r="O72" s="91">
        <v>2</v>
      </c>
      <c r="P72" s="22"/>
      <c r="Q72" s="22"/>
      <c r="R72" s="22"/>
      <c r="S72" s="22"/>
      <c r="T72" s="22"/>
      <c r="U72" s="22"/>
      <c r="V72" s="22"/>
      <c r="W72" s="22"/>
      <c r="X72" s="22"/>
      <c r="Y72" s="22"/>
    </row>
    <row r="73" spans="2:25">
      <c r="B73" s="89">
        <v>3</v>
      </c>
      <c r="C73" s="90">
        <v>6</v>
      </c>
      <c r="D73" s="108">
        <f>Tableau3[[#This Row],[Scenario_ha]]*D54</f>
        <v>24000</v>
      </c>
      <c r="E73" s="108">
        <f>Tableau3[[#This Row],[Usable_fresh_kg]]*0.1</f>
        <v>2400</v>
      </c>
      <c r="F73" s="90">
        <f>Tableau3[[#This Row],[Dried_kg]]*C20</f>
        <v>48000000</v>
      </c>
      <c r="G73" s="108">
        <v>1695</v>
      </c>
      <c r="H73" s="108">
        <f>Tableau3[[#This Row],[Dried_kg]]*Tableau3[[#This Row],[Unit_cost_FCFA_per_kg]]</f>
        <v>4068000</v>
      </c>
      <c r="I73" s="90">
        <v>48</v>
      </c>
      <c r="J73" s="108">
        <v>240000</v>
      </c>
      <c r="K73" s="108">
        <v>60000</v>
      </c>
      <c r="L73" s="108">
        <f>Tableau3[[#This Row],[Cost_yearly_dried_mango_FCFA]]+Tableau3[[#This Row],[Export_price_FCFA]]</f>
        <v>52068000</v>
      </c>
      <c r="M73" s="108">
        <f>Tableau3[[#This Row],[Cost_yearly_dried_mango_FCFA]]-Tableau3[[#This Row],[Energy_cost_FCFA]]-Tableau3[[#This Row],[Maintenance]]</f>
        <v>3768000</v>
      </c>
      <c r="N73" s="90">
        <v>4.76</v>
      </c>
      <c r="O73" s="91">
        <v>2</v>
      </c>
      <c r="P73" s="22"/>
      <c r="Q73" s="22"/>
      <c r="R73" s="22"/>
      <c r="S73" s="22"/>
      <c r="T73" s="22"/>
      <c r="U73" s="22"/>
      <c r="V73" s="22"/>
      <c r="W73" s="22"/>
      <c r="X73" s="22"/>
      <c r="Y73" s="22"/>
    </row>
    <row r="74" spans="2:25">
      <c r="B74" s="89">
        <v>3</v>
      </c>
      <c r="C74" s="90">
        <v>7</v>
      </c>
      <c r="D74" s="108">
        <f>Tableau3[[#This Row],[Scenario_ha]]*D55</f>
        <v>24000</v>
      </c>
      <c r="E74" s="108">
        <f>Tableau3[[#This Row],[Usable_fresh_kg]]*0.1</f>
        <v>2400</v>
      </c>
      <c r="F74" s="90">
        <f>Tableau3[[#This Row],[Dried_kg]]*C20</f>
        <v>48000000</v>
      </c>
      <c r="G74" s="108">
        <v>1695</v>
      </c>
      <c r="H74" s="108">
        <f>Tableau3[[#This Row],[Dried_kg]]*Tableau3[[#This Row],[Unit_cost_FCFA_per_kg]]</f>
        <v>4068000</v>
      </c>
      <c r="I74" s="90">
        <v>48</v>
      </c>
      <c r="J74" s="108">
        <v>240000</v>
      </c>
      <c r="K74" s="108">
        <v>60000</v>
      </c>
      <c r="L74" s="108">
        <f>Tableau3[[#This Row],[Cost_yearly_dried_mango_FCFA]]+Tableau3[[#This Row],[Export_price_FCFA]]</f>
        <v>52068000</v>
      </c>
      <c r="M74" s="108">
        <f>Tableau3[[#This Row],[Cost_yearly_dried_mango_FCFA]]-Tableau3[[#This Row],[Energy_cost_FCFA]]-Tableau3[[#This Row],[Maintenance]]</f>
        <v>3768000</v>
      </c>
      <c r="N74" s="90">
        <v>4.82</v>
      </c>
      <c r="O74" s="91">
        <v>2</v>
      </c>
      <c r="P74" s="22"/>
      <c r="Q74" s="22"/>
      <c r="R74" s="22"/>
      <c r="S74" s="22"/>
      <c r="T74" s="22"/>
      <c r="U74" s="22"/>
      <c r="V74" s="22"/>
      <c r="W74" s="22"/>
      <c r="X74" s="22"/>
      <c r="Y74" s="22"/>
    </row>
    <row r="75" spans="2:25">
      <c r="B75" s="89">
        <v>3</v>
      </c>
      <c r="C75" s="90">
        <v>8</v>
      </c>
      <c r="D75" s="108">
        <f>Tableau3[[#This Row],[Scenario_ha]]*D56</f>
        <v>24000</v>
      </c>
      <c r="E75" s="108">
        <f>Tableau3[[#This Row],[Usable_fresh_kg]]*0.1</f>
        <v>2400</v>
      </c>
      <c r="F75" s="90">
        <f>Tableau3[[#This Row],[Dried_kg]]*C20</f>
        <v>48000000</v>
      </c>
      <c r="G75" s="108">
        <v>1695</v>
      </c>
      <c r="H75" s="108">
        <f>Tableau3[[#This Row],[Dried_kg]]*Tableau3[[#This Row],[Unit_cost_FCFA_per_kg]]</f>
        <v>4068000</v>
      </c>
      <c r="I75" s="90">
        <v>48</v>
      </c>
      <c r="J75" s="108">
        <v>240000</v>
      </c>
      <c r="K75" s="108">
        <v>60000</v>
      </c>
      <c r="L75" s="108">
        <f>Tableau3[[#This Row],[Cost_yearly_dried_mango_FCFA]]+Tableau3[[#This Row],[Export_price_FCFA]]</f>
        <v>52068000</v>
      </c>
      <c r="M75" s="108">
        <f>Tableau3[[#This Row],[Cost_yearly_dried_mango_FCFA]]-Tableau3[[#This Row],[Energy_cost_FCFA]]-Tableau3[[#This Row],[Maintenance]]</f>
        <v>3768000</v>
      </c>
      <c r="N75" s="90">
        <v>4.88</v>
      </c>
      <c r="O75" s="91">
        <v>2</v>
      </c>
      <c r="P75" s="22"/>
      <c r="Q75" s="22"/>
      <c r="R75" s="22"/>
      <c r="S75" s="22"/>
      <c r="T75" s="22"/>
      <c r="U75" s="22"/>
      <c r="V75" s="22"/>
      <c r="W75" s="22"/>
      <c r="X75" s="22"/>
      <c r="Y75" s="22"/>
    </row>
    <row r="76" spans="2:25">
      <c r="B76" s="89">
        <v>3</v>
      </c>
      <c r="C76" s="90">
        <v>9</v>
      </c>
      <c r="D76" s="108">
        <f>Tableau3[[#This Row],[Scenario_ha]]*D57</f>
        <v>24000</v>
      </c>
      <c r="E76" s="108">
        <f>Tableau3[[#This Row],[Usable_fresh_kg]]*0.1</f>
        <v>2400</v>
      </c>
      <c r="F76" s="90">
        <f>Tableau3[[#This Row],[Dried_kg]]*C20</f>
        <v>48000000</v>
      </c>
      <c r="G76" s="108">
        <v>1695</v>
      </c>
      <c r="H76" s="108">
        <f>Tableau3[[#This Row],[Dried_kg]]*Tableau3[[#This Row],[Unit_cost_FCFA_per_kg]]</f>
        <v>4068000</v>
      </c>
      <c r="I76" s="90">
        <v>48</v>
      </c>
      <c r="J76" s="108">
        <v>240000</v>
      </c>
      <c r="K76" s="108">
        <v>60000</v>
      </c>
      <c r="L76" s="108">
        <f>Tableau3[[#This Row],[Cost_yearly_dried_mango_FCFA]]+Tableau3[[#This Row],[Export_price_FCFA]]</f>
        <v>52068000</v>
      </c>
      <c r="M76" s="108">
        <f>Tableau3[[#This Row],[Cost_yearly_dried_mango_FCFA]]-Tableau3[[#This Row],[Energy_cost_FCFA]]-Tableau3[[#This Row],[Maintenance]]</f>
        <v>3768000</v>
      </c>
      <c r="N76" s="90">
        <v>4.9400000000000004</v>
      </c>
      <c r="O76" s="91">
        <v>2</v>
      </c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 spans="2:25">
      <c r="B77" s="92">
        <v>3</v>
      </c>
      <c r="C77" s="93">
        <v>10</v>
      </c>
      <c r="D77" s="108">
        <f>Tableau3[[#This Row],[Scenario_ha]]*D58</f>
        <v>24000</v>
      </c>
      <c r="E77" s="108">
        <f>Tableau3[[#This Row],[Usable_fresh_kg]]*0.1</f>
        <v>2400</v>
      </c>
      <c r="F77" s="90">
        <f>Tableau3[[#This Row],[Dried_kg]]*C20</f>
        <v>48000000</v>
      </c>
      <c r="G77" s="108">
        <v>1695</v>
      </c>
      <c r="H77" s="108">
        <f>Tableau3[[#This Row],[Dried_kg]]*Tableau3[[#This Row],[Unit_cost_FCFA_per_kg]]</f>
        <v>4068000</v>
      </c>
      <c r="I77" s="93">
        <v>48</v>
      </c>
      <c r="J77" s="108">
        <v>240000</v>
      </c>
      <c r="K77" s="108">
        <v>60000</v>
      </c>
      <c r="L77" s="108">
        <f>Tableau3[[#This Row],[Cost_yearly_dried_mango_FCFA]]+Tableau3[[#This Row],[Export_price_FCFA]]</f>
        <v>52068000</v>
      </c>
      <c r="M77" s="108">
        <f>Tableau3[[#This Row],[Cost_yearly_dried_mango_FCFA]]-Tableau3[[#This Row],[Energy_cost_FCFA]]-Tableau3[[#This Row],[Maintenance]]</f>
        <v>3768000</v>
      </c>
      <c r="N77" s="93">
        <v>5</v>
      </c>
      <c r="O77" s="94">
        <v>2</v>
      </c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 spans="2:25">
      <c r="P78" s="22"/>
      <c r="Q78" s="22"/>
      <c r="R78" s="22"/>
      <c r="S78" s="22"/>
      <c r="T78" s="22"/>
      <c r="U78" s="22"/>
      <c r="V78" s="22"/>
      <c r="W78" s="22"/>
      <c r="X78" s="22"/>
      <c r="Y78" s="22"/>
    </row>
    <row r="79" spans="2:25">
      <c r="P79" s="22"/>
      <c r="Q79" s="22"/>
      <c r="R79" s="22"/>
      <c r="S79" s="22"/>
      <c r="T79" s="22"/>
      <c r="U79" s="22"/>
      <c r="V79" s="22"/>
      <c r="W79" s="22"/>
      <c r="X79" s="22"/>
      <c r="Y79" s="22"/>
    </row>
    <row r="80" spans="2:25">
      <c r="P80" s="22"/>
      <c r="Q80" s="22"/>
      <c r="R80" s="22"/>
      <c r="S80" s="22"/>
      <c r="T80" s="22"/>
      <c r="U80" s="22"/>
      <c r="V80" s="22"/>
      <c r="W80" s="22"/>
      <c r="X80" s="22"/>
      <c r="Y80" s="22"/>
    </row>
    <row r="81" spans="2:25" ht="30.75" customHeight="1">
      <c r="P81" s="161"/>
      <c r="Q81" s="161"/>
      <c r="R81" s="161"/>
      <c r="S81" s="161"/>
      <c r="T81" s="161"/>
      <c r="U81" s="161"/>
      <c r="V81" s="161"/>
      <c r="W81" s="161"/>
      <c r="X81" s="161"/>
      <c r="Y81" s="161"/>
    </row>
    <row r="82" spans="2:25">
      <c r="P82" s="22"/>
      <c r="Q82" s="22"/>
      <c r="R82" s="22"/>
      <c r="S82" s="22"/>
      <c r="T82" s="22"/>
      <c r="U82" s="22"/>
      <c r="V82" s="22"/>
      <c r="W82" s="22"/>
      <c r="X82" s="22"/>
      <c r="Y82" s="22"/>
    </row>
    <row r="83" spans="2:25">
      <c r="P83" s="22"/>
      <c r="Q83" s="22"/>
      <c r="R83" s="22"/>
      <c r="S83" s="22"/>
      <c r="T83" s="22"/>
      <c r="U83" s="22"/>
      <c r="V83" s="22"/>
      <c r="W83" s="22"/>
      <c r="X83" s="22"/>
      <c r="Y83" s="22"/>
    </row>
    <row r="84" spans="2:25" ht="30">
      <c r="B84" s="88" t="s">
        <v>592</v>
      </c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22"/>
      <c r="Q84" s="22"/>
      <c r="R84" s="22"/>
      <c r="S84" s="22"/>
      <c r="T84" s="22"/>
      <c r="U84" s="22"/>
      <c r="V84" s="22"/>
      <c r="W84" s="22"/>
      <c r="X84" s="22"/>
      <c r="Y84" s="22"/>
    </row>
    <row r="85" spans="2:25">
      <c r="B85" s="101" t="s">
        <v>576</v>
      </c>
      <c r="C85" s="101" t="s">
        <v>577</v>
      </c>
      <c r="D85" s="101" t="s">
        <v>578</v>
      </c>
      <c r="E85" s="101" t="s">
        <v>579</v>
      </c>
      <c r="F85" s="101" t="s">
        <v>580</v>
      </c>
      <c r="G85" s="101" t="s">
        <v>581</v>
      </c>
      <c r="H85" s="101" t="s">
        <v>582</v>
      </c>
      <c r="I85" s="101" t="s">
        <v>583</v>
      </c>
      <c r="J85" s="101" t="s">
        <v>584</v>
      </c>
      <c r="K85" s="101" t="s">
        <v>591</v>
      </c>
      <c r="L85" s="101" t="s">
        <v>586</v>
      </c>
      <c r="M85" s="101" t="s">
        <v>587</v>
      </c>
      <c r="N85" s="101" t="s">
        <v>588</v>
      </c>
      <c r="O85" s="102" t="s">
        <v>589</v>
      </c>
      <c r="P85" s="22"/>
      <c r="Q85" s="22"/>
      <c r="R85" s="22"/>
      <c r="S85" s="22"/>
      <c r="T85" s="22"/>
      <c r="U85" s="22"/>
      <c r="V85" s="22"/>
      <c r="W85" s="22"/>
      <c r="X85" s="22"/>
      <c r="Y85" s="22"/>
    </row>
    <row r="86" spans="2:25">
      <c r="B86" s="107">
        <v>30</v>
      </c>
      <c r="C86" s="108">
        <v>1</v>
      </c>
      <c r="D86" s="108">
        <f>Tableau5[[#This Row],[Scenario_ha]]*D49</f>
        <v>240000</v>
      </c>
      <c r="E86" s="108">
        <f>Tableau5[[#This Row],[Usable_fresh_kg]]*0.1</f>
        <v>24000</v>
      </c>
      <c r="F86" s="108">
        <f>Tableau5[[#This Row],[Dried_kg]]*C20</f>
        <v>480000000</v>
      </c>
      <c r="G86" s="108">
        <v>1350</v>
      </c>
      <c r="H86" s="108">
        <f>Tableau5[[#This Row],[Unit_cost_FCFA_per_kg]]*Tableau5[[#This Row],[Dried_kg]]</f>
        <v>32400000</v>
      </c>
      <c r="I86" s="108">
        <v>480</v>
      </c>
      <c r="J86" s="108">
        <v>600000</v>
      </c>
      <c r="K86" s="108">
        <v>300000</v>
      </c>
      <c r="L86" s="108">
        <f>Tableau5[[#This Row],[Cost_yearly_dried_mango_FCFA]]+Tableau5[[#This Row],[Export_price_FCFA]]</f>
        <v>512400000</v>
      </c>
      <c r="M86" s="108">
        <f>Tableau5[[#This Row],[Cost_yearly_dried_mango_FCFA]]-Tableau5[[#This Row],[Energy_cost_FCFA]]-Tableau5[[#This Row],[Maintenance]]</f>
        <v>31500000</v>
      </c>
      <c r="N86" s="108">
        <v>4.01</v>
      </c>
      <c r="O86" s="109">
        <v>15</v>
      </c>
      <c r="P86" s="22"/>
      <c r="Q86" s="22"/>
      <c r="R86" s="22"/>
      <c r="S86" s="22"/>
      <c r="T86" s="22"/>
      <c r="U86" s="22"/>
      <c r="V86" s="22"/>
      <c r="W86" s="22"/>
      <c r="X86" s="22"/>
      <c r="Y86" s="22"/>
    </row>
    <row r="87" spans="2:25">
      <c r="B87" s="89">
        <v>30</v>
      </c>
      <c r="C87" s="90">
        <v>2</v>
      </c>
      <c r="D87" s="108">
        <f>Tableau5[[#This Row],[Scenario_ha]]*D50</f>
        <v>240000</v>
      </c>
      <c r="E87" s="108">
        <f>Tableau5[[#This Row],[Usable_fresh_kg]]*0.1</f>
        <v>24000</v>
      </c>
      <c r="F87" s="90">
        <f>C20*Tableau5[[#This Row],[Dried_kg]]</f>
        <v>480000000</v>
      </c>
      <c r="G87" s="108">
        <v>1350</v>
      </c>
      <c r="H87" s="90">
        <f>Tableau5[[#This Row],[Dried_kg]]*Tableau5[[#This Row],[Unit_cost_FCFA_per_kg]]</f>
        <v>32400000</v>
      </c>
      <c r="I87" s="90">
        <v>480</v>
      </c>
      <c r="J87" s="108">
        <v>600000</v>
      </c>
      <c r="K87" s="108">
        <v>300000</v>
      </c>
      <c r="L87" s="108">
        <f>Tableau5[[#This Row],[Cost_yearly_dried_mango_FCFA]]+Tableau5[[#This Row],[Export_price_FCFA]]</f>
        <v>512400000</v>
      </c>
      <c r="M87" s="108">
        <f>Tableau5[[#This Row],[Cost_yearly_dried_mango_FCFA]]-Tableau5[[#This Row],[Energy_cost_FCFA]]-Tableau5[[#This Row],[Maintenance]]</f>
        <v>31500000</v>
      </c>
      <c r="N87" s="90">
        <v>4.0599999999999996</v>
      </c>
      <c r="O87" s="91">
        <v>15</v>
      </c>
      <c r="P87" s="22"/>
      <c r="Q87" s="22"/>
      <c r="R87" s="22"/>
      <c r="S87" s="22"/>
      <c r="T87" s="22"/>
      <c r="U87" s="22"/>
      <c r="V87" s="22"/>
      <c r="W87" s="22"/>
      <c r="X87" s="22"/>
      <c r="Y87" s="22"/>
    </row>
    <row r="88" spans="2:25">
      <c r="B88" s="89">
        <v>30</v>
      </c>
      <c r="C88" s="90">
        <v>3</v>
      </c>
      <c r="D88" s="108">
        <f>Tableau5[[#This Row],[Scenario_ha]]*D51</f>
        <v>240000</v>
      </c>
      <c r="E88" s="108">
        <f>Tableau5[[#This Row],[Usable_fresh_kg]]*0.1</f>
        <v>24000</v>
      </c>
      <c r="F88" s="90">
        <f>Tableau5[[#This Row],[Dried_kg]]*C20</f>
        <v>480000000</v>
      </c>
      <c r="G88" s="108">
        <v>1350</v>
      </c>
      <c r="H88" s="90">
        <f>Tableau5[[#This Row],[Dried_kg]]*Tableau5[[#This Row],[Unit_cost_FCFA_per_kg]]</f>
        <v>32400000</v>
      </c>
      <c r="I88" s="90">
        <v>480</v>
      </c>
      <c r="J88" s="108">
        <v>600000</v>
      </c>
      <c r="K88" s="108">
        <v>300000</v>
      </c>
      <c r="L88" s="108">
        <f>Tableau5[[#This Row],[Cost_yearly_dried_mango_FCFA]]+Tableau5[[#This Row],[Export_price_FCFA]]</f>
        <v>512400000</v>
      </c>
      <c r="M88" s="108">
        <f>Tableau5[[#This Row],[Cost_yearly_dried_mango_FCFA]]-Tableau5[[#This Row],[Energy_cost_FCFA]]-Tableau5[[#This Row],[Maintenance]]</f>
        <v>31500000</v>
      </c>
      <c r="N88" s="90">
        <v>4.12</v>
      </c>
      <c r="O88" s="91">
        <v>15</v>
      </c>
      <c r="P88" s="22"/>
      <c r="Q88" s="22"/>
      <c r="R88" s="22"/>
      <c r="S88" s="22"/>
      <c r="T88" s="22"/>
      <c r="U88" s="22"/>
      <c r="V88" s="22"/>
      <c r="W88" s="22"/>
      <c r="X88" s="22"/>
      <c r="Y88" s="22"/>
    </row>
    <row r="89" spans="2:25">
      <c r="B89" s="89">
        <v>30</v>
      </c>
      <c r="C89" s="90">
        <v>4</v>
      </c>
      <c r="D89" s="108">
        <f>Tableau5[[#This Row],[Scenario_ha]]*D52</f>
        <v>240000</v>
      </c>
      <c r="E89" s="108">
        <f>Tableau5[[#This Row],[Usable_fresh_kg]]*0.1</f>
        <v>24000</v>
      </c>
      <c r="F89" s="90">
        <f>Tableau5[[#This Row],[Dried_kg]]*C20</f>
        <v>480000000</v>
      </c>
      <c r="G89" s="108">
        <v>1350</v>
      </c>
      <c r="H89" s="90">
        <f>Tableau5[[#This Row],[Dried_kg]]*Tableau5[[#This Row],[Unit_cost_FCFA_per_kg]]</f>
        <v>32400000</v>
      </c>
      <c r="I89" s="90">
        <v>480</v>
      </c>
      <c r="J89" s="108">
        <v>600000</v>
      </c>
      <c r="K89" s="108">
        <v>300000</v>
      </c>
      <c r="L89" s="108">
        <f>Tableau5[[#This Row],[Cost_yearly_dried_mango_FCFA]]+Tableau5[[#This Row],[Export_price_FCFA]]</f>
        <v>512400000</v>
      </c>
      <c r="M89" s="108">
        <f>Tableau5[[#This Row],[Cost_yearly_dried_mango_FCFA]]-Tableau5[[#This Row],[Energy_cost_FCFA]]-Tableau5[[#This Row],[Maintenance]]</f>
        <v>31500000</v>
      </c>
      <c r="N89" s="90">
        <v>4.18</v>
      </c>
      <c r="O89" s="91">
        <v>15</v>
      </c>
      <c r="P89" s="22"/>
      <c r="Q89" s="22"/>
      <c r="R89" s="22"/>
      <c r="S89" s="22"/>
      <c r="T89" s="22"/>
      <c r="U89" s="22"/>
      <c r="V89" s="22"/>
      <c r="W89" s="22"/>
      <c r="X89" s="22"/>
      <c r="Y89" s="22"/>
    </row>
    <row r="90" spans="2:25">
      <c r="B90" s="89">
        <v>30</v>
      </c>
      <c r="C90" s="90">
        <v>5</v>
      </c>
      <c r="D90" s="108">
        <f>Tableau5[[#This Row],[Scenario_ha]]*D53</f>
        <v>240000</v>
      </c>
      <c r="E90" s="108">
        <f>Tableau5[[#This Row],[Usable_fresh_kg]]*0.1</f>
        <v>24000</v>
      </c>
      <c r="F90" s="90">
        <f>Tableau5[[#This Row],[Dried_kg]]*C20</f>
        <v>480000000</v>
      </c>
      <c r="G90" s="108">
        <v>1350</v>
      </c>
      <c r="H90" s="90">
        <f>Tableau5[[#This Row],[Dried_kg]]*Tableau5[[#This Row],[Unit_cost_FCFA_per_kg]]</f>
        <v>32400000</v>
      </c>
      <c r="I90" s="90">
        <v>480</v>
      </c>
      <c r="J90" s="108">
        <v>600000</v>
      </c>
      <c r="K90" s="108">
        <v>300000</v>
      </c>
      <c r="L90" s="108">
        <f>Tableau5[[#This Row],[Cost_yearly_dried_mango_FCFA]]+Tableau5[[#This Row],[Export_price_FCFA]]</f>
        <v>512400000</v>
      </c>
      <c r="M90" s="108">
        <f>Tableau5[[#This Row],[Cost_yearly_dried_mango_FCFA]]-Tableau5[[#This Row],[Energy_cost_FCFA]]-Tableau5[[#This Row],[Maintenance]]</f>
        <v>31500000</v>
      </c>
      <c r="N90" s="90">
        <v>4.2300000000000004</v>
      </c>
      <c r="O90" s="91">
        <v>15</v>
      </c>
      <c r="P90" s="22"/>
      <c r="Q90" s="22"/>
      <c r="R90" s="22"/>
      <c r="S90" s="22"/>
      <c r="T90" s="22"/>
      <c r="U90" s="22"/>
      <c r="V90" s="22"/>
      <c r="W90" s="22"/>
      <c r="X90" s="22"/>
      <c r="Y90" s="22"/>
    </row>
    <row r="91" spans="2:25">
      <c r="B91" s="89">
        <v>30</v>
      </c>
      <c r="C91" s="90">
        <v>6</v>
      </c>
      <c r="D91" s="108">
        <f>Tableau5[[#This Row],[Scenario_ha]]*D54</f>
        <v>240000</v>
      </c>
      <c r="E91" s="108">
        <f>Tableau5[[#This Row],[Usable_fresh_kg]]*0.1</f>
        <v>24000</v>
      </c>
      <c r="F91" s="90">
        <f>Tableau5[[#This Row],[Dried_kg]]*C20</f>
        <v>480000000</v>
      </c>
      <c r="G91" s="108">
        <v>1350</v>
      </c>
      <c r="H91" s="90">
        <f>Tableau5[[#This Row],[Dried_kg]]*Tableau5[[#This Row],[Unit_cost_FCFA_per_kg]]</f>
        <v>32400000</v>
      </c>
      <c r="I91" s="90">
        <v>480</v>
      </c>
      <c r="J91" s="108">
        <v>600000</v>
      </c>
      <c r="K91" s="108">
        <v>300000</v>
      </c>
      <c r="L91" s="108">
        <f>Tableau5[[#This Row],[Cost_yearly_dried_mango_FCFA]]+Tableau5[[#This Row],[Export_price_FCFA]]</f>
        <v>512400000</v>
      </c>
      <c r="M91" s="108">
        <f>Tableau5[[#This Row],[Cost_yearly_dried_mango_FCFA]]-Tableau5[[#This Row],[Energy_cost_FCFA]]-Tableau5[[#This Row],[Maintenance]]</f>
        <v>31500000</v>
      </c>
      <c r="N91" s="90">
        <v>4.29</v>
      </c>
      <c r="O91" s="91">
        <v>15</v>
      </c>
      <c r="P91" s="22"/>
      <c r="Q91" s="22"/>
      <c r="R91" s="22"/>
      <c r="S91" s="22"/>
      <c r="T91" s="22"/>
      <c r="U91" s="22"/>
      <c r="V91" s="22"/>
      <c r="W91" s="22"/>
      <c r="X91" s="22"/>
      <c r="Y91" s="22"/>
    </row>
    <row r="92" spans="2:25">
      <c r="B92" s="89">
        <v>30</v>
      </c>
      <c r="C92" s="90">
        <v>7</v>
      </c>
      <c r="D92" s="108">
        <f>Tableau5[[#This Row],[Scenario_ha]]*D55</f>
        <v>240000</v>
      </c>
      <c r="E92" s="108">
        <f>Tableau5[[#This Row],[Usable_fresh_kg]]*0.1</f>
        <v>24000</v>
      </c>
      <c r="F92" s="90">
        <f>Tableau5[[#This Row],[Dried_kg]]*C20</f>
        <v>480000000</v>
      </c>
      <c r="G92" s="108">
        <v>1350</v>
      </c>
      <c r="H92" s="90">
        <f>Tableau5[[#This Row],[Dried_kg]]*Tableau5[[#This Row],[Unit_cost_FCFA_per_kg]]</f>
        <v>32400000</v>
      </c>
      <c r="I92" s="90">
        <v>480</v>
      </c>
      <c r="J92" s="108">
        <v>600000</v>
      </c>
      <c r="K92" s="108">
        <v>300000</v>
      </c>
      <c r="L92" s="108">
        <f>Tableau5[[#This Row],[Cost_yearly_dried_mango_FCFA]]+Tableau5[[#This Row],[Export_price_FCFA]]</f>
        <v>512400000</v>
      </c>
      <c r="M92" s="108">
        <f>Tableau5[[#This Row],[Cost_yearly_dried_mango_FCFA]]-Tableau5[[#This Row],[Energy_cost_FCFA]]-Tableau5[[#This Row],[Maintenance]]</f>
        <v>31500000</v>
      </c>
      <c r="N92" s="90">
        <v>4.3499999999999996</v>
      </c>
      <c r="O92" s="91">
        <v>15</v>
      </c>
      <c r="P92" s="22"/>
      <c r="Q92" s="22"/>
      <c r="R92" s="22"/>
      <c r="S92" s="22"/>
      <c r="T92" s="22"/>
      <c r="U92" s="22"/>
      <c r="V92" s="22"/>
      <c r="W92" s="22"/>
      <c r="X92" s="22"/>
      <c r="Y92" s="22"/>
    </row>
    <row r="93" spans="2:25">
      <c r="B93" s="89">
        <v>30</v>
      </c>
      <c r="C93" s="90">
        <v>8</v>
      </c>
      <c r="D93" s="108">
        <f>Tableau5[[#This Row],[Scenario_ha]]*D56</f>
        <v>240000</v>
      </c>
      <c r="E93" s="108">
        <f>Tableau5[[#This Row],[Usable_fresh_kg]]*0.1</f>
        <v>24000</v>
      </c>
      <c r="F93" s="90">
        <f>Tableau5[[#This Row],[Dried_kg]]*C20</f>
        <v>480000000</v>
      </c>
      <c r="G93" s="108">
        <v>1350</v>
      </c>
      <c r="H93" s="90">
        <f>Tableau5[[#This Row],[Dried_kg]]*Tableau5[[#This Row],[Unit_cost_FCFA_per_kg]]</f>
        <v>32400000</v>
      </c>
      <c r="I93" s="90">
        <v>480</v>
      </c>
      <c r="J93" s="108">
        <v>600000</v>
      </c>
      <c r="K93" s="108">
        <v>300000</v>
      </c>
      <c r="L93" s="108">
        <f>Tableau5[[#This Row],[Cost_yearly_dried_mango_FCFA]]+Tableau5[[#This Row],[Export_price_FCFA]]</f>
        <v>512400000</v>
      </c>
      <c r="M93" s="108">
        <f>Tableau5[[#This Row],[Cost_yearly_dried_mango_FCFA]]-Tableau5[[#This Row],[Energy_cost_FCFA]]-Tableau5[[#This Row],[Maintenance]]</f>
        <v>31500000</v>
      </c>
      <c r="N93" s="90">
        <v>4.41</v>
      </c>
      <c r="O93" s="91">
        <v>15</v>
      </c>
      <c r="P93" s="22"/>
      <c r="Q93" s="22"/>
      <c r="R93" s="22"/>
      <c r="S93" s="22"/>
      <c r="T93" s="22"/>
      <c r="U93" s="22"/>
      <c r="V93" s="22"/>
      <c r="W93" s="22"/>
      <c r="X93" s="22"/>
      <c r="Y93" s="22"/>
    </row>
    <row r="94" spans="2:25">
      <c r="B94" s="89">
        <v>30</v>
      </c>
      <c r="C94" s="90">
        <v>9</v>
      </c>
      <c r="D94" s="108">
        <f>Tableau5[[#This Row],[Scenario_ha]]*D57</f>
        <v>240000</v>
      </c>
      <c r="E94" s="108">
        <f>Tableau5[[#This Row],[Usable_fresh_kg]]*0.1</f>
        <v>24000</v>
      </c>
      <c r="F94" s="90">
        <f>Tableau5[[#This Row],[Dried_kg]]*C20</f>
        <v>480000000</v>
      </c>
      <c r="G94" s="108">
        <v>1350</v>
      </c>
      <c r="H94" s="90">
        <f>Tableau5[[#This Row],[Dried_kg]]*Tableau5[[#This Row],[Unit_cost_FCFA_per_kg]]</f>
        <v>32400000</v>
      </c>
      <c r="I94" s="90">
        <v>480</v>
      </c>
      <c r="J94" s="108">
        <v>600000</v>
      </c>
      <c r="K94" s="108">
        <v>300000</v>
      </c>
      <c r="L94" s="108">
        <f>Tableau5[[#This Row],[Cost_yearly_dried_mango_FCFA]]+Tableau5[[#This Row],[Export_price_FCFA]]</f>
        <v>512400000</v>
      </c>
      <c r="M94" s="108">
        <f>Tableau5[[#This Row],[Cost_yearly_dried_mango_FCFA]]-Tableau5[[#This Row],[Energy_cost_FCFA]]-Tableau5[[#This Row],[Maintenance]]</f>
        <v>31500000</v>
      </c>
      <c r="N94" s="90">
        <v>4.47</v>
      </c>
      <c r="O94" s="91">
        <v>15</v>
      </c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 spans="2:25">
      <c r="B95" s="92">
        <v>30</v>
      </c>
      <c r="C95" s="93">
        <v>10</v>
      </c>
      <c r="D95" s="108">
        <f>Tableau5[[#This Row],[Scenario_ha]]*D58</f>
        <v>240000</v>
      </c>
      <c r="E95" s="108">
        <f>Tableau5[[#This Row],[Usable_fresh_kg]]*0.1</f>
        <v>24000</v>
      </c>
      <c r="F95" s="93">
        <f>Tableau5[[#This Row],[Dried_kg]]*C20</f>
        <v>480000000</v>
      </c>
      <c r="G95" s="108">
        <v>1350</v>
      </c>
      <c r="H95" s="90">
        <f>Tableau5[[#This Row],[Dried_kg]]*Tableau5[[#This Row],[Unit_cost_FCFA_per_kg]]</f>
        <v>32400000</v>
      </c>
      <c r="I95" s="93">
        <v>480</v>
      </c>
      <c r="J95" s="108">
        <v>600000</v>
      </c>
      <c r="K95" s="108">
        <v>300000</v>
      </c>
      <c r="L95" s="108">
        <f>Tableau5[[#This Row],[Cost_yearly_dried_mango_FCFA]]+Tableau5[[#This Row],[Export_price_FCFA]]</f>
        <v>512400000</v>
      </c>
      <c r="M95" s="108">
        <f>Tableau5[[#This Row],[Cost_yearly_dried_mango_FCFA]]-Tableau5[[#This Row],[Energy_cost_FCFA]]-Tableau5[[#This Row],[Maintenance]]</f>
        <v>31500000</v>
      </c>
      <c r="N95" s="93">
        <v>4.53</v>
      </c>
      <c r="O95" s="94">
        <v>15</v>
      </c>
      <c r="P95" s="22"/>
      <c r="Q95" s="22"/>
      <c r="R95" s="22"/>
      <c r="S95" s="22"/>
      <c r="T95" s="22"/>
      <c r="U95" s="22"/>
      <c r="V95" s="22"/>
      <c r="W95" s="22"/>
      <c r="X95" s="22"/>
      <c r="Y95" s="22"/>
    </row>
    <row r="96" spans="2:25"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 spans="2:25">
      <c r="P97" s="22"/>
      <c r="Q97" s="22"/>
      <c r="R97" s="22"/>
      <c r="S97" s="22"/>
      <c r="T97" s="22"/>
      <c r="U97" s="22"/>
      <c r="V97" s="22"/>
      <c r="W97" s="22"/>
      <c r="X97" s="22"/>
      <c r="Y97" s="22"/>
    </row>
    <row r="98" spans="2:25">
      <c r="P98" s="22"/>
      <c r="Q98" s="22"/>
      <c r="R98" s="22"/>
      <c r="S98" s="22"/>
      <c r="T98" s="22"/>
      <c r="U98" s="22"/>
      <c r="V98" s="22"/>
      <c r="W98" s="22"/>
      <c r="X98" s="22"/>
      <c r="Y98" s="22"/>
    </row>
    <row r="99" spans="2:25">
      <c r="P99" s="22"/>
      <c r="Q99" s="22"/>
      <c r="R99" s="22"/>
      <c r="S99" s="22"/>
      <c r="T99" s="22"/>
      <c r="U99" s="22"/>
      <c r="V99" s="22"/>
      <c r="W99" s="22"/>
      <c r="X99" s="22"/>
      <c r="Y99" s="22"/>
    </row>
    <row r="100" spans="2:25">
      <c r="P100" s="22"/>
      <c r="Q100" s="22"/>
      <c r="R100" s="22"/>
      <c r="S100" s="22"/>
      <c r="T100" s="22"/>
      <c r="U100" s="22"/>
      <c r="V100" s="22"/>
      <c r="W100" s="22"/>
      <c r="X100" s="22"/>
      <c r="Y100" s="22"/>
    </row>
    <row r="101" spans="2:25">
      <c r="P101" s="22"/>
      <c r="Q101" s="22"/>
      <c r="R101" s="22"/>
      <c r="S101" s="22"/>
      <c r="T101" s="22"/>
      <c r="U101" s="22"/>
      <c r="V101" s="22"/>
      <c r="W101" s="22"/>
      <c r="X101" s="22"/>
      <c r="Y101" s="22"/>
    </row>
    <row r="102" spans="2:25">
      <c r="P102" s="22"/>
      <c r="Q102" s="22"/>
      <c r="R102" s="22"/>
      <c r="S102" s="22"/>
      <c r="T102" s="22"/>
      <c r="U102" s="22"/>
      <c r="V102" s="22"/>
      <c r="W102" s="22"/>
      <c r="X102" s="22"/>
      <c r="Y102" s="22"/>
    </row>
    <row r="103" spans="2:25" ht="30.75" customHeight="1"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</row>
    <row r="104" spans="2:25">
      <c r="P104" s="22"/>
      <c r="Q104" s="22"/>
      <c r="R104" s="22"/>
      <c r="S104" s="22"/>
      <c r="T104" s="22"/>
      <c r="U104" s="22"/>
      <c r="V104" s="22"/>
      <c r="W104" s="22"/>
      <c r="X104" s="22"/>
      <c r="Y104" s="22"/>
    </row>
    <row r="105" spans="2:25">
      <c r="Q105" s="22"/>
      <c r="R105" s="22"/>
      <c r="S105" s="22"/>
      <c r="T105" s="22"/>
      <c r="U105" s="22"/>
      <c r="V105" s="22"/>
      <c r="W105" s="22"/>
      <c r="X105" s="22"/>
      <c r="Y105" s="22"/>
    </row>
    <row r="106" spans="2:25" ht="30">
      <c r="B106" s="88" t="s">
        <v>593</v>
      </c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Q106" s="22"/>
      <c r="R106" s="22"/>
      <c r="S106" s="22"/>
      <c r="T106" s="22"/>
      <c r="U106" s="22"/>
      <c r="V106" s="22"/>
      <c r="W106" s="22"/>
      <c r="X106" s="22"/>
      <c r="Y106" s="22"/>
    </row>
    <row r="107" spans="2:25">
      <c r="B107" s="100" t="s">
        <v>576</v>
      </c>
      <c r="C107" s="101" t="s">
        <v>577</v>
      </c>
      <c r="D107" s="101" t="s">
        <v>578</v>
      </c>
      <c r="E107" s="101" t="s">
        <v>579</v>
      </c>
      <c r="F107" s="101" t="s">
        <v>580</v>
      </c>
      <c r="G107" s="101" t="s">
        <v>581</v>
      </c>
      <c r="H107" s="101" t="s">
        <v>582</v>
      </c>
      <c r="I107" s="101" t="s">
        <v>583</v>
      </c>
      <c r="J107" s="101" t="s">
        <v>584</v>
      </c>
      <c r="K107" s="101" t="s">
        <v>591</v>
      </c>
      <c r="L107" s="101" t="s">
        <v>586</v>
      </c>
      <c r="M107" s="101" t="s">
        <v>587</v>
      </c>
      <c r="N107" s="101" t="s">
        <v>588</v>
      </c>
      <c r="O107" s="102" t="s">
        <v>589</v>
      </c>
      <c r="Q107" s="22"/>
      <c r="R107" s="22"/>
      <c r="S107" s="22"/>
      <c r="T107" s="22"/>
      <c r="U107" s="22"/>
      <c r="V107" s="22"/>
      <c r="W107" s="22"/>
      <c r="X107" s="22"/>
      <c r="Y107" s="22"/>
    </row>
    <row r="108" spans="2:25">
      <c r="B108" s="89">
        <v>60</v>
      </c>
      <c r="C108" s="90">
        <v>1</v>
      </c>
      <c r="D108" s="90">
        <f>Tableau4[[#This Row],[Scenario_ha]]*D49</f>
        <v>480000</v>
      </c>
      <c r="E108" s="90">
        <f>Tableau4[[#This Row],[Usable_fresh_kg]]*0.1</f>
        <v>48000</v>
      </c>
      <c r="F108" s="90">
        <f>Tableau4[[#This Row],[Dried_kg]]*C20</f>
        <v>960000000</v>
      </c>
      <c r="G108" s="90">
        <v>1198</v>
      </c>
      <c r="H108" s="90">
        <f>Tableau4[[#This Row],[Dried_kg]]*Tableau4[[#This Row],[Unit_cost_FCFA_per_kg]]</f>
        <v>57504000</v>
      </c>
      <c r="I108" s="90">
        <v>960</v>
      </c>
      <c r="J108" s="90">
        <v>1000000</v>
      </c>
      <c r="K108" s="90">
        <v>600000</v>
      </c>
      <c r="L108" s="90">
        <f>Tableau4[[#This Row],[Cost_yearly_dried_mango_FCFA]]+Tableau4[[#This Row],[Export_price_FCFA]]</f>
        <v>1017504000</v>
      </c>
      <c r="M108" s="90">
        <f>Tableau4[[#This Row],[Cost_yearly_dried_mango_FCFA]]-Tableau4[[#This Row],[Energy_cost_FCFA]]-Tableau4[[#This Row],[Maintenance]]</f>
        <v>55904000</v>
      </c>
      <c r="N108" s="90">
        <v>3.79</v>
      </c>
      <c r="O108" s="91">
        <v>30</v>
      </c>
      <c r="Q108" s="22"/>
      <c r="R108" s="22"/>
      <c r="S108" s="22"/>
      <c r="T108" s="22"/>
      <c r="U108" s="22"/>
      <c r="V108" s="22"/>
      <c r="W108" s="22"/>
      <c r="X108" s="22"/>
      <c r="Y108" s="22"/>
    </row>
    <row r="109" spans="2:25">
      <c r="B109" s="89">
        <v>60</v>
      </c>
      <c r="C109" s="90">
        <v>2</v>
      </c>
      <c r="D109" s="90">
        <f>Tableau4[[#This Row],[Scenario_ha]]*D50</f>
        <v>480000</v>
      </c>
      <c r="E109" s="90">
        <f>Tableau4[[#This Row],[Usable_fresh_kg]]*0.1</f>
        <v>48000</v>
      </c>
      <c r="F109" s="90">
        <f>Tableau4[[#This Row],[Dried_kg]]*C20</f>
        <v>960000000</v>
      </c>
      <c r="G109" s="90">
        <v>1198</v>
      </c>
      <c r="H109" s="90">
        <f>Tableau4[[#This Row],[Dried_kg]]*Tableau4[[#This Row],[Unit_cost_FCFA_per_kg]]</f>
        <v>57504000</v>
      </c>
      <c r="I109" s="90">
        <v>960</v>
      </c>
      <c r="J109" s="90">
        <v>1000000</v>
      </c>
      <c r="K109" s="90">
        <v>600000</v>
      </c>
      <c r="L109" s="90">
        <f>Tableau4[[#This Row],[Cost_yearly_dried_mango_FCFA]]+Tableau4[[#This Row],[Export_price_FCFA]]</f>
        <v>1017504000</v>
      </c>
      <c r="M109" s="90">
        <f>Tableau4[[#This Row],[Cost_yearly_dried_mango_FCFA]]-Tableau4[[#This Row],[Energy_cost_FCFA]]-Tableau4[[#This Row],[Maintenance]]</f>
        <v>55904000</v>
      </c>
      <c r="N109" s="90">
        <v>3.84</v>
      </c>
      <c r="O109" s="91">
        <v>30</v>
      </c>
      <c r="Q109" s="22"/>
      <c r="R109" s="22"/>
      <c r="S109" s="22"/>
      <c r="T109" s="22"/>
      <c r="U109" s="22"/>
      <c r="V109" s="22"/>
      <c r="W109" s="22"/>
      <c r="X109" s="22"/>
      <c r="Y109" s="22"/>
    </row>
    <row r="110" spans="2:25">
      <c r="B110" s="89">
        <v>60</v>
      </c>
      <c r="C110" s="90">
        <v>3</v>
      </c>
      <c r="D110" s="90">
        <f>Tableau4[[#This Row],[Scenario_ha]]*D51</f>
        <v>480000</v>
      </c>
      <c r="E110" s="90">
        <f>Tableau4[[#This Row],[Usable_fresh_kg]]*0.1</f>
        <v>48000</v>
      </c>
      <c r="F110" s="90">
        <f>Tableau4[[#This Row],[Dried_kg]]*C20</f>
        <v>960000000</v>
      </c>
      <c r="G110" s="90">
        <v>1198</v>
      </c>
      <c r="H110" s="90">
        <f>Tableau4[[#This Row],[Dried_kg]]*Tableau4[[#This Row],[Unit_cost_FCFA_per_kg]]</f>
        <v>57504000</v>
      </c>
      <c r="I110" s="90">
        <v>960</v>
      </c>
      <c r="J110" s="90">
        <v>1000000</v>
      </c>
      <c r="K110" s="90">
        <v>600000</v>
      </c>
      <c r="L110" s="90">
        <f>Tableau4[[#This Row],[Cost_yearly_dried_mango_FCFA]]+Tableau4[[#This Row],[Export_price_FCFA]]</f>
        <v>1017504000</v>
      </c>
      <c r="M110" s="90">
        <f>Tableau4[[#This Row],[Cost_yearly_dried_mango_FCFA]]-Tableau4[[#This Row],[Energy_cost_FCFA]]-Tableau4[[#This Row],[Maintenance]]</f>
        <v>55904000</v>
      </c>
      <c r="N110" s="90">
        <v>3.9</v>
      </c>
      <c r="O110" s="91">
        <v>30</v>
      </c>
      <c r="Q110" s="22"/>
      <c r="R110" s="22"/>
      <c r="S110" s="22"/>
      <c r="T110" s="22"/>
      <c r="U110" s="22"/>
      <c r="V110" s="22"/>
      <c r="W110" s="22"/>
      <c r="X110" s="22"/>
      <c r="Y110" s="22"/>
    </row>
    <row r="111" spans="2:25">
      <c r="B111" s="89">
        <v>60</v>
      </c>
      <c r="C111" s="90">
        <v>4</v>
      </c>
      <c r="D111" s="90">
        <f>Tableau4[[#This Row],[Scenario_ha]]*D52</f>
        <v>480000</v>
      </c>
      <c r="E111" s="90">
        <f>Tableau4[[#This Row],[Usable_fresh_kg]]*0.1</f>
        <v>48000</v>
      </c>
      <c r="F111" s="90">
        <f>Tableau4[[#This Row],[Dried_kg]]*C20</f>
        <v>960000000</v>
      </c>
      <c r="G111" s="90">
        <v>1198</v>
      </c>
      <c r="H111" s="90">
        <f>Tableau4[[#This Row],[Dried_kg]]*Tableau4[[#This Row],[Unit_cost_FCFA_per_kg]]</f>
        <v>57504000</v>
      </c>
      <c r="I111" s="90">
        <v>960</v>
      </c>
      <c r="J111" s="90">
        <v>1000000</v>
      </c>
      <c r="K111" s="90">
        <v>600000</v>
      </c>
      <c r="L111" s="90">
        <f>Tableau4[[#This Row],[Cost_yearly_dried_mango_FCFA]]+Tableau4[[#This Row],[Export_price_FCFA]]</f>
        <v>1017504000</v>
      </c>
      <c r="M111" s="90">
        <f>Tableau4[[#This Row],[Cost_yearly_dried_mango_FCFA]]-Tableau4[[#This Row],[Energy_cost_FCFA]]-Tableau4[[#This Row],[Maintenance]]</f>
        <v>55904000</v>
      </c>
      <c r="N111" s="90">
        <v>3.95</v>
      </c>
      <c r="O111" s="91">
        <v>30</v>
      </c>
      <c r="Q111" s="22"/>
      <c r="R111" s="22"/>
      <c r="S111" s="22"/>
      <c r="T111" s="22"/>
      <c r="U111" s="22"/>
      <c r="V111" s="22"/>
      <c r="W111" s="22"/>
      <c r="X111" s="22"/>
      <c r="Y111" s="22"/>
    </row>
    <row r="112" spans="2:25">
      <c r="B112" s="89">
        <v>60</v>
      </c>
      <c r="C112" s="90">
        <v>5</v>
      </c>
      <c r="D112" s="90">
        <f>Tableau4[[#This Row],[Scenario_ha]]*D53</f>
        <v>480000</v>
      </c>
      <c r="E112" s="90">
        <f>Tableau4[[#This Row],[Usable_fresh_kg]]*0.1</f>
        <v>48000</v>
      </c>
      <c r="F112" s="90">
        <f>Tableau4[[#This Row],[Dried_kg]]*C20</f>
        <v>960000000</v>
      </c>
      <c r="G112" s="90">
        <v>1198</v>
      </c>
      <c r="H112" s="90">
        <f>Tableau4[[#This Row],[Dried_kg]]*Tableau4[[#This Row],[Unit_cost_FCFA_per_kg]]</f>
        <v>57504000</v>
      </c>
      <c r="I112" s="90">
        <v>960</v>
      </c>
      <c r="J112" s="90">
        <v>1000000</v>
      </c>
      <c r="K112" s="90">
        <v>600000</v>
      </c>
      <c r="L112" s="90">
        <f>Tableau4[[#This Row],[Cost_yearly_dried_mango_FCFA]]+Tableau4[[#This Row],[Export_price_FCFA]]</f>
        <v>1017504000</v>
      </c>
      <c r="M112" s="90">
        <f>Tableau4[[#This Row],[Cost_yearly_dried_mango_FCFA]]-Tableau4[[#This Row],[Energy_cost_FCFA]]-Tableau4[[#This Row],[Maintenance]]</f>
        <v>55904000</v>
      </c>
      <c r="N112" s="90">
        <v>4.01</v>
      </c>
      <c r="O112" s="91">
        <v>30</v>
      </c>
      <c r="Q112" s="22"/>
      <c r="R112" s="22"/>
      <c r="S112" s="22"/>
      <c r="T112" s="22"/>
      <c r="U112" s="22"/>
      <c r="V112" s="22"/>
      <c r="W112" s="22"/>
      <c r="X112" s="22"/>
      <c r="Y112" s="22"/>
    </row>
    <row r="113" spans="2:25">
      <c r="B113" s="89">
        <v>60</v>
      </c>
      <c r="C113" s="90">
        <v>6</v>
      </c>
      <c r="D113" s="90">
        <f>Tableau4[[#This Row],[Scenario_ha]]*D54</f>
        <v>480000</v>
      </c>
      <c r="E113" s="90">
        <f>Tableau4[[#This Row],[Usable_fresh_kg]]*0.1</f>
        <v>48000</v>
      </c>
      <c r="F113" s="90">
        <f>Tableau4[[#This Row],[Dried_kg]]*C20</f>
        <v>960000000</v>
      </c>
      <c r="G113" s="90">
        <v>1198</v>
      </c>
      <c r="H113" s="90">
        <f>Tableau4[[#This Row],[Dried_kg]]*Tableau4[[#This Row],[Unit_cost_FCFA_per_kg]]</f>
        <v>57504000</v>
      </c>
      <c r="I113" s="90">
        <v>960</v>
      </c>
      <c r="J113" s="90">
        <v>1000000</v>
      </c>
      <c r="K113" s="90">
        <v>600000</v>
      </c>
      <c r="L113" s="90">
        <f>Tableau4[[#This Row],[Cost_yearly_dried_mango_FCFA]]+Tableau4[[#This Row],[Export_price_FCFA]]</f>
        <v>1017504000</v>
      </c>
      <c r="M113" s="90">
        <f>Tableau4[[#This Row],[Cost_yearly_dried_mango_FCFA]]-Tableau4[[#This Row],[Energy_cost_FCFA]]-Tableau4[[#This Row],[Maintenance]]</f>
        <v>55904000</v>
      </c>
      <c r="N113" s="90">
        <v>4.0599999999999996</v>
      </c>
      <c r="O113" s="91">
        <v>30</v>
      </c>
      <c r="Q113" s="22"/>
      <c r="R113" s="22"/>
      <c r="S113" s="22"/>
      <c r="T113" s="22"/>
      <c r="U113" s="22"/>
      <c r="V113" s="22"/>
      <c r="W113" s="22"/>
      <c r="X113" s="22"/>
      <c r="Y113" s="22"/>
    </row>
    <row r="114" spans="2:25">
      <c r="B114" s="89">
        <v>60</v>
      </c>
      <c r="C114" s="90">
        <v>7</v>
      </c>
      <c r="D114" s="90">
        <f>Tableau4[[#This Row],[Scenario_ha]]*D55</f>
        <v>480000</v>
      </c>
      <c r="E114" s="90">
        <f>Tableau4[[#This Row],[Usable_fresh_kg]]*0.1</f>
        <v>48000</v>
      </c>
      <c r="F114" s="90">
        <f>Tableau4[[#This Row],[Dried_kg]]*C20</f>
        <v>960000000</v>
      </c>
      <c r="G114" s="90">
        <v>1198</v>
      </c>
      <c r="H114" s="90">
        <f>Tableau4[[#This Row],[Dried_kg]]*Tableau4[[#This Row],[Unit_cost_FCFA_per_kg]]</f>
        <v>57504000</v>
      </c>
      <c r="I114" s="90">
        <v>960</v>
      </c>
      <c r="J114" s="90">
        <v>1000000</v>
      </c>
      <c r="K114" s="90">
        <v>600000</v>
      </c>
      <c r="L114" s="90">
        <f>Tableau4[[#This Row],[Cost_yearly_dried_mango_FCFA]]+Tableau4[[#This Row],[Export_price_FCFA]]</f>
        <v>1017504000</v>
      </c>
      <c r="M114" s="90">
        <f>Tableau4[[#This Row],[Cost_yearly_dried_mango_FCFA]]-Tableau4[[#This Row],[Energy_cost_FCFA]]-Tableau4[[#This Row],[Maintenance]]</f>
        <v>55904000</v>
      </c>
      <c r="N114" s="90">
        <v>4.12</v>
      </c>
      <c r="O114" s="91">
        <v>30</v>
      </c>
    </row>
    <row r="115" spans="2:25">
      <c r="B115" s="89">
        <v>60</v>
      </c>
      <c r="C115" s="90">
        <v>8</v>
      </c>
      <c r="D115" s="90">
        <f>Tableau4[[#This Row],[Scenario_ha]]*D56</f>
        <v>480000</v>
      </c>
      <c r="E115" s="90">
        <f>Tableau4[[#This Row],[Usable_fresh_kg]]*0.1</f>
        <v>48000</v>
      </c>
      <c r="F115" s="90">
        <f>Tableau4[[#This Row],[Dried_kg]]*C20</f>
        <v>960000000</v>
      </c>
      <c r="G115" s="90">
        <v>1198</v>
      </c>
      <c r="H115" s="90">
        <f>Tableau4[[#This Row],[Dried_kg]]*Tableau4[[#This Row],[Unit_cost_FCFA_per_kg]]</f>
        <v>57504000</v>
      </c>
      <c r="I115" s="90">
        <v>960</v>
      </c>
      <c r="J115" s="90">
        <v>1000000</v>
      </c>
      <c r="K115" s="90">
        <v>600000</v>
      </c>
      <c r="L115" s="90">
        <f>Tableau4[[#This Row],[Cost_yearly_dried_mango_FCFA]]+Tableau4[[#This Row],[Export_price_FCFA]]</f>
        <v>1017504000</v>
      </c>
      <c r="M115" s="90">
        <f>Tableau4[[#This Row],[Cost_yearly_dried_mango_FCFA]]-Tableau4[[#This Row],[Energy_cost_FCFA]]-Tableau4[[#This Row],[Maintenance]]</f>
        <v>55904000</v>
      </c>
      <c r="N115" s="90">
        <v>4.17</v>
      </c>
      <c r="O115" s="91">
        <v>30</v>
      </c>
    </row>
    <row r="116" spans="2:25">
      <c r="B116" s="89">
        <v>60</v>
      </c>
      <c r="C116" s="90">
        <v>9</v>
      </c>
      <c r="D116" s="90">
        <f>Tableau4[[#This Row],[Scenario_ha]]*D57</f>
        <v>480000</v>
      </c>
      <c r="E116" s="90">
        <f>Tableau4[[#This Row],[Usable_fresh_kg]]*0.1</f>
        <v>48000</v>
      </c>
      <c r="F116" s="90">
        <f>Tableau4[[#This Row],[Dried_kg]]*C20</f>
        <v>960000000</v>
      </c>
      <c r="G116" s="90">
        <v>1198</v>
      </c>
      <c r="H116" s="90">
        <f>Tableau4[[#This Row],[Dried_kg]]*Tableau4[[#This Row],[Unit_cost_FCFA_per_kg]]</f>
        <v>57504000</v>
      </c>
      <c r="I116" s="90">
        <v>960</v>
      </c>
      <c r="J116" s="90">
        <v>1000000</v>
      </c>
      <c r="K116" s="90">
        <v>600000</v>
      </c>
      <c r="L116" s="90">
        <f>Tableau4[[#This Row],[Cost_yearly_dried_mango_FCFA]]+Tableau4[[#This Row],[Export_price_FCFA]]</f>
        <v>1017504000</v>
      </c>
      <c r="M116" s="90">
        <f>Tableau4[[#This Row],[Cost_yearly_dried_mango_FCFA]]-Tableau4[[#This Row],[Energy_cost_FCFA]]-Tableau4[[#This Row],[Maintenance]]</f>
        <v>55904000</v>
      </c>
      <c r="N116" s="90">
        <v>4.2300000000000004</v>
      </c>
      <c r="O116" s="91">
        <v>30</v>
      </c>
    </row>
    <row r="117" spans="2:25">
      <c r="B117" s="92">
        <v>60</v>
      </c>
      <c r="C117" s="93">
        <v>10</v>
      </c>
      <c r="D117" s="90">
        <f>Tableau4[[#This Row],[Scenario_ha]]*D58</f>
        <v>480000</v>
      </c>
      <c r="E117" s="93">
        <f>Tableau4[[#This Row],[Usable_fresh_kg]]*0.1</f>
        <v>48000</v>
      </c>
      <c r="F117" s="90">
        <f>Tableau4[[#This Row],[Dried_kg]]*C20</f>
        <v>960000000</v>
      </c>
      <c r="G117" s="90">
        <v>1198</v>
      </c>
      <c r="H117" s="90">
        <f>Tableau4[[#This Row],[Dried_kg]]*Tableau4[[#This Row],[Unit_cost_FCFA_per_kg]]</f>
        <v>57504000</v>
      </c>
      <c r="I117" s="93">
        <v>960</v>
      </c>
      <c r="J117" s="90">
        <v>1000000</v>
      </c>
      <c r="K117" s="90">
        <v>600000</v>
      </c>
      <c r="L117" s="93">
        <f>Tableau4[[#This Row],[Cost_yearly_dried_mango_FCFA]]+Tableau4[[#This Row],[Export_price_FCFA]]</f>
        <v>1017504000</v>
      </c>
      <c r="M117" s="90">
        <f>Tableau4[[#This Row],[Cost_yearly_dried_mango_FCFA]]-Tableau4[[#This Row],[Energy_cost_FCFA]]-Tableau4[[#This Row],[Maintenance]]</f>
        <v>55904000</v>
      </c>
      <c r="N117" s="93">
        <v>4.29</v>
      </c>
      <c r="O117" s="94">
        <v>30</v>
      </c>
    </row>
    <row r="124" spans="2:25" ht="30">
      <c r="B124" s="140" t="s">
        <v>594</v>
      </c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</row>
    <row r="125" spans="2:25">
      <c r="B125" s="95" t="s">
        <v>576</v>
      </c>
      <c r="C125" s="96" t="s">
        <v>577</v>
      </c>
      <c r="D125" s="96" t="s">
        <v>578</v>
      </c>
      <c r="E125" s="96" t="s">
        <v>579</v>
      </c>
      <c r="F125" s="96" t="s">
        <v>580</v>
      </c>
      <c r="G125" s="96" t="s">
        <v>581</v>
      </c>
      <c r="H125" s="96" t="s">
        <v>582</v>
      </c>
      <c r="I125" s="96" t="s">
        <v>583</v>
      </c>
      <c r="J125" s="96" t="s">
        <v>584</v>
      </c>
      <c r="K125" s="96" t="s">
        <v>585</v>
      </c>
      <c r="L125" s="96" t="s">
        <v>586</v>
      </c>
      <c r="M125" s="96" t="s">
        <v>587</v>
      </c>
      <c r="N125" s="97" t="s">
        <v>588</v>
      </c>
      <c r="O125" s="173" t="s">
        <v>589</v>
      </c>
    </row>
    <row r="126" spans="2:25">
      <c r="B126" s="89">
        <v>2</v>
      </c>
      <c r="C126" s="90">
        <v>1</v>
      </c>
      <c r="D126" s="90">
        <f>Tableau210[[#This Row],[Scenario_ha]]*D49</f>
        <v>16000</v>
      </c>
      <c r="E126" s="90">
        <f>Tableau210[[#This Row],[Usable_fresh_kg]]*0.1</f>
        <v>1600</v>
      </c>
      <c r="F126" s="90">
        <f>Tableau210[[#This Row],[Dried_kg]]*C20</f>
        <v>32000000</v>
      </c>
      <c r="G126" s="90">
        <v>1820</v>
      </c>
      <c r="H126" s="90">
        <f>Tableau210[[#This Row],[Unit_cost_FCFA_per_kg]]*Tableau210[[#This Row],[Dried_kg]]</f>
        <v>2912000</v>
      </c>
      <c r="I126" s="90">
        <v>16</v>
      </c>
      <c r="J126" s="90">
        <v>90000</v>
      </c>
      <c r="K126" s="90">
        <v>30000</v>
      </c>
      <c r="L126" s="90">
        <f>Tableau210[[#This Row],[Cost_yearly_dried_mango_FCFA]]+Tableau210[[#This Row],[Export_price_FCFA]]</f>
        <v>34912000</v>
      </c>
      <c r="M126" s="90">
        <f>Tableau210[[#This Row],[Cost_yearly_dried_mango_FCFA]]-Tableau210[[#This Row],[Energy_cost_FCFA]]-Tableau210[[#This Row],[Maintenance_FCFA]]</f>
        <v>2792000</v>
      </c>
      <c r="N126" s="91">
        <v>4.6100000000000003</v>
      </c>
      <c r="O126" s="91">
        <v>2</v>
      </c>
    </row>
    <row r="127" spans="2:25">
      <c r="B127" s="89">
        <v>2</v>
      </c>
      <c r="C127" s="90">
        <v>2</v>
      </c>
      <c r="D127" s="90">
        <f>Tableau210[[#This Row],[Scenario_ha]]*D50</f>
        <v>16000</v>
      </c>
      <c r="E127" s="90">
        <f>Tableau210[[#This Row],[Usable_fresh_kg]]*0.1</f>
        <v>1600</v>
      </c>
      <c r="F127" s="90">
        <f>Tableau210[[#This Row],[Dried_kg]]*C20</f>
        <v>32000000</v>
      </c>
      <c r="G127" s="90">
        <v>1820</v>
      </c>
      <c r="H127" s="90">
        <f>Tableau210[[#This Row],[Unit_cost_FCFA_per_kg]]*Tableau210[[#This Row],[Dried_kg]]</f>
        <v>2912000</v>
      </c>
      <c r="I127" s="90">
        <v>16</v>
      </c>
      <c r="J127" s="90">
        <v>90000</v>
      </c>
      <c r="K127" s="90">
        <v>30000</v>
      </c>
      <c r="L127" s="90">
        <f>Tableau210[[#This Row],[Cost_yearly_dried_mango_FCFA]]+Tableau210[[#This Row],[Export_price_FCFA]]</f>
        <v>34912000</v>
      </c>
      <c r="M127" s="90">
        <f>Tableau210[[#This Row],[Cost_yearly_dried_mango_FCFA]]-Tableau210[[#This Row],[Energy_cost_FCFA]]-Tableau210[[#This Row],[Maintenance_FCFA]]</f>
        <v>2792000</v>
      </c>
      <c r="N127" s="91">
        <v>4.67</v>
      </c>
      <c r="O127" s="91">
        <v>2</v>
      </c>
    </row>
    <row r="128" spans="2:25">
      <c r="B128" s="89">
        <v>2</v>
      </c>
      <c r="C128" s="90">
        <v>3</v>
      </c>
      <c r="D128" s="90">
        <f>Tableau210[[#This Row],[Scenario_ha]]*D51</f>
        <v>16000</v>
      </c>
      <c r="E128" s="90">
        <f>Tableau210[[#This Row],[Usable_fresh_kg]]*0.1</f>
        <v>1600</v>
      </c>
      <c r="F128" s="90">
        <f>Tableau210[[#This Row],[Dried_kg]]*C20</f>
        <v>32000000</v>
      </c>
      <c r="G128" s="90">
        <v>1820</v>
      </c>
      <c r="H128" s="90">
        <f>Tableau210[[#This Row],[Unit_cost_FCFA_per_kg]]*Tableau210[[#This Row],[Dried_kg]]</f>
        <v>2912000</v>
      </c>
      <c r="I128" s="90">
        <v>16</v>
      </c>
      <c r="J128" s="90">
        <v>90000</v>
      </c>
      <c r="K128" s="90">
        <v>30000</v>
      </c>
      <c r="L128" s="90">
        <f>Tableau210[[#This Row],[Cost_yearly_dried_mango_FCFA]]+Tableau210[[#This Row],[Export_price_FCFA]]</f>
        <v>34912000</v>
      </c>
      <c r="M128" s="90">
        <f>Tableau210[[#This Row],[Cost_yearly_dried_mango_FCFA]]-Tableau210[[#This Row],[Energy_cost_FCFA]]-Tableau210[[#This Row],[Maintenance_FCFA]]</f>
        <v>2792000</v>
      </c>
      <c r="N128" s="90">
        <v>4.7300000000000004</v>
      </c>
      <c r="O128" s="91">
        <v>2</v>
      </c>
    </row>
    <row r="129" spans="2:15">
      <c r="B129" s="89">
        <v>2</v>
      </c>
      <c r="C129" s="90">
        <v>4</v>
      </c>
      <c r="D129" s="90">
        <f>Tableau210[[#This Row],[Scenario_ha]]*D52</f>
        <v>16000</v>
      </c>
      <c r="E129" s="90">
        <f>Tableau210[[#This Row],[Usable_fresh_kg]]*0.1</f>
        <v>1600</v>
      </c>
      <c r="F129" s="90">
        <f>Tableau210[[#This Row],[Dried_kg]]*C20</f>
        <v>32000000</v>
      </c>
      <c r="G129" s="90">
        <v>1820</v>
      </c>
      <c r="H129" s="90">
        <f>Tableau210[[#This Row],[Unit_cost_FCFA_per_kg]]*Tableau210[[#This Row],[Dried_kg]]</f>
        <v>2912000</v>
      </c>
      <c r="I129" s="90">
        <v>16</v>
      </c>
      <c r="J129" s="90">
        <v>90000</v>
      </c>
      <c r="K129" s="90">
        <v>30000</v>
      </c>
      <c r="L129" s="90">
        <f>Tableau210[[#This Row],[Cost_yearly_dried_mango_FCFA]]+Tableau210[[#This Row],[Export_price_FCFA]]</f>
        <v>34912000</v>
      </c>
      <c r="M129" s="90">
        <f>Tableau210[[#This Row],[Cost_yearly_dried_mango_FCFA]]-Tableau210[[#This Row],[Energy_cost_FCFA]]-Tableau210[[#This Row],[Maintenance_FCFA]]</f>
        <v>2792000</v>
      </c>
      <c r="N129" s="90">
        <v>4.79</v>
      </c>
      <c r="O129" s="91">
        <v>2</v>
      </c>
    </row>
    <row r="130" spans="2:15">
      <c r="B130" s="89">
        <v>2</v>
      </c>
      <c r="C130" s="90">
        <v>5</v>
      </c>
      <c r="D130" s="90">
        <f>Tableau210[[#This Row],[Scenario_ha]]*D53</f>
        <v>16000</v>
      </c>
      <c r="E130" s="90">
        <f>Tableau210[[#This Row],[Usable_fresh_kg]]*0.1</f>
        <v>1600</v>
      </c>
      <c r="F130" s="90">
        <f>Tableau210[[#This Row],[Dried_kg]]*C20</f>
        <v>32000000</v>
      </c>
      <c r="G130" s="90">
        <v>1820</v>
      </c>
      <c r="H130" s="90">
        <f>Tableau210[[#This Row],[Unit_cost_FCFA_per_kg]]*Tableau210[[#This Row],[Dried_kg]]</f>
        <v>2912000</v>
      </c>
      <c r="I130" s="90">
        <v>16</v>
      </c>
      <c r="J130" s="90">
        <v>90000</v>
      </c>
      <c r="K130" s="90">
        <v>30000</v>
      </c>
      <c r="L130" s="90">
        <f>Tableau210[[#This Row],[Cost_yearly_dried_mango_FCFA]]+Tableau210[[#This Row],[Export_price_FCFA]]</f>
        <v>34912000</v>
      </c>
      <c r="M130" s="90">
        <f>Tableau210[[#This Row],[Cost_yearly_dried_mango_FCFA]]-Tableau210[[#This Row],[Energy_cost_FCFA]]-Tableau210[[#This Row],[Maintenance_FCFA]]</f>
        <v>2792000</v>
      </c>
      <c r="N130" s="90">
        <v>4.8600000000000003</v>
      </c>
      <c r="O130" s="91">
        <v>2</v>
      </c>
    </row>
    <row r="131" spans="2:15">
      <c r="B131" s="89">
        <v>2</v>
      </c>
      <c r="C131" s="90">
        <v>6</v>
      </c>
      <c r="D131" s="90">
        <f>Tableau210[[#This Row],[Scenario_ha]]*D54</f>
        <v>16000</v>
      </c>
      <c r="E131" s="90">
        <f>Tableau210[[#This Row],[Usable_fresh_kg]]*0.1</f>
        <v>1600</v>
      </c>
      <c r="F131" s="90">
        <f>Tableau210[[#This Row],[Dried_kg]]*C20</f>
        <v>32000000</v>
      </c>
      <c r="G131" s="90">
        <v>1820</v>
      </c>
      <c r="H131" s="90">
        <f>Tableau210[[#This Row],[Unit_cost_FCFA_per_kg]]*Tableau210[[#This Row],[Dried_kg]]</f>
        <v>2912000</v>
      </c>
      <c r="I131" s="90">
        <v>16</v>
      </c>
      <c r="J131" s="90">
        <v>90000</v>
      </c>
      <c r="K131" s="90">
        <v>30000</v>
      </c>
      <c r="L131" s="90">
        <f>Tableau210[[#This Row],[Cost_yearly_dried_mango_FCFA]]+Tableau210[[#This Row],[Export_price_FCFA]]</f>
        <v>34912000</v>
      </c>
      <c r="M131" s="90">
        <f>Tableau210[[#This Row],[Cost_yearly_dried_mango_FCFA]]-Tableau210[[#This Row],[Energy_cost_FCFA]]-Tableau210[[#This Row],[Maintenance_FCFA]]</f>
        <v>2792000</v>
      </c>
      <c r="N131" s="90">
        <v>4.92</v>
      </c>
      <c r="O131" s="91">
        <v>2</v>
      </c>
    </row>
    <row r="132" spans="2:15">
      <c r="B132" s="89">
        <v>2</v>
      </c>
      <c r="C132" s="90">
        <v>7</v>
      </c>
      <c r="D132" s="90">
        <f>Tableau210[[#This Row],[Scenario_ha]]*D55</f>
        <v>16000</v>
      </c>
      <c r="E132" s="90">
        <f>Tableau210[[#This Row],[Usable_fresh_kg]]*0.1</f>
        <v>1600</v>
      </c>
      <c r="F132" s="90">
        <f>Tableau210[[#This Row],[Dried_kg]]*C20</f>
        <v>32000000</v>
      </c>
      <c r="G132" s="90">
        <v>1820</v>
      </c>
      <c r="H132" s="90">
        <f>Tableau210[[#This Row],[Unit_cost_FCFA_per_kg]]*Tableau210[[#This Row],[Dried_kg]]</f>
        <v>2912000</v>
      </c>
      <c r="I132" s="90">
        <v>16</v>
      </c>
      <c r="J132" s="90">
        <v>90000</v>
      </c>
      <c r="K132" s="90">
        <v>30000</v>
      </c>
      <c r="L132" s="90">
        <f>Tableau210[[#This Row],[Cost_yearly_dried_mango_FCFA]]+Tableau210[[#This Row],[Export_price_FCFA]]</f>
        <v>34912000</v>
      </c>
      <c r="M132" s="90">
        <f>Tableau210[[#This Row],[Cost_yearly_dried_mango_FCFA]]-Tableau210[[#This Row],[Energy_cost_FCFA]]-Tableau210[[#This Row],[Maintenance_FCFA]]</f>
        <v>2792000</v>
      </c>
      <c r="N132" s="90">
        <v>4.9800000000000004</v>
      </c>
      <c r="O132" s="91">
        <v>2</v>
      </c>
    </row>
    <row r="133" spans="2:15">
      <c r="B133" s="89">
        <v>2</v>
      </c>
      <c r="C133" s="90">
        <v>8</v>
      </c>
      <c r="D133" s="90">
        <f>Tableau210[[#This Row],[Scenario_ha]]*D56</f>
        <v>16000</v>
      </c>
      <c r="E133" s="90">
        <f>Tableau210[[#This Row],[Usable_fresh_kg]]*0.1</f>
        <v>1600</v>
      </c>
      <c r="F133" s="90">
        <f>Tableau210[[#This Row],[Dried_kg]]*C20</f>
        <v>32000000</v>
      </c>
      <c r="G133" s="90">
        <v>1820</v>
      </c>
      <c r="H133" s="90">
        <f>Tableau210[[#This Row],[Unit_cost_FCFA_per_kg]]*Tableau210[[#This Row],[Dried_kg]]</f>
        <v>2912000</v>
      </c>
      <c r="I133" s="90">
        <v>16</v>
      </c>
      <c r="J133" s="90">
        <v>90000</v>
      </c>
      <c r="K133" s="90">
        <v>30000</v>
      </c>
      <c r="L133" s="90">
        <f>Tableau210[[#This Row],[Cost_yearly_dried_mango_FCFA]]+Tableau210[[#This Row],[Export_price_FCFA]]</f>
        <v>34912000</v>
      </c>
      <c r="M133" s="90">
        <f>Tableau210[[#This Row],[Cost_yearly_dried_mango_FCFA]]-Tableau210[[#This Row],[Energy_cost_FCFA]]-Tableau210[[#This Row],[Maintenance_FCFA]]</f>
        <v>2792000</v>
      </c>
      <c r="N133" s="90">
        <v>5.04</v>
      </c>
      <c r="O133" s="91">
        <v>2</v>
      </c>
    </row>
    <row r="134" spans="2:15">
      <c r="B134" s="89">
        <v>2</v>
      </c>
      <c r="C134" s="90">
        <v>9</v>
      </c>
      <c r="D134" s="90">
        <f>Tableau210[[#This Row],[Scenario_ha]]*D57</f>
        <v>16000</v>
      </c>
      <c r="E134" s="90">
        <f>Tableau210[[#This Row],[Usable_fresh_kg]]*0.1</f>
        <v>1600</v>
      </c>
      <c r="F134" s="90">
        <f>Tableau210[[#This Row],[Dried_kg]]*C20</f>
        <v>32000000</v>
      </c>
      <c r="G134" s="90">
        <v>1820</v>
      </c>
      <c r="H134" s="90">
        <f>Tableau210[[#This Row],[Unit_cost_FCFA_per_kg]]*Tableau210[[#This Row],[Dried_kg]]</f>
        <v>2912000</v>
      </c>
      <c r="I134" s="90">
        <v>16</v>
      </c>
      <c r="J134" s="90">
        <v>90000</v>
      </c>
      <c r="K134" s="90">
        <v>30000</v>
      </c>
      <c r="L134" s="90">
        <f>Tableau210[[#This Row],[Cost_yearly_dried_mango_FCFA]]+Tableau210[[#This Row],[Export_price_FCFA]]</f>
        <v>34912000</v>
      </c>
      <c r="M134" s="90">
        <f>Tableau210[[#This Row],[Cost_yearly_dried_mango_FCFA]]-Tableau210[[#This Row],[Energy_cost_FCFA]]-Tableau210[[#This Row],[Maintenance_FCFA]]</f>
        <v>2792000</v>
      </c>
      <c r="N134" s="90">
        <v>5.0999999999999996</v>
      </c>
      <c r="O134" s="91">
        <v>2</v>
      </c>
    </row>
    <row r="135" spans="2:15">
      <c r="B135" s="92">
        <v>2</v>
      </c>
      <c r="C135" s="93">
        <v>10</v>
      </c>
      <c r="D135" s="90">
        <f>Tableau210[[#This Row],[Scenario_ha]]*D58</f>
        <v>16000</v>
      </c>
      <c r="E135" s="90">
        <f>Tableau210[[#This Row],[Usable_fresh_kg]]*0.1</f>
        <v>1600</v>
      </c>
      <c r="F135" s="90">
        <f>Tableau210[[#This Row],[Dried_kg]]*C20</f>
        <v>32000000</v>
      </c>
      <c r="G135" s="90">
        <v>1820</v>
      </c>
      <c r="H135" s="90">
        <f>Tableau210[[#This Row],[Unit_cost_FCFA_per_kg]]*Tableau210[[#This Row],[Dried_kg]]</f>
        <v>2912000</v>
      </c>
      <c r="I135" s="93">
        <v>16</v>
      </c>
      <c r="J135" s="90">
        <v>90000</v>
      </c>
      <c r="K135" s="159">
        <v>30000</v>
      </c>
      <c r="L135" s="159">
        <f>Tableau210[[#This Row],[Cost_yearly_dried_mango_FCFA]]+Tableau210[[#This Row],[Export_price_FCFA]]</f>
        <v>34912000</v>
      </c>
      <c r="M135" s="90">
        <f>Tableau210[[#This Row],[Cost_yearly_dried_mango_FCFA]]-Tableau210[[#This Row],[Energy_cost_FCFA]]-Tableau210[[#This Row],[Maintenance_FCFA]]</f>
        <v>2792000</v>
      </c>
      <c r="N135" s="93">
        <v>5.17</v>
      </c>
      <c r="O135" s="91">
        <v>2</v>
      </c>
    </row>
    <row r="150" spans="2:15" ht="42.75" customHeight="1">
      <c r="B150" s="334" t="s">
        <v>595</v>
      </c>
      <c r="C150" s="335"/>
      <c r="D150" s="335"/>
      <c r="E150" s="335"/>
      <c r="F150" s="335"/>
      <c r="G150" s="335"/>
      <c r="H150" s="335"/>
      <c r="I150" s="335"/>
      <c r="J150" s="335"/>
      <c r="K150" s="335"/>
      <c r="L150" s="335"/>
      <c r="M150" s="335"/>
      <c r="N150" s="335"/>
      <c r="O150" s="335"/>
    </row>
    <row r="151" spans="2:15" ht="15" customHeight="1">
      <c r="B151" s="335"/>
      <c r="C151" s="335"/>
      <c r="D151" s="335"/>
      <c r="E151" s="335"/>
      <c r="F151" s="335"/>
      <c r="G151" s="335"/>
      <c r="H151" s="335"/>
      <c r="I151" s="335"/>
      <c r="J151" s="335"/>
      <c r="K151" s="335"/>
      <c r="L151" s="335"/>
      <c r="M151" s="335"/>
      <c r="N151" s="335"/>
      <c r="O151" s="335"/>
    </row>
    <row r="152" spans="2:15" ht="15" customHeight="1">
      <c r="B152" s="335"/>
      <c r="C152" s="335"/>
      <c r="D152" s="335"/>
      <c r="E152" s="335"/>
      <c r="F152" s="335"/>
      <c r="G152" s="335"/>
      <c r="H152" s="335"/>
      <c r="I152" s="335"/>
      <c r="J152" s="335"/>
      <c r="K152" s="335"/>
      <c r="L152" s="335"/>
      <c r="M152" s="335"/>
      <c r="N152" s="335"/>
      <c r="O152" s="335"/>
    </row>
    <row r="153" spans="2:15" ht="30">
      <c r="B153" s="228" t="s">
        <v>575</v>
      </c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</row>
    <row r="154" spans="2:15">
      <c r="B154" s="224" t="s">
        <v>576</v>
      </c>
      <c r="C154" s="225" t="s">
        <v>577</v>
      </c>
      <c r="D154" s="225" t="s">
        <v>578</v>
      </c>
      <c r="E154" s="225" t="s">
        <v>579</v>
      </c>
      <c r="F154" s="225" t="s">
        <v>580</v>
      </c>
      <c r="G154" s="225" t="s">
        <v>581</v>
      </c>
      <c r="H154" s="225" t="s">
        <v>582</v>
      </c>
      <c r="I154" s="225" t="s">
        <v>583</v>
      </c>
      <c r="J154" s="225" t="s">
        <v>584</v>
      </c>
      <c r="K154" s="225" t="s">
        <v>585</v>
      </c>
      <c r="L154" s="225" t="s">
        <v>586</v>
      </c>
      <c r="M154" s="225" t="s">
        <v>587</v>
      </c>
      <c r="N154" s="225" t="s">
        <v>588</v>
      </c>
      <c r="O154" s="226" t="s">
        <v>589</v>
      </c>
    </row>
    <row r="155" spans="2:15">
      <c r="B155" s="219">
        <v>1</v>
      </c>
      <c r="C155" s="218">
        <v>1</v>
      </c>
      <c r="D155" s="218">
        <v>8000</v>
      </c>
      <c r="E155" s="218">
        <v>800</v>
      </c>
      <c r="F155" s="218" t="s">
        <v>596</v>
      </c>
      <c r="G155" s="218" t="s">
        <v>597</v>
      </c>
      <c r="H155" s="218" t="s">
        <v>598</v>
      </c>
      <c r="I155" s="218">
        <v>16</v>
      </c>
      <c r="J155" s="218" t="s">
        <v>599</v>
      </c>
      <c r="K155" s="218" t="s">
        <v>600</v>
      </c>
      <c r="L155" s="218" t="s">
        <v>601</v>
      </c>
      <c r="M155" s="218" t="s">
        <v>602</v>
      </c>
      <c r="N155" s="218">
        <v>4.6100000000000003</v>
      </c>
      <c r="O155" s="220">
        <v>1</v>
      </c>
    </row>
    <row r="156" spans="2:15">
      <c r="B156" s="219">
        <v>1</v>
      </c>
      <c r="C156" s="218">
        <v>2</v>
      </c>
      <c r="D156" s="218">
        <v>8000</v>
      </c>
      <c r="E156" s="218">
        <v>800</v>
      </c>
      <c r="F156" s="218" t="s">
        <v>596</v>
      </c>
      <c r="G156" s="218" t="s">
        <v>597</v>
      </c>
      <c r="H156" s="218" t="s">
        <v>598</v>
      </c>
      <c r="I156" s="218">
        <v>16</v>
      </c>
      <c r="J156" s="218" t="s">
        <v>599</v>
      </c>
      <c r="K156" s="218" t="s">
        <v>600</v>
      </c>
      <c r="L156" s="218" t="s">
        <v>601</v>
      </c>
      <c r="M156" s="218" t="s">
        <v>602</v>
      </c>
      <c r="N156" s="218">
        <v>4.67</v>
      </c>
      <c r="O156" s="220">
        <v>1</v>
      </c>
    </row>
    <row r="157" spans="2:15">
      <c r="B157" s="219">
        <v>1</v>
      </c>
      <c r="C157" s="218">
        <v>3</v>
      </c>
      <c r="D157" s="218">
        <v>8000</v>
      </c>
      <c r="E157" s="218">
        <v>800</v>
      </c>
      <c r="F157" s="218" t="s">
        <v>596</v>
      </c>
      <c r="G157" s="218" t="s">
        <v>597</v>
      </c>
      <c r="H157" s="218" t="s">
        <v>598</v>
      </c>
      <c r="I157" s="218">
        <v>16</v>
      </c>
      <c r="J157" s="218" t="s">
        <v>599</v>
      </c>
      <c r="K157" s="218" t="s">
        <v>600</v>
      </c>
      <c r="L157" s="218" t="s">
        <v>601</v>
      </c>
      <c r="M157" s="218" t="s">
        <v>602</v>
      </c>
      <c r="N157" s="218">
        <v>4.7300000000000004</v>
      </c>
      <c r="O157" s="220">
        <v>1</v>
      </c>
    </row>
    <row r="158" spans="2:15">
      <c r="B158" s="219">
        <v>1</v>
      </c>
      <c r="C158" s="218">
        <v>4</v>
      </c>
      <c r="D158" s="218">
        <v>8000</v>
      </c>
      <c r="E158" s="218">
        <v>800</v>
      </c>
      <c r="F158" s="218" t="s">
        <v>596</v>
      </c>
      <c r="G158" s="218" t="s">
        <v>597</v>
      </c>
      <c r="H158" s="218" t="s">
        <v>598</v>
      </c>
      <c r="I158" s="218">
        <v>16</v>
      </c>
      <c r="J158" s="218" t="s">
        <v>599</v>
      </c>
      <c r="K158" s="218" t="s">
        <v>600</v>
      </c>
      <c r="L158" s="218" t="s">
        <v>601</v>
      </c>
      <c r="M158" s="218" t="s">
        <v>602</v>
      </c>
      <c r="N158" s="218">
        <v>4.79</v>
      </c>
      <c r="O158" s="220">
        <v>1</v>
      </c>
    </row>
    <row r="159" spans="2:15">
      <c r="B159" s="219">
        <v>1</v>
      </c>
      <c r="C159" s="218">
        <v>5</v>
      </c>
      <c r="D159" s="218">
        <v>8000</v>
      </c>
      <c r="E159" s="218">
        <v>800</v>
      </c>
      <c r="F159" s="218" t="s">
        <v>596</v>
      </c>
      <c r="G159" s="218" t="s">
        <v>597</v>
      </c>
      <c r="H159" s="218" t="s">
        <v>598</v>
      </c>
      <c r="I159" s="218">
        <v>16</v>
      </c>
      <c r="J159" s="218" t="s">
        <v>599</v>
      </c>
      <c r="K159" s="218" t="s">
        <v>600</v>
      </c>
      <c r="L159" s="218" t="s">
        <v>601</v>
      </c>
      <c r="M159" s="218" t="s">
        <v>602</v>
      </c>
      <c r="N159" s="218">
        <v>4.8600000000000003</v>
      </c>
      <c r="O159" s="220">
        <v>1</v>
      </c>
    </row>
    <row r="160" spans="2:15">
      <c r="B160" s="219">
        <v>1</v>
      </c>
      <c r="C160" s="218">
        <v>6</v>
      </c>
      <c r="D160" s="218">
        <v>8000</v>
      </c>
      <c r="E160" s="218">
        <v>800</v>
      </c>
      <c r="F160" s="218" t="s">
        <v>596</v>
      </c>
      <c r="G160" s="218" t="s">
        <v>597</v>
      </c>
      <c r="H160" s="218" t="s">
        <v>598</v>
      </c>
      <c r="I160" s="218">
        <v>16</v>
      </c>
      <c r="J160" s="218" t="s">
        <v>599</v>
      </c>
      <c r="K160" s="218" t="s">
        <v>600</v>
      </c>
      <c r="L160" s="218" t="s">
        <v>601</v>
      </c>
      <c r="M160" s="218" t="s">
        <v>602</v>
      </c>
      <c r="N160" s="218">
        <v>4.92</v>
      </c>
      <c r="O160" s="220">
        <v>1</v>
      </c>
    </row>
    <row r="161" spans="2:15">
      <c r="B161" s="219">
        <v>1</v>
      </c>
      <c r="C161" s="218">
        <v>7</v>
      </c>
      <c r="D161" s="218">
        <v>8000</v>
      </c>
      <c r="E161" s="218">
        <v>800</v>
      </c>
      <c r="F161" s="218" t="s">
        <v>596</v>
      </c>
      <c r="G161" s="218" t="s">
        <v>597</v>
      </c>
      <c r="H161" s="218" t="s">
        <v>598</v>
      </c>
      <c r="I161" s="218">
        <v>16</v>
      </c>
      <c r="J161" s="218" t="s">
        <v>599</v>
      </c>
      <c r="K161" s="218" t="s">
        <v>600</v>
      </c>
      <c r="L161" s="218" t="s">
        <v>601</v>
      </c>
      <c r="M161" s="218" t="s">
        <v>602</v>
      </c>
      <c r="N161" s="218">
        <v>4.9800000000000004</v>
      </c>
      <c r="O161" s="220">
        <v>1</v>
      </c>
    </row>
    <row r="162" spans="2:15">
      <c r="B162" s="219">
        <v>1</v>
      </c>
      <c r="C162" s="218">
        <v>8</v>
      </c>
      <c r="D162" s="218">
        <v>8000</v>
      </c>
      <c r="E162" s="218">
        <v>800</v>
      </c>
      <c r="F162" s="218" t="s">
        <v>596</v>
      </c>
      <c r="G162" s="218" t="s">
        <v>597</v>
      </c>
      <c r="H162" s="218" t="s">
        <v>598</v>
      </c>
      <c r="I162" s="218">
        <v>16</v>
      </c>
      <c r="J162" s="218" t="s">
        <v>599</v>
      </c>
      <c r="K162" s="218" t="s">
        <v>600</v>
      </c>
      <c r="L162" s="218" t="s">
        <v>601</v>
      </c>
      <c r="M162" s="218" t="s">
        <v>602</v>
      </c>
      <c r="N162" s="218">
        <v>5.04</v>
      </c>
      <c r="O162" s="220">
        <v>1</v>
      </c>
    </row>
    <row r="163" spans="2:15">
      <c r="B163" s="219">
        <v>1</v>
      </c>
      <c r="C163" s="218">
        <v>9</v>
      </c>
      <c r="D163" s="218">
        <v>8000</v>
      </c>
      <c r="E163" s="218">
        <v>800</v>
      </c>
      <c r="F163" s="218" t="s">
        <v>596</v>
      </c>
      <c r="G163" s="218" t="s">
        <v>597</v>
      </c>
      <c r="H163" s="218" t="s">
        <v>598</v>
      </c>
      <c r="I163" s="218">
        <v>16</v>
      </c>
      <c r="J163" s="218" t="s">
        <v>599</v>
      </c>
      <c r="K163" s="218" t="s">
        <v>600</v>
      </c>
      <c r="L163" s="218" t="s">
        <v>601</v>
      </c>
      <c r="M163" s="218" t="s">
        <v>602</v>
      </c>
      <c r="N163" s="218">
        <v>5.0999999999999996</v>
      </c>
      <c r="O163" s="220">
        <v>1</v>
      </c>
    </row>
    <row r="164" spans="2:15">
      <c r="B164" s="221">
        <v>1</v>
      </c>
      <c r="C164" s="222">
        <v>10</v>
      </c>
      <c r="D164" s="222">
        <v>8000</v>
      </c>
      <c r="E164" s="222">
        <v>800</v>
      </c>
      <c r="F164" s="222" t="s">
        <v>596</v>
      </c>
      <c r="G164" s="222" t="s">
        <v>597</v>
      </c>
      <c r="H164" s="222" t="s">
        <v>598</v>
      </c>
      <c r="I164" s="222">
        <v>16</v>
      </c>
      <c r="J164" s="222" t="s">
        <v>599</v>
      </c>
      <c r="K164" s="222" t="s">
        <v>600</v>
      </c>
      <c r="L164" s="222" t="s">
        <v>601</v>
      </c>
      <c r="M164" s="222" t="s">
        <v>602</v>
      </c>
      <c r="N164" s="222">
        <v>5.17</v>
      </c>
      <c r="O164" s="223">
        <v>1</v>
      </c>
    </row>
    <row r="165" spans="2:15"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</row>
    <row r="166" spans="2:15"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</row>
    <row r="167" spans="2:15"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</row>
    <row r="168" spans="2:15"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</row>
    <row r="169" spans="2:15"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</row>
    <row r="170" spans="2:15"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</row>
    <row r="171" spans="2:15" ht="30">
      <c r="B171" s="228" t="s">
        <v>594</v>
      </c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</row>
    <row r="172" spans="2:15">
      <c r="B172" s="224" t="s">
        <v>576</v>
      </c>
      <c r="C172" s="225" t="s">
        <v>577</v>
      </c>
      <c r="D172" s="225" t="s">
        <v>578</v>
      </c>
      <c r="E172" s="225" t="s">
        <v>579</v>
      </c>
      <c r="F172" s="225" t="s">
        <v>580</v>
      </c>
      <c r="G172" s="225" t="s">
        <v>581</v>
      </c>
      <c r="H172" s="225" t="s">
        <v>582</v>
      </c>
      <c r="I172" s="225" t="s">
        <v>583</v>
      </c>
      <c r="J172" s="225" t="s">
        <v>584</v>
      </c>
      <c r="K172" s="225" t="s">
        <v>585</v>
      </c>
      <c r="L172" s="225" t="s">
        <v>586</v>
      </c>
      <c r="M172" s="225" t="s">
        <v>587</v>
      </c>
      <c r="N172" s="225" t="s">
        <v>588</v>
      </c>
      <c r="O172" s="226" t="s">
        <v>589</v>
      </c>
    </row>
    <row r="173" spans="2:15">
      <c r="B173" s="219">
        <v>2</v>
      </c>
      <c r="C173" s="218">
        <v>1</v>
      </c>
      <c r="D173" s="218">
        <v>16000</v>
      </c>
      <c r="E173" s="218">
        <v>1600</v>
      </c>
      <c r="F173" s="218" t="s">
        <v>603</v>
      </c>
      <c r="G173" s="218" t="s">
        <v>597</v>
      </c>
      <c r="H173" s="218" t="s">
        <v>604</v>
      </c>
      <c r="I173" s="218">
        <v>16</v>
      </c>
      <c r="J173" s="218" t="s">
        <v>605</v>
      </c>
      <c r="K173" s="218" t="s">
        <v>600</v>
      </c>
      <c r="L173" s="218" t="s">
        <v>606</v>
      </c>
      <c r="M173" s="218" t="s">
        <v>607</v>
      </c>
      <c r="N173" s="218">
        <v>4.6100000000000003</v>
      </c>
      <c r="O173" s="220">
        <v>2</v>
      </c>
    </row>
    <row r="174" spans="2:15">
      <c r="B174" s="219">
        <v>2</v>
      </c>
      <c r="C174" s="218">
        <v>2</v>
      </c>
      <c r="D174" s="218">
        <v>16000</v>
      </c>
      <c r="E174" s="218">
        <v>1600</v>
      </c>
      <c r="F174" s="218" t="s">
        <v>603</v>
      </c>
      <c r="G174" s="218" t="s">
        <v>597</v>
      </c>
      <c r="H174" s="218" t="s">
        <v>604</v>
      </c>
      <c r="I174" s="218">
        <v>16</v>
      </c>
      <c r="J174" s="218" t="s">
        <v>605</v>
      </c>
      <c r="K174" s="218" t="s">
        <v>600</v>
      </c>
      <c r="L174" s="218" t="s">
        <v>606</v>
      </c>
      <c r="M174" s="218" t="s">
        <v>607</v>
      </c>
      <c r="N174" s="218">
        <v>4.67</v>
      </c>
      <c r="O174" s="220">
        <v>2</v>
      </c>
    </row>
    <row r="175" spans="2:15">
      <c r="B175" s="219">
        <v>2</v>
      </c>
      <c r="C175" s="218">
        <v>3</v>
      </c>
      <c r="D175" s="218">
        <v>16000</v>
      </c>
      <c r="E175" s="218">
        <v>1600</v>
      </c>
      <c r="F175" s="218" t="s">
        <v>603</v>
      </c>
      <c r="G175" s="218" t="s">
        <v>597</v>
      </c>
      <c r="H175" s="218" t="s">
        <v>604</v>
      </c>
      <c r="I175" s="218">
        <v>16</v>
      </c>
      <c r="J175" s="218" t="s">
        <v>605</v>
      </c>
      <c r="K175" s="218" t="s">
        <v>600</v>
      </c>
      <c r="L175" s="218" t="s">
        <v>606</v>
      </c>
      <c r="M175" s="218" t="s">
        <v>607</v>
      </c>
      <c r="N175" s="218">
        <v>4.7300000000000004</v>
      </c>
      <c r="O175" s="220">
        <v>2</v>
      </c>
    </row>
    <row r="176" spans="2:15" ht="14.25" customHeight="1">
      <c r="B176" s="219">
        <v>2</v>
      </c>
      <c r="C176" s="218">
        <v>4</v>
      </c>
      <c r="D176" s="218">
        <v>16000</v>
      </c>
      <c r="E176" s="218">
        <v>1600</v>
      </c>
      <c r="F176" s="218" t="s">
        <v>603</v>
      </c>
      <c r="G176" s="218" t="s">
        <v>597</v>
      </c>
      <c r="H176" s="218" t="s">
        <v>604</v>
      </c>
      <c r="I176" s="218">
        <v>16</v>
      </c>
      <c r="J176" s="218" t="s">
        <v>605</v>
      </c>
      <c r="K176" s="218" t="s">
        <v>600</v>
      </c>
      <c r="L176" s="218" t="s">
        <v>606</v>
      </c>
      <c r="M176" s="218" t="s">
        <v>607</v>
      </c>
      <c r="N176" s="218">
        <v>4.79</v>
      </c>
      <c r="O176" s="220">
        <v>2</v>
      </c>
    </row>
    <row r="177" spans="2:15">
      <c r="B177" s="219">
        <v>2</v>
      </c>
      <c r="C177" s="218">
        <v>5</v>
      </c>
      <c r="D177" s="218">
        <v>16000</v>
      </c>
      <c r="E177" s="218">
        <v>1600</v>
      </c>
      <c r="F177" s="218" t="s">
        <v>603</v>
      </c>
      <c r="G177" s="218" t="s">
        <v>597</v>
      </c>
      <c r="H177" s="218" t="s">
        <v>604</v>
      </c>
      <c r="I177" s="218">
        <v>16</v>
      </c>
      <c r="J177" s="218" t="s">
        <v>605</v>
      </c>
      <c r="K177" s="218" t="s">
        <v>600</v>
      </c>
      <c r="L177" s="218" t="s">
        <v>606</v>
      </c>
      <c r="M177" s="218" t="s">
        <v>607</v>
      </c>
      <c r="N177" s="218">
        <v>4.8600000000000003</v>
      </c>
      <c r="O177" s="220">
        <v>2</v>
      </c>
    </row>
    <row r="178" spans="2:15">
      <c r="B178" s="219">
        <v>2</v>
      </c>
      <c r="C178" s="218">
        <v>6</v>
      </c>
      <c r="D178" s="218">
        <v>16000</v>
      </c>
      <c r="E178" s="218">
        <v>1600</v>
      </c>
      <c r="F178" s="218" t="s">
        <v>603</v>
      </c>
      <c r="G178" s="218" t="s">
        <v>597</v>
      </c>
      <c r="H178" s="218" t="s">
        <v>604</v>
      </c>
      <c r="I178" s="218">
        <v>16</v>
      </c>
      <c r="J178" s="218" t="s">
        <v>605</v>
      </c>
      <c r="K178" s="218" t="s">
        <v>600</v>
      </c>
      <c r="L178" s="218" t="s">
        <v>606</v>
      </c>
      <c r="M178" s="218" t="s">
        <v>607</v>
      </c>
      <c r="N178" s="218">
        <v>4.92</v>
      </c>
      <c r="O178" s="220">
        <v>2</v>
      </c>
    </row>
    <row r="179" spans="2:15">
      <c r="B179" s="219">
        <v>2</v>
      </c>
      <c r="C179" s="218">
        <v>7</v>
      </c>
      <c r="D179" s="218">
        <v>16000</v>
      </c>
      <c r="E179" s="218">
        <v>1600</v>
      </c>
      <c r="F179" s="218" t="s">
        <v>603</v>
      </c>
      <c r="G179" s="218" t="s">
        <v>597</v>
      </c>
      <c r="H179" s="218" t="s">
        <v>604</v>
      </c>
      <c r="I179" s="218">
        <v>16</v>
      </c>
      <c r="J179" s="218" t="s">
        <v>605</v>
      </c>
      <c r="K179" s="218" t="s">
        <v>600</v>
      </c>
      <c r="L179" s="218" t="s">
        <v>606</v>
      </c>
      <c r="M179" s="218" t="s">
        <v>607</v>
      </c>
      <c r="N179" s="218">
        <v>4.9800000000000004</v>
      </c>
      <c r="O179" s="220">
        <v>2</v>
      </c>
    </row>
    <row r="180" spans="2:15">
      <c r="B180" s="219">
        <v>2</v>
      </c>
      <c r="C180" s="218">
        <v>8</v>
      </c>
      <c r="D180" s="218">
        <v>16000</v>
      </c>
      <c r="E180" s="218">
        <v>1600</v>
      </c>
      <c r="F180" s="218" t="s">
        <v>603</v>
      </c>
      <c r="G180" s="218" t="s">
        <v>597</v>
      </c>
      <c r="H180" s="218" t="s">
        <v>604</v>
      </c>
      <c r="I180" s="218">
        <v>16</v>
      </c>
      <c r="J180" s="218" t="s">
        <v>605</v>
      </c>
      <c r="K180" s="218" t="s">
        <v>600</v>
      </c>
      <c r="L180" s="218" t="s">
        <v>606</v>
      </c>
      <c r="M180" s="218" t="s">
        <v>607</v>
      </c>
      <c r="N180" s="218">
        <v>5.04</v>
      </c>
      <c r="O180" s="220">
        <v>2</v>
      </c>
    </row>
    <row r="181" spans="2:15">
      <c r="B181" s="219">
        <v>2</v>
      </c>
      <c r="C181" s="218">
        <v>9</v>
      </c>
      <c r="D181" s="218">
        <v>16000</v>
      </c>
      <c r="E181" s="218">
        <v>1600</v>
      </c>
      <c r="F181" s="218" t="s">
        <v>603</v>
      </c>
      <c r="G181" s="218" t="s">
        <v>597</v>
      </c>
      <c r="H181" s="218" t="s">
        <v>604</v>
      </c>
      <c r="I181" s="218">
        <v>16</v>
      </c>
      <c r="J181" s="218" t="s">
        <v>605</v>
      </c>
      <c r="K181" s="218" t="s">
        <v>600</v>
      </c>
      <c r="L181" s="218" t="s">
        <v>606</v>
      </c>
      <c r="M181" s="218" t="s">
        <v>607</v>
      </c>
      <c r="N181" s="218">
        <v>5.0999999999999996</v>
      </c>
      <c r="O181" s="220">
        <v>2</v>
      </c>
    </row>
    <row r="182" spans="2:15">
      <c r="B182" s="221">
        <v>2</v>
      </c>
      <c r="C182" s="222">
        <v>10</v>
      </c>
      <c r="D182" s="222">
        <v>16000</v>
      </c>
      <c r="E182" s="222">
        <v>1600</v>
      </c>
      <c r="F182" s="222" t="s">
        <v>603</v>
      </c>
      <c r="G182" s="222" t="s">
        <v>597</v>
      </c>
      <c r="H182" s="222" t="s">
        <v>604</v>
      </c>
      <c r="I182" s="222">
        <v>16</v>
      </c>
      <c r="J182" s="222" t="s">
        <v>605</v>
      </c>
      <c r="K182" s="222" t="s">
        <v>600</v>
      </c>
      <c r="L182" s="222" t="s">
        <v>606</v>
      </c>
      <c r="M182" s="222" t="s">
        <v>607</v>
      </c>
      <c r="N182" s="222">
        <v>5.17</v>
      </c>
      <c r="O182" s="223">
        <v>2</v>
      </c>
    </row>
    <row r="183" spans="2:15"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</row>
    <row r="184" spans="2:15"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</row>
    <row r="185" spans="2:15"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</row>
    <row r="186" spans="2:15"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</row>
    <row r="187" spans="2:15"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</row>
    <row r="188" spans="2:15"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</row>
    <row r="189" spans="2:15"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</row>
    <row r="190" spans="2:15"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</row>
    <row r="191" spans="2:15"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</row>
    <row r="192" spans="2:15"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</row>
    <row r="193" spans="2:15"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</row>
    <row r="194" spans="2:15" ht="30">
      <c r="B194" s="227" t="s">
        <v>590</v>
      </c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</row>
    <row r="195" spans="2:15">
      <c r="B195" s="224" t="s">
        <v>576</v>
      </c>
      <c r="C195" s="225" t="s">
        <v>577</v>
      </c>
      <c r="D195" s="225" t="s">
        <v>578</v>
      </c>
      <c r="E195" s="225" t="s">
        <v>579</v>
      </c>
      <c r="F195" s="225" t="s">
        <v>580</v>
      </c>
      <c r="G195" s="225" t="s">
        <v>581</v>
      </c>
      <c r="H195" s="225" t="s">
        <v>582</v>
      </c>
      <c r="I195" s="225" t="s">
        <v>583</v>
      </c>
      <c r="J195" s="225" t="s">
        <v>584</v>
      </c>
      <c r="K195" s="225" t="s">
        <v>591</v>
      </c>
      <c r="L195" s="225" t="s">
        <v>586</v>
      </c>
      <c r="M195" s="225" t="s">
        <v>587</v>
      </c>
      <c r="N195" s="225" t="s">
        <v>588</v>
      </c>
      <c r="O195" s="226" t="s">
        <v>589</v>
      </c>
    </row>
    <row r="196" spans="2:15">
      <c r="B196" s="219">
        <v>3</v>
      </c>
      <c r="C196" s="218">
        <v>1</v>
      </c>
      <c r="D196" s="218">
        <v>24000</v>
      </c>
      <c r="E196" s="218">
        <v>2400</v>
      </c>
      <c r="F196" s="218" t="s">
        <v>608</v>
      </c>
      <c r="G196" s="218" t="s">
        <v>609</v>
      </c>
      <c r="H196" s="218" t="s">
        <v>610</v>
      </c>
      <c r="I196" s="218">
        <v>48</v>
      </c>
      <c r="J196" s="218" t="s">
        <v>611</v>
      </c>
      <c r="K196" s="218" t="s">
        <v>612</v>
      </c>
      <c r="L196" s="218" t="s">
        <v>613</v>
      </c>
      <c r="M196" s="218" t="s">
        <v>614</v>
      </c>
      <c r="N196" s="218">
        <v>4.45</v>
      </c>
      <c r="O196" s="220">
        <v>2</v>
      </c>
    </row>
    <row r="197" spans="2:15">
      <c r="B197" s="219">
        <v>3</v>
      </c>
      <c r="C197" s="218">
        <v>2</v>
      </c>
      <c r="D197" s="218">
        <v>24000</v>
      </c>
      <c r="E197" s="218">
        <v>2400</v>
      </c>
      <c r="F197" s="218" t="s">
        <v>608</v>
      </c>
      <c r="G197" s="218" t="s">
        <v>609</v>
      </c>
      <c r="H197" s="218" t="s">
        <v>610</v>
      </c>
      <c r="I197" s="218">
        <v>48</v>
      </c>
      <c r="J197" s="218" t="s">
        <v>611</v>
      </c>
      <c r="K197" s="218" t="s">
        <v>612</v>
      </c>
      <c r="L197" s="218" t="s">
        <v>613</v>
      </c>
      <c r="M197" s="218" t="s">
        <v>614</v>
      </c>
      <c r="N197" s="218">
        <v>4.51</v>
      </c>
      <c r="O197" s="220">
        <v>2</v>
      </c>
    </row>
    <row r="198" spans="2:15">
      <c r="B198" s="219">
        <v>3</v>
      </c>
      <c r="C198" s="218">
        <v>3</v>
      </c>
      <c r="D198" s="218">
        <v>24000</v>
      </c>
      <c r="E198" s="218">
        <v>2400</v>
      </c>
      <c r="F198" s="218" t="s">
        <v>608</v>
      </c>
      <c r="G198" s="218" t="s">
        <v>609</v>
      </c>
      <c r="H198" s="218" t="s">
        <v>610</v>
      </c>
      <c r="I198" s="218">
        <v>48</v>
      </c>
      <c r="J198" s="218" t="s">
        <v>611</v>
      </c>
      <c r="K198" s="218" t="s">
        <v>612</v>
      </c>
      <c r="L198" s="218" t="s">
        <v>613</v>
      </c>
      <c r="M198" s="218" t="s">
        <v>614</v>
      </c>
      <c r="N198" s="218">
        <v>4.57</v>
      </c>
      <c r="O198" s="220">
        <v>2</v>
      </c>
    </row>
    <row r="199" spans="2:15">
      <c r="B199" s="219">
        <v>3</v>
      </c>
      <c r="C199" s="218">
        <v>4</v>
      </c>
      <c r="D199" s="218">
        <v>24000</v>
      </c>
      <c r="E199" s="218">
        <v>2400</v>
      </c>
      <c r="F199" s="218" t="s">
        <v>608</v>
      </c>
      <c r="G199" s="218" t="s">
        <v>609</v>
      </c>
      <c r="H199" s="218" t="s">
        <v>610</v>
      </c>
      <c r="I199" s="218">
        <v>48</v>
      </c>
      <c r="J199" s="218" t="s">
        <v>611</v>
      </c>
      <c r="K199" s="218" t="s">
        <v>612</v>
      </c>
      <c r="L199" s="218" t="s">
        <v>613</v>
      </c>
      <c r="M199" s="218" t="s">
        <v>614</v>
      </c>
      <c r="N199" s="218">
        <v>4.63</v>
      </c>
      <c r="O199" s="220">
        <v>2</v>
      </c>
    </row>
    <row r="200" spans="2:15">
      <c r="B200" s="219">
        <v>3</v>
      </c>
      <c r="C200" s="218">
        <v>5</v>
      </c>
      <c r="D200" s="218">
        <v>24000</v>
      </c>
      <c r="E200" s="218">
        <v>2400</v>
      </c>
      <c r="F200" s="218" t="s">
        <v>608</v>
      </c>
      <c r="G200" s="218" t="s">
        <v>609</v>
      </c>
      <c r="H200" s="218" t="s">
        <v>610</v>
      </c>
      <c r="I200" s="218">
        <v>48</v>
      </c>
      <c r="J200" s="218" t="s">
        <v>611</v>
      </c>
      <c r="K200" s="218" t="s">
        <v>612</v>
      </c>
      <c r="L200" s="218" t="s">
        <v>613</v>
      </c>
      <c r="M200" s="218" t="s">
        <v>614</v>
      </c>
      <c r="N200" s="218">
        <v>4.7</v>
      </c>
      <c r="O200" s="220">
        <v>2</v>
      </c>
    </row>
    <row r="201" spans="2:15">
      <c r="B201" s="219">
        <v>3</v>
      </c>
      <c r="C201" s="218">
        <v>6</v>
      </c>
      <c r="D201" s="218">
        <v>24000</v>
      </c>
      <c r="E201" s="218">
        <v>2400</v>
      </c>
      <c r="F201" s="218" t="s">
        <v>608</v>
      </c>
      <c r="G201" s="218" t="s">
        <v>609</v>
      </c>
      <c r="H201" s="218" t="s">
        <v>610</v>
      </c>
      <c r="I201" s="218">
        <v>48</v>
      </c>
      <c r="J201" s="218" t="s">
        <v>611</v>
      </c>
      <c r="K201" s="218" t="s">
        <v>612</v>
      </c>
      <c r="L201" s="218" t="s">
        <v>613</v>
      </c>
      <c r="M201" s="218" t="s">
        <v>614</v>
      </c>
      <c r="N201" s="218">
        <v>4.76</v>
      </c>
      <c r="O201" s="220">
        <v>2</v>
      </c>
    </row>
    <row r="202" spans="2:15">
      <c r="B202" s="219">
        <v>3</v>
      </c>
      <c r="C202" s="218">
        <v>7</v>
      </c>
      <c r="D202" s="218">
        <v>24000</v>
      </c>
      <c r="E202" s="218">
        <v>2400</v>
      </c>
      <c r="F202" s="218" t="s">
        <v>608</v>
      </c>
      <c r="G202" s="218" t="s">
        <v>609</v>
      </c>
      <c r="H202" s="218" t="s">
        <v>610</v>
      </c>
      <c r="I202" s="218">
        <v>48</v>
      </c>
      <c r="J202" s="218" t="s">
        <v>611</v>
      </c>
      <c r="K202" s="218" t="s">
        <v>612</v>
      </c>
      <c r="L202" s="218" t="s">
        <v>613</v>
      </c>
      <c r="M202" s="218" t="s">
        <v>614</v>
      </c>
      <c r="N202" s="218">
        <v>4.82</v>
      </c>
      <c r="O202" s="220">
        <v>2</v>
      </c>
    </row>
    <row r="203" spans="2:15">
      <c r="B203" s="219">
        <v>3</v>
      </c>
      <c r="C203" s="218">
        <v>8</v>
      </c>
      <c r="D203" s="218">
        <v>24000</v>
      </c>
      <c r="E203" s="218">
        <v>2400</v>
      </c>
      <c r="F203" s="218" t="s">
        <v>608</v>
      </c>
      <c r="G203" s="218" t="s">
        <v>609</v>
      </c>
      <c r="H203" s="218" t="s">
        <v>610</v>
      </c>
      <c r="I203" s="218">
        <v>48</v>
      </c>
      <c r="J203" s="218" t="s">
        <v>611</v>
      </c>
      <c r="K203" s="218" t="s">
        <v>612</v>
      </c>
      <c r="L203" s="218" t="s">
        <v>613</v>
      </c>
      <c r="M203" s="218" t="s">
        <v>614</v>
      </c>
      <c r="N203" s="218">
        <v>4.88</v>
      </c>
      <c r="O203" s="220">
        <v>2</v>
      </c>
    </row>
    <row r="204" spans="2:15">
      <c r="B204" s="219">
        <v>3</v>
      </c>
      <c r="C204" s="218">
        <v>9</v>
      </c>
      <c r="D204" s="218">
        <v>24000</v>
      </c>
      <c r="E204" s="218">
        <v>2400</v>
      </c>
      <c r="F204" s="218" t="s">
        <v>608</v>
      </c>
      <c r="G204" s="218" t="s">
        <v>609</v>
      </c>
      <c r="H204" s="218" t="s">
        <v>610</v>
      </c>
      <c r="I204" s="218">
        <v>48</v>
      </c>
      <c r="J204" s="218" t="s">
        <v>611</v>
      </c>
      <c r="K204" s="218" t="s">
        <v>612</v>
      </c>
      <c r="L204" s="218" t="s">
        <v>613</v>
      </c>
      <c r="M204" s="218" t="s">
        <v>614</v>
      </c>
      <c r="N204" s="218">
        <v>4.9400000000000004</v>
      </c>
      <c r="O204" s="220">
        <v>2</v>
      </c>
    </row>
    <row r="205" spans="2:15">
      <c r="B205" s="221">
        <v>3</v>
      </c>
      <c r="C205" s="222">
        <v>10</v>
      </c>
      <c r="D205" s="222">
        <v>24000</v>
      </c>
      <c r="E205" s="222">
        <v>2400</v>
      </c>
      <c r="F205" s="222" t="s">
        <v>608</v>
      </c>
      <c r="G205" s="222" t="s">
        <v>609</v>
      </c>
      <c r="H205" s="222" t="s">
        <v>610</v>
      </c>
      <c r="I205" s="222">
        <v>48</v>
      </c>
      <c r="J205" s="222" t="s">
        <v>611</v>
      </c>
      <c r="K205" s="222" t="s">
        <v>612</v>
      </c>
      <c r="L205" s="222" t="s">
        <v>613</v>
      </c>
      <c r="M205" s="222" t="s">
        <v>614</v>
      </c>
      <c r="N205" s="222">
        <v>5</v>
      </c>
      <c r="O205" s="223">
        <v>2</v>
      </c>
    </row>
    <row r="206" spans="2:15"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</row>
    <row r="207" spans="2:15"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</row>
    <row r="208" spans="2:15"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</row>
    <row r="209" spans="2:15"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</row>
    <row r="210" spans="2:15"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</row>
    <row r="211" spans="2:15" ht="30">
      <c r="B211" s="228" t="s">
        <v>592</v>
      </c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</row>
    <row r="212" spans="2:15">
      <c r="B212" s="224" t="s">
        <v>576</v>
      </c>
      <c r="C212" s="225" t="s">
        <v>577</v>
      </c>
      <c r="D212" s="225" t="s">
        <v>578</v>
      </c>
      <c r="E212" s="225" t="s">
        <v>579</v>
      </c>
      <c r="F212" s="225" t="s">
        <v>580</v>
      </c>
      <c r="G212" s="225" t="s">
        <v>581</v>
      </c>
      <c r="H212" s="225" t="s">
        <v>582</v>
      </c>
      <c r="I212" s="225" t="s">
        <v>583</v>
      </c>
      <c r="J212" s="225" t="s">
        <v>584</v>
      </c>
      <c r="K212" s="225" t="s">
        <v>591</v>
      </c>
      <c r="L212" s="225" t="s">
        <v>586</v>
      </c>
      <c r="M212" s="225" t="s">
        <v>587</v>
      </c>
      <c r="N212" s="225" t="s">
        <v>588</v>
      </c>
      <c r="O212" s="226" t="s">
        <v>589</v>
      </c>
    </row>
    <row r="213" spans="2:15">
      <c r="B213" s="219">
        <v>30</v>
      </c>
      <c r="C213" s="218">
        <v>1</v>
      </c>
      <c r="D213" s="218">
        <v>240000</v>
      </c>
      <c r="E213" s="218">
        <v>24000</v>
      </c>
      <c r="F213" s="218" t="s">
        <v>615</v>
      </c>
      <c r="G213" s="218" t="s">
        <v>616</v>
      </c>
      <c r="H213" s="218" t="s">
        <v>617</v>
      </c>
      <c r="I213" s="218">
        <v>480</v>
      </c>
      <c r="J213" s="218" t="s">
        <v>618</v>
      </c>
      <c r="K213" s="218" t="s">
        <v>619</v>
      </c>
      <c r="L213" s="218" t="s">
        <v>620</v>
      </c>
      <c r="M213" s="218" t="s">
        <v>621</v>
      </c>
      <c r="N213" s="218">
        <v>4.01</v>
      </c>
      <c r="O213" s="220">
        <v>15</v>
      </c>
    </row>
    <row r="214" spans="2:15">
      <c r="B214" s="219">
        <v>30</v>
      </c>
      <c r="C214" s="218">
        <v>2</v>
      </c>
      <c r="D214" s="218">
        <v>240000</v>
      </c>
      <c r="E214" s="218">
        <v>24000</v>
      </c>
      <c r="F214" s="218" t="s">
        <v>615</v>
      </c>
      <c r="G214" s="218" t="s">
        <v>616</v>
      </c>
      <c r="H214" s="218" t="s">
        <v>617</v>
      </c>
      <c r="I214" s="218">
        <v>480</v>
      </c>
      <c r="J214" s="218" t="s">
        <v>618</v>
      </c>
      <c r="K214" s="218" t="s">
        <v>619</v>
      </c>
      <c r="L214" s="218" t="s">
        <v>620</v>
      </c>
      <c r="M214" s="218" t="s">
        <v>621</v>
      </c>
      <c r="N214" s="218">
        <v>4.0599999999999996</v>
      </c>
      <c r="O214" s="220">
        <v>15</v>
      </c>
    </row>
    <row r="215" spans="2:15">
      <c r="B215" s="219">
        <v>30</v>
      </c>
      <c r="C215" s="218">
        <v>3</v>
      </c>
      <c r="D215" s="218">
        <v>240000</v>
      </c>
      <c r="E215" s="218">
        <v>24000</v>
      </c>
      <c r="F215" s="218" t="s">
        <v>615</v>
      </c>
      <c r="G215" s="218" t="s">
        <v>616</v>
      </c>
      <c r="H215" s="218" t="s">
        <v>617</v>
      </c>
      <c r="I215" s="218">
        <v>480</v>
      </c>
      <c r="J215" s="218" t="s">
        <v>618</v>
      </c>
      <c r="K215" s="218" t="s">
        <v>619</v>
      </c>
      <c r="L215" s="218" t="s">
        <v>620</v>
      </c>
      <c r="M215" s="218" t="s">
        <v>621</v>
      </c>
      <c r="N215" s="218">
        <v>4.12</v>
      </c>
      <c r="O215" s="220">
        <v>15</v>
      </c>
    </row>
    <row r="216" spans="2:15">
      <c r="B216" s="219">
        <v>30</v>
      </c>
      <c r="C216" s="218">
        <v>4</v>
      </c>
      <c r="D216" s="218">
        <v>240000</v>
      </c>
      <c r="E216" s="218">
        <v>24000</v>
      </c>
      <c r="F216" s="218" t="s">
        <v>615</v>
      </c>
      <c r="G216" s="218" t="s">
        <v>616</v>
      </c>
      <c r="H216" s="218" t="s">
        <v>617</v>
      </c>
      <c r="I216" s="218">
        <v>480</v>
      </c>
      <c r="J216" s="218" t="s">
        <v>618</v>
      </c>
      <c r="K216" s="218" t="s">
        <v>619</v>
      </c>
      <c r="L216" s="218" t="s">
        <v>620</v>
      </c>
      <c r="M216" s="218" t="s">
        <v>621</v>
      </c>
      <c r="N216" s="218">
        <v>4.18</v>
      </c>
      <c r="O216" s="220">
        <v>15</v>
      </c>
    </row>
    <row r="217" spans="2:15">
      <c r="B217" s="219">
        <v>30</v>
      </c>
      <c r="C217" s="218">
        <v>5</v>
      </c>
      <c r="D217" s="218">
        <v>240000</v>
      </c>
      <c r="E217" s="218">
        <v>24000</v>
      </c>
      <c r="F217" s="218" t="s">
        <v>615</v>
      </c>
      <c r="G217" s="218" t="s">
        <v>616</v>
      </c>
      <c r="H217" s="218" t="s">
        <v>617</v>
      </c>
      <c r="I217" s="218">
        <v>480</v>
      </c>
      <c r="J217" s="218" t="s">
        <v>618</v>
      </c>
      <c r="K217" s="218" t="s">
        <v>619</v>
      </c>
      <c r="L217" s="218" t="s">
        <v>620</v>
      </c>
      <c r="M217" s="218" t="s">
        <v>621</v>
      </c>
      <c r="N217" s="218">
        <v>4.2300000000000004</v>
      </c>
      <c r="O217" s="220">
        <v>15</v>
      </c>
    </row>
    <row r="218" spans="2:15">
      <c r="B218" s="219">
        <v>30</v>
      </c>
      <c r="C218" s="218">
        <v>6</v>
      </c>
      <c r="D218" s="218">
        <v>240000</v>
      </c>
      <c r="E218" s="218">
        <v>24000</v>
      </c>
      <c r="F218" s="218" t="s">
        <v>615</v>
      </c>
      <c r="G218" s="218" t="s">
        <v>616</v>
      </c>
      <c r="H218" s="218" t="s">
        <v>617</v>
      </c>
      <c r="I218" s="218">
        <v>480</v>
      </c>
      <c r="J218" s="218" t="s">
        <v>618</v>
      </c>
      <c r="K218" s="218" t="s">
        <v>619</v>
      </c>
      <c r="L218" s="218" t="s">
        <v>620</v>
      </c>
      <c r="M218" s="218" t="s">
        <v>621</v>
      </c>
      <c r="N218" s="218">
        <v>4.29</v>
      </c>
      <c r="O218" s="220">
        <v>15</v>
      </c>
    </row>
    <row r="219" spans="2:15">
      <c r="B219" s="219">
        <v>30</v>
      </c>
      <c r="C219" s="218">
        <v>7</v>
      </c>
      <c r="D219" s="218">
        <v>240000</v>
      </c>
      <c r="E219" s="218">
        <v>24000</v>
      </c>
      <c r="F219" s="218" t="s">
        <v>615</v>
      </c>
      <c r="G219" s="218" t="s">
        <v>616</v>
      </c>
      <c r="H219" s="218" t="s">
        <v>617</v>
      </c>
      <c r="I219" s="218">
        <v>480</v>
      </c>
      <c r="J219" s="218" t="s">
        <v>618</v>
      </c>
      <c r="K219" s="218" t="s">
        <v>619</v>
      </c>
      <c r="L219" s="218" t="s">
        <v>620</v>
      </c>
      <c r="M219" s="218" t="s">
        <v>621</v>
      </c>
      <c r="N219" s="218">
        <v>4.3499999999999996</v>
      </c>
      <c r="O219" s="220">
        <v>15</v>
      </c>
    </row>
    <row r="220" spans="2:15">
      <c r="B220" s="219">
        <v>30</v>
      </c>
      <c r="C220" s="218">
        <v>8</v>
      </c>
      <c r="D220" s="218">
        <v>240000</v>
      </c>
      <c r="E220" s="218">
        <v>24000</v>
      </c>
      <c r="F220" s="218" t="s">
        <v>615</v>
      </c>
      <c r="G220" s="218" t="s">
        <v>616</v>
      </c>
      <c r="H220" s="218" t="s">
        <v>617</v>
      </c>
      <c r="I220" s="218">
        <v>480</v>
      </c>
      <c r="J220" s="218" t="s">
        <v>618</v>
      </c>
      <c r="K220" s="218" t="s">
        <v>619</v>
      </c>
      <c r="L220" s="218" t="s">
        <v>620</v>
      </c>
      <c r="M220" s="218" t="s">
        <v>621</v>
      </c>
      <c r="N220" s="218">
        <v>4.41</v>
      </c>
      <c r="O220" s="220">
        <v>15</v>
      </c>
    </row>
    <row r="221" spans="2:15">
      <c r="B221" s="219">
        <v>30</v>
      </c>
      <c r="C221" s="218">
        <v>9</v>
      </c>
      <c r="D221" s="218">
        <v>240000</v>
      </c>
      <c r="E221" s="218">
        <v>24000</v>
      </c>
      <c r="F221" s="218" t="s">
        <v>615</v>
      </c>
      <c r="G221" s="218" t="s">
        <v>616</v>
      </c>
      <c r="H221" s="218" t="s">
        <v>617</v>
      </c>
      <c r="I221" s="218">
        <v>480</v>
      </c>
      <c r="J221" s="218" t="s">
        <v>618</v>
      </c>
      <c r="K221" s="218" t="s">
        <v>619</v>
      </c>
      <c r="L221" s="218" t="s">
        <v>620</v>
      </c>
      <c r="M221" s="218" t="s">
        <v>621</v>
      </c>
      <c r="N221" s="218">
        <v>4.47</v>
      </c>
      <c r="O221" s="220">
        <v>15</v>
      </c>
    </row>
    <row r="222" spans="2:15">
      <c r="B222" s="221">
        <v>30</v>
      </c>
      <c r="C222" s="222">
        <v>10</v>
      </c>
      <c r="D222" s="222">
        <v>240000</v>
      </c>
      <c r="E222" s="222">
        <v>24000</v>
      </c>
      <c r="F222" s="222" t="s">
        <v>615</v>
      </c>
      <c r="G222" s="222" t="s">
        <v>616</v>
      </c>
      <c r="H222" s="222" t="s">
        <v>617</v>
      </c>
      <c r="I222" s="222">
        <v>480</v>
      </c>
      <c r="J222" s="222" t="s">
        <v>618</v>
      </c>
      <c r="K222" s="222" t="s">
        <v>619</v>
      </c>
      <c r="L222" s="222" t="s">
        <v>620</v>
      </c>
      <c r="M222" s="222" t="s">
        <v>621</v>
      </c>
      <c r="N222" s="222">
        <v>4.53</v>
      </c>
      <c r="O222" s="223">
        <v>15</v>
      </c>
    </row>
    <row r="223" spans="2:15"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</row>
    <row r="224" spans="2:15"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</row>
    <row r="225" spans="2:15"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</row>
    <row r="226" spans="2:15"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</row>
    <row r="227" spans="2:15" ht="30">
      <c r="B227" s="227" t="s">
        <v>622</v>
      </c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</row>
    <row r="228" spans="2:15">
      <c r="B228" s="224" t="s">
        <v>576</v>
      </c>
      <c r="C228" s="225" t="s">
        <v>577</v>
      </c>
      <c r="D228" s="225" t="s">
        <v>578</v>
      </c>
      <c r="E228" s="225" t="s">
        <v>579</v>
      </c>
      <c r="F228" s="225" t="s">
        <v>580</v>
      </c>
      <c r="G228" s="225" t="s">
        <v>581</v>
      </c>
      <c r="H228" s="225" t="s">
        <v>582</v>
      </c>
      <c r="I228" s="225" t="s">
        <v>583</v>
      </c>
      <c r="J228" s="225" t="s">
        <v>584</v>
      </c>
      <c r="K228" s="225" t="s">
        <v>591</v>
      </c>
      <c r="L228" s="225" t="s">
        <v>586</v>
      </c>
      <c r="M228" s="225" t="s">
        <v>587</v>
      </c>
      <c r="N228" s="225" t="s">
        <v>588</v>
      </c>
      <c r="O228" s="226" t="s">
        <v>589</v>
      </c>
    </row>
    <row r="229" spans="2:15">
      <c r="B229" s="219">
        <v>60</v>
      </c>
      <c r="C229" s="218">
        <v>1</v>
      </c>
      <c r="D229" s="218">
        <v>480000</v>
      </c>
      <c r="E229" s="218">
        <v>48000</v>
      </c>
      <c r="F229" s="218" t="s">
        <v>623</v>
      </c>
      <c r="G229" s="218" t="s">
        <v>624</v>
      </c>
      <c r="H229" s="218" t="s">
        <v>625</v>
      </c>
      <c r="I229" s="218">
        <v>960</v>
      </c>
      <c r="J229" s="218" t="s">
        <v>626</v>
      </c>
      <c r="K229" s="218" t="s">
        <v>618</v>
      </c>
      <c r="L229" s="218" t="s">
        <v>627</v>
      </c>
      <c r="M229" s="218" t="s">
        <v>628</v>
      </c>
      <c r="N229" s="218">
        <v>3.79</v>
      </c>
      <c r="O229" s="220">
        <v>30</v>
      </c>
    </row>
    <row r="230" spans="2:15">
      <c r="B230" s="219">
        <v>60</v>
      </c>
      <c r="C230" s="218">
        <v>2</v>
      </c>
      <c r="D230" s="218">
        <v>480000</v>
      </c>
      <c r="E230" s="218">
        <v>48000</v>
      </c>
      <c r="F230" s="218" t="s">
        <v>623</v>
      </c>
      <c r="G230" s="218" t="s">
        <v>624</v>
      </c>
      <c r="H230" s="218" t="s">
        <v>625</v>
      </c>
      <c r="I230" s="218">
        <v>960</v>
      </c>
      <c r="J230" s="218" t="s">
        <v>626</v>
      </c>
      <c r="K230" s="218" t="s">
        <v>618</v>
      </c>
      <c r="L230" s="218" t="s">
        <v>627</v>
      </c>
      <c r="M230" s="218" t="s">
        <v>628</v>
      </c>
      <c r="N230" s="218">
        <v>3.84</v>
      </c>
      <c r="O230" s="220">
        <v>30</v>
      </c>
    </row>
    <row r="231" spans="2:15">
      <c r="B231" s="219">
        <v>60</v>
      </c>
      <c r="C231" s="218">
        <v>3</v>
      </c>
      <c r="D231" s="218">
        <v>480000</v>
      </c>
      <c r="E231" s="218">
        <v>48000</v>
      </c>
      <c r="F231" s="218" t="s">
        <v>623</v>
      </c>
      <c r="G231" s="218" t="s">
        <v>624</v>
      </c>
      <c r="H231" s="218" t="s">
        <v>625</v>
      </c>
      <c r="I231" s="218">
        <v>960</v>
      </c>
      <c r="J231" s="218" t="s">
        <v>626</v>
      </c>
      <c r="K231" s="218" t="s">
        <v>618</v>
      </c>
      <c r="L231" s="218" t="s">
        <v>627</v>
      </c>
      <c r="M231" s="218" t="s">
        <v>628</v>
      </c>
      <c r="N231" s="218">
        <v>3.9</v>
      </c>
      <c r="O231" s="220">
        <v>30</v>
      </c>
    </row>
    <row r="232" spans="2:15">
      <c r="B232" s="219">
        <v>60</v>
      </c>
      <c r="C232" s="218">
        <v>4</v>
      </c>
      <c r="D232" s="218">
        <v>480000</v>
      </c>
      <c r="E232" s="218">
        <v>48000</v>
      </c>
      <c r="F232" s="218" t="s">
        <v>623</v>
      </c>
      <c r="G232" s="218" t="s">
        <v>624</v>
      </c>
      <c r="H232" s="218" t="s">
        <v>625</v>
      </c>
      <c r="I232" s="218">
        <v>960</v>
      </c>
      <c r="J232" s="218" t="s">
        <v>626</v>
      </c>
      <c r="K232" s="218" t="s">
        <v>618</v>
      </c>
      <c r="L232" s="218" t="s">
        <v>627</v>
      </c>
      <c r="M232" s="218" t="s">
        <v>628</v>
      </c>
      <c r="N232" s="218">
        <v>3.95</v>
      </c>
      <c r="O232" s="220">
        <v>30</v>
      </c>
    </row>
    <row r="233" spans="2:15">
      <c r="B233" s="219">
        <v>60</v>
      </c>
      <c r="C233" s="218">
        <v>5</v>
      </c>
      <c r="D233" s="218">
        <v>480000</v>
      </c>
      <c r="E233" s="218">
        <v>48000</v>
      </c>
      <c r="F233" s="218" t="s">
        <v>623</v>
      </c>
      <c r="G233" s="218" t="s">
        <v>624</v>
      </c>
      <c r="H233" s="218" t="s">
        <v>625</v>
      </c>
      <c r="I233" s="218">
        <v>960</v>
      </c>
      <c r="J233" s="218" t="s">
        <v>626</v>
      </c>
      <c r="K233" s="218" t="s">
        <v>618</v>
      </c>
      <c r="L233" s="218" t="s">
        <v>627</v>
      </c>
      <c r="M233" s="218" t="s">
        <v>628</v>
      </c>
      <c r="N233" s="218">
        <v>4.01</v>
      </c>
      <c r="O233" s="220">
        <v>30</v>
      </c>
    </row>
    <row r="234" spans="2:15">
      <c r="B234" s="219">
        <v>60</v>
      </c>
      <c r="C234" s="218">
        <v>6</v>
      </c>
      <c r="D234" s="218">
        <v>480000</v>
      </c>
      <c r="E234" s="218">
        <v>48000</v>
      </c>
      <c r="F234" s="218" t="s">
        <v>623</v>
      </c>
      <c r="G234" s="218" t="s">
        <v>624</v>
      </c>
      <c r="H234" s="218" t="s">
        <v>625</v>
      </c>
      <c r="I234" s="218">
        <v>960</v>
      </c>
      <c r="J234" s="218" t="s">
        <v>626</v>
      </c>
      <c r="K234" s="218" t="s">
        <v>618</v>
      </c>
      <c r="L234" s="218" t="s">
        <v>627</v>
      </c>
      <c r="M234" s="218" t="s">
        <v>628</v>
      </c>
      <c r="N234" s="218">
        <v>4.0599999999999996</v>
      </c>
      <c r="O234" s="220">
        <v>30</v>
      </c>
    </row>
    <row r="235" spans="2:15">
      <c r="B235" s="219">
        <v>60</v>
      </c>
      <c r="C235" s="218">
        <v>7</v>
      </c>
      <c r="D235" s="218">
        <v>480000</v>
      </c>
      <c r="E235" s="218">
        <v>48000</v>
      </c>
      <c r="F235" s="218" t="s">
        <v>623</v>
      </c>
      <c r="G235" s="218" t="s">
        <v>624</v>
      </c>
      <c r="H235" s="218" t="s">
        <v>625</v>
      </c>
      <c r="I235" s="218">
        <v>960</v>
      </c>
      <c r="J235" s="218" t="s">
        <v>626</v>
      </c>
      <c r="K235" s="218" t="s">
        <v>618</v>
      </c>
      <c r="L235" s="218" t="s">
        <v>627</v>
      </c>
      <c r="M235" s="218" t="s">
        <v>628</v>
      </c>
      <c r="N235" s="218">
        <v>4.12</v>
      </c>
      <c r="O235" s="220">
        <v>30</v>
      </c>
    </row>
    <row r="236" spans="2:15">
      <c r="B236" s="219">
        <v>60</v>
      </c>
      <c r="C236" s="218">
        <v>8</v>
      </c>
      <c r="D236" s="218">
        <v>480000</v>
      </c>
      <c r="E236" s="218">
        <v>48000</v>
      </c>
      <c r="F236" s="218" t="s">
        <v>623</v>
      </c>
      <c r="G236" s="218" t="s">
        <v>624</v>
      </c>
      <c r="H236" s="218" t="s">
        <v>625</v>
      </c>
      <c r="I236" s="218">
        <v>960</v>
      </c>
      <c r="J236" s="218" t="s">
        <v>626</v>
      </c>
      <c r="K236" s="218" t="s">
        <v>618</v>
      </c>
      <c r="L236" s="218" t="s">
        <v>627</v>
      </c>
      <c r="M236" s="218" t="s">
        <v>628</v>
      </c>
      <c r="N236" s="218">
        <v>4.17</v>
      </c>
      <c r="O236" s="220">
        <v>30</v>
      </c>
    </row>
    <row r="237" spans="2:15">
      <c r="B237" s="219">
        <v>60</v>
      </c>
      <c r="C237" s="218">
        <v>9</v>
      </c>
      <c r="D237" s="218">
        <v>480000</v>
      </c>
      <c r="E237" s="218">
        <v>48000</v>
      </c>
      <c r="F237" s="218" t="s">
        <v>623</v>
      </c>
      <c r="G237" s="218" t="s">
        <v>624</v>
      </c>
      <c r="H237" s="218" t="s">
        <v>625</v>
      </c>
      <c r="I237" s="218">
        <v>960</v>
      </c>
      <c r="J237" s="218" t="s">
        <v>626</v>
      </c>
      <c r="K237" s="218" t="s">
        <v>618</v>
      </c>
      <c r="L237" s="218" t="s">
        <v>627</v>
      </c>
      <c r="M237" s="218" t="s">
        <v>628</v>
      </c>
      <c r="N237" s="218">
        <v>4.2300000000000004</v>
      </c>
      <c r="O237" s="220">
        <v>30</v>
      </c>
    </row>
    <row r="238" spans="2:15">
      <c r="B238" s="221">
        <v>60</v>
      </c>
      <c r="C238" s="222">
        <v>10</v>
      </c>
      <c r="D238" s="222">
        <v>480000</v>
      </c>
      <c r="E238" s="222">
        <v>48000</v>
      </c>
      <c r="F238" s="222" t="s">
        <v>623</v>
      </c>
      <c r="G238" s="222" t="s">
        <v>624</v>
      </c>
      <c r="H238" s="222" t="s">
        <v>625</v>
      </c>
      <c r="I238" s="222">
        <v>960</v>
      </c>
      <c r="J238" s="222" t="s">
        <v>626</v>
      </c>
      <c r="K238" s="222" t="s">
        <v>618</v>
      </c>
      <c r="L238" s="222" t="s">
        <v>627</v>
      </c>
      <c r="M238" s="222" t="s">
        <v>628</v>
      </c>
      <c r="N238" s="222">
        <v>4.29</v>
      </c>
      <c r="O238" s="223">
        <v>30</v>
      </c>
    </row>
  </sheetData>
  <mergeCells count="18">
    <mergeCell ref="L23:L27"/>
    <mergeCell ref="P16:P31"/>
    <mergeCell ref="L28:L31"/>
    <mergeCell ref="B41:O43"/>
    <mergeCell ref="B150:O152"/>
    <mergeCell ref="A1:Z1"/>
    <mergeCell ref="B8:C9"/>
    <mergeCell ref="D8:D9"/>
    <mergeCell ref="B10:C10"/>
    <mergeCell ref="B32:J32"/>
    <mergeCell ref="B14:F14"/>
    <mergeCell ref="L14:L15"/>
    <mergeCell ref="L16:L17"/>
    <mergeCell ref="L18:L22"/>
    <mergeCell ref="N14:O14"/>
    <mergeCell ref="P14:P15"/>
    <mergeCell ref="L12:P13"/>
    <mergeCell ref="M14:M15"/>
  </mergeCells>
  <hyperlinks>
    <hyperlink ref="P16:P31" r:id="rId1" display="BOBO-DIOULASSO AND ORODARA AREAS  ASSESSMENT (BURKINA FASO)" xr:uid="{D31B20DC-DBD7-47F5-A068-326E7FCAA69D}"/>
    <hyperlink ref="F18" r:id="rId2" xr:uid="{0785F72E-3BFA-42BB-8D26-8029A43CB7E9}"/>
    <hyperlink ref="F17" r:id="rId3" xr:uid="{82C79400-EC0F-4561-BBDD-C2789A35BE31}"/>
    <hyperlink ref="F20" r:id="rId4" xr:uid="{85A91FAF-3567-4ABE-8839-B907F181BCD1}"/>
    <hyperlink ref="F16" r:id="rId5" location="read" xr:uid="{9BC0BF8E-9098-4886-8CBF-3E39828904D8}"/>
    <hyperlink ref="F21" r:id="rId6" xr:uid="{87A56E00-7900-43EF-92A6-71863580F049}"/>
    <hyperlink ref="F22" r:id="rId7" xr:uid="{483D044A-0AEA-48AF-B2FC-1E3B01F91E96}"/>
    <hyperlink ref="F25" r:id="rId8" xr:uid="{B680B412-460C-49FC-B527-5A3031406CFD}"/>
    <hyperlink ref="F26" r:id="rId9" xr:uid="{0B9D1F44-ABAB-4948-9721-D40D5AA03500}"/>
    <hyperlink ref="F27:F28" r:id="rId10" display="Link - pseau.org" xr:uid="{A2D4319A-2642-4F70-9712-A8184C68189B}"/>
  </hyperlinks>
  <pageMargins left="0.7" right="0.7" top="0.75" bottom="0.75" header="0.3" footer="0.3"/>
  <legacyDrawing r:id="rId11"/>
  <tableParts count="12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4C1E3-2B72-46C9-BC86-3B8DD297A0C0}">
  <dimension ref="A1:Z238"/>
  <sheetViews>
    <sheetView workbookViewId="0">
      <selection activeCell="K15" sqref="K15"/>
    </sheetView>
  </sheetViews>
  <sheetFormatPr defaultRowHeight="15"/>
  <cols>
    <col min="13" max="13" width="32" bestFit="1" customWidth="1"/>
  </cols>
  <sheetData>
    <row r="1" spans="1:26" ht="59.25">
      <c r="A1" s="336" t="s">
        <v>492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  <c r="Y1" s="336"/>
      <c r="Z1" s="336"/>
    </row>
    <row r="2" spans="1:26">
      <c r="A2" s="21"/>
      <c r="D2" s="22"/>
    </row>
    <row r="3" spans="1:26" ht="18.75">
      <c r="D3" s="23"/>
    </row>
    <row r="4" spans="1:26">
      <c r="D4" s="22"/>
    </row>
    <row r="6" spans="1:26">
      <c r="D6" s="258"/>
    </row>
    <row r="8" spans="1:26">
      <c r="B8" s="337" t="s">
        <v>493</v>
      </c>
      <c r="C8" s="337"/>
      <c r="D8" s="338">
        <v>655</v>
      </c>
    </row>
    <row r="9" spans="1:26">
      <c r="B9" s="337"/>
      <c r="C9" s="337"/>
      <c r="D9" s="339"/>
    </row>
    <row r="10" spans="1:26" ht="19.5">
      <c r="B10" s="340" t="s">
        <v>494</v>
      </c>
      <c r="C10" s="341"/>
      <c r="D10" s="25">
        <v>1525</v>
      </c>
    </row>
    <row r="11" spans="1:26">
      <c r="I11" s="126"/>
      <c r="J11" s="24"/>
      <c r="K11" s="24"/>
    </row>
    <row r="12" spans="1:26">
      <c r="I12" s="126"/>
      <c r="J12" s="24"/>
      <c r="K12" s="24"/>
      <c r="L12" s="352" t="s">
        <v>495</v>
      </c>
      <c r="M12" s="352"/>
      <c r="N12" s="352"/>
      <c r="O12" s="352"/>
      <c r="P12" s="352"/>
    </row>
    <row r="13" spans="1:26">
      <c r="I13" s="126"/>
      <c r="J13" s="24"/>
      <c r="K13" s="24"/>
      <c r="L13" s="353"/>
      <c r="M13" s="353"/>
      <c r="N13" s="353"/>
      <c r="O13" s="353"/>
      <c r="P13" s="353"/>
    </row>
    <row r="14" spans="1:26" ht="18.75">
      <c r="B14" s="343" t="s">
        <v>496</v>
      </c>
      <c r="C14" s="344"/>
      <c r="D14" s="344"/>
      <c r="E14" s="344"/>
      <c r="F14" s="345"/>
      <c r="H14" s="126"/>
      <c r="I14" s="126"/>
      <c r="J14" s="24"/>
      <c r="L14" s="346" t="s">
        <v>497</v>
      </c>
      <c r="M14" s="346" t="s">
        <v>498</v>
      </c>
      <c r="N14" s="348" t="s">
        <v>499</v>
      </c>
      <c r="O14" s="349"/>
      <c r="P14" s="350" t="s">
        <v>500</v>
      </c>
    </row>
    <row r="15" spans="1:26">
      <c r="B15" s="95" t="s">
        <v>187</v>
      </c>
      <c r="C15" s="96" t="s">
        <v>190</v>
      </c>
      <c r="D15" s="97" t="s">
        <v>501</v>
      </c>
      <c r="E15" s="101" t="s">
        <v>502</v>
      </c>
      <c r="F15" s="101" t="s">
        <v>500</v>
      </c>
      <c r="I15" s="126"/>
      <c r="J15" s="24"/>
      <c r="L15" s="347"/>
      <c r="M15" s="347"/>
      <c r="N15" s="133" t="s">
        <v>503</v>
      </c>
      <c r="O15" s="68" t="s">
        <v>504</v>
      </c>
      <c r="P15" s="351"/>
      <c r="X15" s="24"/>
    </row>
    <row r="16" spans="1:26" ht="15.75">
      <c r="B16" s="89" t="s">
        <v>505</v>
      </c>
      <c r="C16" s="90">
        <v>10000</v>
      </c>
      <c r="D16" s="91" t="s">
        <v>506</v>
      </c>
      <c r="E16" s="145" t="s">
        <v>237</v>
      </c>
      <c r="F16" s="141" t="s">
        <v>507</v>
      </c>
      <c r="I16" s="126"/>
      <c r="J16" s="24"/>
      <c r="L16" s="331" t="s">
        <v>508</v>
      </c>
      <c r="M16" s="134" t="s">
        <v>509</v>
      </c>
      <c r="N16" s="127">
        <v>91.67</v>
      </c>
      <c r="O16" s="127">
        <v>100</v>
      </c>
      <c r="P16" s="354" t="s">
        <v>510</v>
      </c>
      <c r="X16" s="24"/>
    </row>
    <row r="17" spans="2:16">
      <c r="B17" s="89" t="s">
        <v>511</v>
      </c>
      <c r="C17" s="90">
        <v>0.8</v>
      </c>
      <c r="D17" s="91" t="s">
        <v>512</v>
      </c>
      <c r="E17" s="145" t="s">
        <v>237</v>
      </c>
      <c r="F17" s="141" t="s">
        <v>507</v>
      </c>
      <c r="I17" s="126"/>
      <c r="J17" s="24"/>
      <c r="L17" s="333"/>
      <c r="M17" s="135" t="s">
        <v>513</v>
      </c>
      <c r="N17" s="135">
        <v>8.33</v>
      </c>
      <c r="O17" s="127">
        <v>0</v>
      </c>
      <c r="P17" s="355"/>
    </row>
    <row r="18" spans="2:16">
      <c r="B18" s="89" t="s">
        <v>514</v>
      </c>
      <c r="C18" s="90">
        <v>4</v>
      </c>
      <c r="D18" s="91" t="s">
        <v>515</v>
      </c>
      <c r="E18" s="148" t="s">
        <v>237</v>
      </c>
      <c r="F18" s="141" t="s">
        <v>516</v>
      </c>
      <c r="I18" s="126"/>
      <c r="J18" s="24"/>
      <c r="L18" s="331" t="s">
        <v>517</v>
      </c>
      <c r="M18" s="136" t="s">
        <v>518</v>
      </c>
      <c r="N18" s="127">
        <v>10.83</v>
      </c>
      <c r="O18" s="127" t="s">
        <v>237</v>
      </c>
      <c r="P18" s="355"/>
    </row>
    <row r="19" spans="2:16">
      <c r="B19" s="89" t="s">
        <v>519</v>
      </c>
      <c r="C19" s="90">
        <v>150</v>
      </c>
      <c r="D19" s="91" t="s">
        <v>520</v>
      </c>
      <c r="E19" s="149" t="s">
        <v>521</v>
      </c>
      <c r="F19" s="146" t="s">
        <v>237</v>
      </c>
      <c r="I19" s="126"/>
      <c r="J19" s="24"/>
      <c r="L19" s="332"/>
      <c r="M19" s="136" t="s">
        <v>522</v>
      </c>
      <c r="N19" s="127" t="s">
        <v>523</v>
      </c>
      <c r="O19" s="127" t="s">
        <v>237</v>
      </c>
      <c r="P19" s="355"/>
    </row>
    <row r="20" spans="2:16">
      <c r="B20" s="89" t="s">
        <v>524</v>
      </c>
      <c r="C20" s="90">
        <v>20000</v>
      </c>
      <c r="D20" s="91" t="s">
        <v>525</v>
      </c>
      <c r="E20" s="104">
        <v>31</v>
      </c>
      <c r="F20" s="142" t="s">
        <v>526</v>
      </c>
      <c r="I20" s="126"/>
      <c r="J20" s="24"/>
      <c r="L20" s="332"/>
      <c r="M20" s="136" t="s">
        <v>527</v>
      </c>
      <c r="N20" s="127">
        <v>53.61</v>
      </c>
      <c r="O20" s="127" t="s">
        <v>237</v>
      </c>
      <c r="P20" s="355"/>
    </row>
    <row r="21" spans="2:16">
      <c r="B21" s="89" t="s">
        <v>528</v>
      </c>
      <c r="C21" s="90">
        <v>500</v>
      </c>
      <c r="D21" s="91" t="s">
        <v>529</v>
      </c>
      <c r="E21" s="147" t="s">
        <v>237</v>
      </c>
      <c r="F21" s="141" t="s">
        <v>530</v>
      </c>
      <c r="I21" s="126"/>
      <c r="J21" s="24"/>
      <c r="L21" s="332"/>
      <c r="M21" s="136" t="s">
        <v>531</v>
      </c>
      <c r="N21" s="127">
        <v>18.329999999999998</v>
      </c>
      <c r="O21" s="127" t="s">
        <v>237</v>
      </c>
      <c r="P21" s="355"/>
    </row>
    <row r="22" spans="2:16">
      <c r="B22" s="89" t="s">
        <v>532</v>
      </c>
      <c r="C22" s="90">
        <v>120</v>
      </c>
      <c r="D22" s="91" t="s">
        <v>533</v>
      </c>
      <c r="E22" s="145" t="s">
        <v>237</v>
      </c>
      <c r="F22" s="141" t="s">
        <v>534</v>
      </c>
      <c r="I22" s="126"/>
      <c r="J22" s="24"/>
      <c r="L22" s="333"/>
      <c r="M22" s="127" t="s">
        <v>535</v>
      </c>
      <c r="N22" s="127">
        <v>8.89</v>
      </c>
      <c r="O22" s="127" t="s">
        <v>237</v>
      </c>
      <c r="P22" s="355"/>
    </row>
    <row r="23" spans="2:16">
      <c r="B23" s="89" t="s">
        <v>536</v>
      </c>
      <c r="C23" s="90">
        <v>32</v>
      </c>
      <c r="D23" s="91" t="s">
        <v>537</v>
      </c>
      <c r="E23" s="148" t="s">
        <v>237</v>
      </c>
      <c r="F23" s="145" t="s">
        <v>237</v>
      </c>
      <c r="I23" s="126"/>
      <c r="J23" s="24"/>
      <c r="L23" s="331" t="s">
        <v>538</v>
      </c>
      <c r="M23" s="127" t="s">
        <v>539</v>
      </c>
      <c r="N23" s="127" t="s">
        <v>237</v>
      </c>
      <c r="O23" s="136" t="s">
        <v>540</v>
      </c>
      <c r="P23" s="355"/>
    </row>
    <row r="24" spans="2:16">
      <c r="B24" s="89" t="s">
        <v>541</v>
      </c>
      <c r="C24" s="90">
        <v>750000</v>
      </c>
      <c r="D24" s="91" t="s">
        <v>542</v>
      </c>
      <c r="E24" s="144">
        <v>1144</v>
      </c>
      <c r="F24" s="146" t="s">
        <v>237</v>
      </c>
      <c r="I24" s="126"/>
      <c r="J24" s="24"/>
      <c r="L24" s="332"/>
      <c r="M24" s="127" t="s">
        <v>543</v>
      </c>
      <c r="N24" s="127">
        <v>4.17</v>
      </c>
      <c r="O24" s="136" t="s">
        <v>544</v>
      </c>
      <c r="P24" s="355"/>
    </row>
    <row r="25" spans="2:16" ht="18.75">
      <c r="B25" s="89" t="s">
        <v>545</v>
      </c>
      <c r="C25" s="90">
        <v>1820</v>
      </c>
      <c r="D25" s="91" t="s">
        <v>525</v>
      </c>
      <c r="E25" s="150">
        <v>2.77</v>
      </c>
      <c r="F25" s="143" t="s">
        <v>546</v>
      </c>
      <c r="G25" s="23"/>
      <c r="H25" s="23"/>
      <c r="I25" s="126"/>
      <c r="J25" s="24"/>
      <c r="L25" s="332"/>
      <c r="M25" s="127" t="s">
        <v>547</v>
      </c>
      <c r="N25" s="127" t="s">
        <v>237</v>
      </c>
      <c r="O25" s="136" t="s">
        <v>548</v>
      </c>
      <c r="P25" s="355"/>
    </row>
    <row r="26" spans="2:16" ht="18.75">
      <c r="B26" s="89" t="s">
        <v>549</v>
      </c>
      <c r="C26" s="90">
        <v>1695</v>
      </c>
      <c r="D26" s="91" t="s">
        <v>525</v>
      </c>
      <c r="E26" s="150">
        <v>2.58</v>
      </c>
      <c r="F26" s="143" t="s">
        <v>546</v>
      </c>
      <c r="G26" s="23"/>
      <c r="H26" s="23"/>
      <c r="I26" s="126"/>
      <c r="J26" s="24"/>
      <c r="L26" s="332"/>
      <c r="M26" s="137" t="s">
        <v>550</v>
      </c>
      <c r="N26" s="137" t="s">
        <v>551</v>
      </c>
      <c r="O26" s="136" t="s">
        <v>544</v>
      </c>
      <c r="P26" s="355"/>
    </row>
    <row r="27" spans="2:16" ht="18.75">
      <c r="B27" s="89" t="s">
        <v>552</v>
      </c>
      <c r="C27" s="90">
        <v>1350</v>
      </c>
      <c r="D27" s="91" t="s">
        <v>525</v>
      </c>
      <c r="E27" s="150">
        <v>2.0499999999999998</v>
      </c>
      <c r="F27" s="143" t="s">
        <v>546</v>
      </c>
      <c r="G27" s="23"/>
      <c r="H27" s="23"/>
      <c r="I27" s="126"/>
      <c r="J27" s="24"/>
      <c r="L27" s="333"/>
      <c r="M27" s="137" t="s">
        <v>553</v>
      </c>
      <c r="N27" s="129" t="s">
        <v>554</v>
      </c>
      <c r="O27" s="139" t="s">
        <v>237</v>
      </c>
      <c r="P27" s="355"/>
    </row>
    <row r="28" spans="2:16" ht="18.75">
      <c r="B28" s="92" t="s">
        <v>555</v>
      </c>
      <c r="C28" s="93">
        <v>1198</v>
      </c>
      <c r="D28" s="94" t="s">
        <v>525</v>
      </c>
      <c r="E28" s="150">
        <v>1.82</v>
      </c>
      <c r="F28" s="143" t="s">
        <v>546</v>
      </c>
      <c r="G28" s="23"/>
      <c r="H28" s="23"/>
      <c r="I28" s="126"/>
      <c r="J28" s="24"/>
      <c r="L28" s="331" t="s">
        <v>556</v>
      </c>
      <c r="M28" s="138" t="s">
        <v>557</v>
      </c>
      <c r="N28" s="136" t="s">
        <v>558</v>
      </c>
      <c r="O28" s="136" t="s">
        <v>559</v>
      </c>
      <c r="P28" s="355"/>
    </row>
    <row r="29" spans="2:16" ht="18.75">
      <c r="B29" s="23"/>
      <c r="C29" s="23"/>
      <c r="D29" s="23"/>
      <c r="E29" s="23"/>
      <c r="F29" s="23"/>
      <c r="G29" s="23"/>
      <c r="H29" s="23"/>
      <c r="I29" s="23"/>
      <c r="J29" s="23"/>
      <c r="L29" s="332"/>
      <c r="M29" s="138" t="s">
        <v>560</v>
      </c>
      <c r="N29" s="136" t="s">
        <v>561</v>
      </c>
      <c r="O29" s="136" t="s">
        <v>562</v>
      </c>
      <c r="P29" s="355"/>
    </row>
    <row r="30" spans="2:16" ht="18.75">
      <c r="B30" s="23"/>
      <c r="C30" s="23"/>
      <c r="D30" s="23"/>
      <c r="E30" s="23"/>
      <c r="F30" s="23"/>
      <c r="G30" s="23"/>
      <c r="H30" s="23"/>
      <c r="I30" s="23"/>
      <c r="J30" s="23"/>
      <c r="L30" s="332"/>
      <c r="M30" s="138" t="s">
        <v>563</v>
      </c>
      <c r="N30" s="136" t="s">
        <v>564</v>
      </c>
      <c r="O30" s="136" t="s">
        <v>540</v>
      </c>
      <c r="P30" s="355"/>
    </row>
    <row r="31" spans="2:16" ht="18.75">
      <c r="B31" s="23"/>
      <c r="C31" s="23"/>
      <c r="D31" s="23"/>
      <c r="E31" s="23"/>
      <c r="F31" s="23"/>
      <c r="G31" s="23"/>
      <c r="H31" s="23"/>
      <c r="I31" s="23"/>
      <c r="J31" s="23"/>
      <c r="L31" s="333"/>
      <c r="M31" s="136" t="s">
        <v>565</v>
      </c>
      <c r="N31" s="130" t="s">
        <v>561</v>
      </c>
      <c r="O31" s="130" t="s">
        <v>544</v>
      </c>
      <c r="P31" s="356"/>
    </row>
    <row r="32" spans="2:16">
      <c r="B32" s="342" t="s">
        <v>566</v>
      </c>
      <c r="C32" s="342"/>
      <c r="D32" s="342"/>
      <c r="E32" s="342"/>
      <c r="F32" s="342"/>
      <c r="G32" s="342"/>
      <c r="H32" s="342"/>
      <c r="I32" s="342"/>
      <c r="J32" s="342"/>
      <c r="L32" s="24"/>
      <c r="M32" s="132"/>
      <c r="N32" s="132"/>
      <c r="O32" s="132"/>
      <c r="P32" s="131"/>
    </row>
    <row r="33" spans="1:25">
      <c r="B33" s="98" t="s">
        <v>567</v>
      </c>
      <c r="C33" s="99" t="s">
        <v>568</v>
      </c>
      <c r="D33" s="99" t="s">
        <v>569</v>
      </c>
      <c r="E33" s="99" t="s">
        <v>570</v>
      </c>
      <c r="F33" s="99" t="s">
        <v>571</v>
      </c>
      <c r="G33" s="99" t="s">
        <v>572</v>
      </c>
      <c r="H33" s="99" t="s">
        <v>573</v>
      </c>
    </row>
    <row r="34" spans="1:25">
      <c r="B34" s="106">
        <v>1.5</v>
      </c>
      <c r="C34" s="105">
        <v>50000</v>
      </c>
      <c r="D34" s="105">
        <v>150000</v>
      </c>
      <c r="E34" s="105">
        <v>1000</v>
      </c>
      <c r="F34" s="105">
        <v>120000</v>
      </c>
      <c r="G34" s="105">
        <v>20000</v>
      </c>
      <c r="H34" s="105">
        <v>5</v>
      </c>
    </row>
    <row r="35" spans="1:25">
      <c r="A35" s="151" t="s">
        <v>502</v>
      </c>
      <c r="B35" s="153" t="s">
        <v>237</v>
      </c>
      <c r="C35" s="93">
        <v>76.2</v>
      </c>
      <c r="D35" s="93">
        <v>228.6</v>
      </c>
      <c r="E35" s="93">
        <v>1.5</v>
      </c>
      <c r="F35" s="93">
        <v>182.88</v>
      </c>
      <c r="G35" s="93">
        <v>31</v>
      </c>
      <c r="H35" s="152" t="s">
        <v>237</v>
      </c>
    </row>
    <row r="41" spans="1:25">
      <c r="B41" s="334" t="s">
        <v>574</v>
      </c>
      <c r="C41" s="335"/>
      <c r="D41" s="335"/>
      <c r="E41" s="335"/>
      <c r="F41" s="335"/>
      <c r="G41" s="335"/>
      <c r="H41" s="335"/>
      <c r="I41" s="335"/>
      <c r="J41" s="335"/>
      <c r="K41" s="335"/>
      <c r="L41" s="335"/>
      <c r="M41" s="335"/>
      <c r="N41" s="335"/>
      <c r="O41" s="335"/>
    </row>
    <row r="42" spans="1:25">
      <c r="B42" s="335"/>
      <c r="C42" s="335"/>
      <c r="D42" s="335"/>
      <c r="E42" s="335"/>
      <c r="F42" s="335"/>
      <c r="G42" s="335"/>
      <c r="H42" s="335"/>
      <c r="I42" s="335"/>
      <c r="J42" s="335"/>
      <c r="K42" s="335"/>
      <c r="L42" s="335"/>
      <c r="M42" s="335"/>
      <c r="N42" s="335"/>
      <c r="O42" s="335"/>
    </row>
    <row r="43" spans="1:25">
      <c r="B43" s="335"/>
      <c r="C43" s="335"/>
      <c r="D43" s="335"/>
      <c r="E43" s="335"/>
      <c r="F43" s="335"/>
      <c r="G43" s="335"/>
      <c r="H43" s="335"/>
      <c r="I43" s="335"/>
      <c r="J43" s="335"/>
      <c r="K43" s="335"/>
      <c r="L43" s="335"/>
      <c r="M43" s="335"/>
      <c r="N43" s="335"/>
      <c r="O43" s="335"/>
    </row>
    <row r="44" spans="1:25" ht="30">
      <c r="P44" s="161"/>
      <c r="Q44" s="161"/>
      <c r="R44" s="161"/>
      <c r="S44" s="161"/>
      <c r="T44" s="161"/>
      <c r="U44" s="161"/>
      <c r="V44" s="161"/>
      <c r="W44" s="161"/>
      <c r="X44" s="161"/>
      <c r="Y44" s="161"/>
    </row>
    <row r="45" spans="1:25"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177.75">
      <c r="B47" s="140" t="s">
        <v>575</v>
      </c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B48" s="95" t="s">
        <v>576</v>
      </c>
      <c r="C48" s="96" t="s">
        <v>577</v>
      </c>
      <c r="D48" s="96" t="s">
        <v>578</v>
      </c>
      <c r="E48" s="96" t="s">
        <v>579</v>
      </c>
      <c r="F48" s="96" t="s">
        <v>580</v>
      </c>
      <c r="G48" s="96" t="s">
        <v>581</v>
      </c>
      <c r="H48" s="96" t="s">
        <v>582</v>
      </c>
      <c r="I48" s="96" t="s">
        <v>583</v>
      </c>
      <c r="J48" s="96" t="s">
        <v>584</v>
      </c>
      <c r="K48" s="96" t="s">
        <v>585</v>
      </c>
      <c r="L48" s="96" t="s">
        <v>586</v>
      </c>
      <c r="M48" s="96" t="s">
        <v>587</v>
      </c>
      <c r="N48" s="97" t="s">
        <v>588</v>
      </c>
      <c r="O48" s="173" t="s">
        <v>589</v>
      </c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2:25">
      <c r="B49" s="89">
        <v>1</v>
      </c>
      <c r="C49" s="90">
        <v>1</v>
      </c>
      <c r="D49" s="90">
        <f>C16*C17</f>
        <v>8000</v>
      </c>
      <c r="E49" s="90">
        <f>Tableau218[[#This Row],[Usable_fresh_kg]]*0.1</f>
        <v>800</v>
      </c>
      <c r="F49" s="90">
        <f>C20*Tableau218[[#This Row],[Dried_kg]]</f>
        <v>16000000</v>
      </c>
      <c r="G49" s="90">
        <v>1820</v>
      </c>
      <c r="H49" s="90">
        <f>Tableau218[[#This Row],[Unit_cost_FCFA_per_kg]]*Tableau218[[#This Row],[Dried_kg]]</f>
        <v>1456000</v>
      </c>
      <c r="I49" s="90">
        <v>16</v>
      </c>
      <c r="J49" s="90">
        <v>110000</v>
      </c>
      <c r="K49" s="90">
        <v>30000</v>
      </c>
      <c r="L49" s="90">
        <f>Tableau218[[#This Row],[Cost_yearly_dried_mango_FCFA]]+Tableau218[[#This Row],[Export_price_FCFA]]</f>
        <v>17456000</v>
      </c>
      <c r="M49" s="90">
        <f>Tableau218[[#This Row],[Cost_yearly_dried_mango_FCFA]]-Tableau218[[#This Row],[Energy_cost_FCFA]]-Tableau218[[#This Row],[Maintenance_FCFA]]</f>
        <v>1316000</v>
      </c>
      <c r="N49" s="91">
        <v>4.6100000000000003</v>
      </c>
      <c r="O49" s="91">
        <v>1</v>
      </c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2:25">
      <c r="B50" s="89">
        <v>1</v>
      </c>
      <c r="C50" s="90">
        <v>2</v>
      </c>
      <c r="D50" s="90">
        <f>C16*C17</f>
        <v>8000</v>
      </c>
      <c r="E50" s="90">
        <f>Tableau218[[#This Row],[Usable_fresh_kg]]*0.1</f>
        <v>800</v>
      </c>
      <c r="F50" s="90">
        <f>C20*Tableau218[[#This Row],[Dried_kg]]</f>
        <v>16000000</v>
      </c>
      <c r="G50" s="90">
        <v>1820</v>
      </c>
      <c r="H50" s="90">
        <f>Tableau218[[#This Row],[Unit_cost_FCFA_per_kg]]*Tableau218[[#This Row],[Dried_kg]]</f>
        <v>1456000</v>
      </c>
      <c r="I50" s="90">
        <v>16</v>
      </c>
      <c r="J50" s="90">
        <v>110000</v>
      </c>
      <c r="K50" s="90">
        <v>30000</v>
      </c>
      <c r="L50" s="90">
        <f>Tableau218[[#This Row],[Cost_yearly_dried_mango_FCFA]]+Tableau218[[#This Row],[Export_price_FCFA]]</f>
        <v>17456000</v>
      </c>
      <c r="M50" s="90">
        <f>Tableau218[[#This Row],[Cost_yearly_dried_mango_FCFA]]-Tableau218[[#This Row],[Energy_cost_FCFA]]-Tableau218[[#This Row],[Maintenance_FCFA]]</f>
        <v>1316000</v>
      </c>
      <c r="N50" s="91">
        <v>4.67</v>
      </c>
      <c r="O50" s="91">
        <v>1</v>
      </c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2:25">
      <c r="B51" s="89">
        <v>1</v>
      </c>
      <c r="C51" s="90">
        <v>3</v>
      </c>
      <c r="D51" s="90">
        <f>C16*C17</f>
        <v>8000</v>
      </c>
      <c r="E51" s="90">
        <f>Tableau218[[#This Row],[Usable_fresh_kg]]*0.1</f>
        <v>800</v>
      </c>
      <c r="F51" s="90">
        <f>Tableau218[[#This Row],[Dried_kg]]*C20</f>
        <v>16000000</v>
      </c>
      <c r="G51" s="90">
        <v>1820</v>
      </c>
      <c r="H51" s="90">
        <f>Tableau218[[#This Row],[Unit_cost_FCFA_per_kg]]*Tableau218[[#This Row],[Dried_kg]]</f>
        <v>1456000</v>
      </c>
      <c r="I51" s="90">
        <v>16</v>
      </c>
      <c r="J51" s="90">
        <v>110000</v>
      </c>
      <c r="K51" s="90">
        <v>30000</v>
      </c>
      <c r="L51" s="90">
        <f>Tableau218[[#This Row],[Cost_yearly_dried_mango_FCFA]]+Tableau218[[#This Row],[Export_price_FCFA]]</f>
        <v>17456000</v>
      </c>
      <c r="M51" s="90">
        <f>Tableau218[[#This Row],[Cost_yearly_dried_mango_FCFA]]-Tableau218[[#This Row],[Energy_cost_FCFA]]-Tableau218[[#This Row],[Maintenance_FCFA]]</f>
        <v>1316000</v>
      </c>
      <c r="N51" s="90">
        <v>4.7300000000000004</v>
      </c>
      <c r="O51" s="109">
        <v>1</v>
      </c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2:25">
      <c r="B52" s="89">
        <v>1</v>
      </c>
      <c r="C52" s="90">
        <v>4</v>
      </c>
      <c r="D52" s="90">
        <f>C16*C17</f>
        <v>8000</v>
      </c>
      <c r="E52" s="90">
        <f>Tableau218[[#This Row],[Usable_fresh_kg]]*0.1</f>
        <v>800</v>
      </c>
      <c r="F52" s="90">
        <f>C20*Tableau218[[#This Row],[Dried_kg]]</f>
        <v>16000000</v>
      </c>
      <c r="G52" s="90">
        <v>1820</v>
      </c>
      <c r="H52" s="90">
        <f>Tableau218[[#This Row],[Unit_cost_FCFA_per_kg]]*Tableau218[[#This Row],[Dried_kg]]</f>
        <v>1456000</v>
      </c>
      <c r="I52" s="90">
        <v>16</v>
      </c>
      <c r="J52" s="90">
        <v>110000</v>
      </c>
      <c r="K52" s="90">
        <v>30000</v>
      </c>
      <c r="L52" s="90">
        <f>Tableau218[[#This Row],[Cost_yearly_dried_mango_FCFA]]+Tableau218[[#This Row],[Export_price_FCFA]]</f>
        <v>17456000</v>
      </c>
      <c r="M52" s="90">
        <f>Tableau218[[#This Row],[Cost_yearly_dried_mango_FCFA]]-Tableau218[[#This Row],[Energy_cost_FCFA]]-Tableau218[[#This Row],[Maintenance_FCFA]]</f>
        <v>1316000</v>
      </c>
      <c r="N52" s="90">
        <v>4.79</v>
      </c>
      <c r="O52" s="91">
        <v>1</v>
      </c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2:25">
      <c r="B53" s="89">
        <v>1</v>
      </c>
      <c r="C53" s="90">
        <v>5</v>
      </c>
      <c r="D53" s="90">
        <f>C16*C17</f>
        <v>8000</v>
      </c>
      <c r="E53" s="90">
        <f>Tableau218[[#This Row],[Usable_fresh_kg]]*0.1</f>
        <v>800</v>
      </c>
      <c r="F53" s="90">
        <f>Tableau218[[#This Row],[Dried_kg]]*C20</f>
        <v>16000000</v>
      </c>
      <c r="G53" s="90">
        <v>1820</v>
      </c>
      <c r="H53" s="90">
        <f>Tableau218[[#This Row],[Unit_cost_FCFA_per_kg]]*Tableau218[[#This Row],[Dried_kg]]</f>
        <v>1456000</v>
      </c>
      <c r="I53" s="90">
        <v>16</v>
      </c>
      <c r="J53" s="90">
        <v>110000</v>
      </c>
      <c r="K53" s="90">
        <v>30000</v>
      </c>
      <c r="L53" s="90">
        <f>Tableau218[[#This Row],[Cost_yearly_dried_mango_FCFA]]+Tableau218[[#This Row],[Export_price_FCFA]]</f>
        <v>17456000</v>
      </c>
      <c r="M53" s="90">
        <f>Tableau218[[#This Row],[Cost_yearly_dried_mango_FCFA]]-Tableau218[[#This Row],[Energy_cost_FCFA]]-Tableau218[[#This Row],[Maintenance_FCFA]]</f>
        <v>1316000</v>
      </c>
      <c r="N53" s="90">
        <v>4.8600000000000003</v>
      </c>
      <c r="O53" s="91">
        <v>1</v>
      </c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2:25">
      <c r="B54" s="89">
        <v>1</v>
      </c>
      <c r="C54" s="90">
        <v>6</v>
      </c>
      <c r="D54" s="90">
        <f>C16*C17</f>
        <v>8000</v>
      </c>
      <c r="E54" s="90">
        <f>Tableau218[[#This Row],[Usable_fresh_kg]]*0.1</f>
        <v>800</v>
      </c>
      <c r="F54" s="90">
        <f>C20*Tableau218[[#This Row],[Dried_kg]]</f>
        <v>16000000</v>
      </c>
      <c r="G54" s="90">
        <v>1820</v>
      </c>
      <c r="H54" s="90">
        <f>Tableau218[[#This Row],[Unit_cost_FCFA_per_kg]]*Tableau218[[#This Row],[Dried_kg]]</f>
        <v>1456000</v>
      </c>
      <c r="I54" s="90">
        <v>16</v>
      </c>
      <c r="J54" s="90">
        <v>110000</v>
      </c>
      <c r="K54" s="90">
        <v>30000</v>
      </c>
      <c r="L54" s="90">
        <f>Tableau218[[#This Row],[Cost_yearly_dried_mango_FCFA]]+Tableau218[[#This Row],[Export_price_FCFA]]</f>
        <v>17456000</v>
      </c>
      <c r="M54" s="90">
        <f>Tableau218[[#This Row],[Cost_yearly_dried_mango_FCFA]]-Tableau218[[#This Row],[Energy_cost_FCFA]]-Tableau218[[#This Row],[Maintenance_FCFA]]</f>
        <v>1316000</v>
      </c>
      <c r="N54" s="90">
        <v>4.92</v>
      </c>
      <c r="O54" s="91">
        <v>1</v>
      </c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2:25">
      <c r="B55" s="89">
        <v>1</v>
      </c>
      <c r="C55" s="90">
        <v>7</v>
      </c>
      <c r="D55" s="90">
        <f>C16*C17</f>
        <v>8000</v>
      </c>
      <c r="E55" s="90">
        <f>Tableau218[[#This Row],[Usable_fresh_kg]]*0.1</f>
        <v>800</v>
      </c>
      <c r="F55" s="90">
        <f>C20*Tableau218[[#This Row],[Dried_kg]]</f>
        <v>16000000</v>
      </c>
      <c r="G55" s="90">
        <v>1820</v>
      </c>
      <c r="H55" s="90">
        <f>Tableau218[[#This Row],[Unit_cost_FCFA_per_kg]]*Tableau218[[#This Row],[Dried_kg]]</f>
        <v>1456000</v>
      </c>
      <c r="I55" s="90">
        <v>16</v>
      </c>
      <c r="J55" s="90">
        <v>110000</v>
      </c>
      <c r="K55" s="90">
        <v>30000</v>
      </c>
      <c r="L55" s="90">
        <f>Tableau218[[#This Row],[Cost_yearly_dried_mango_FCFA]]+Tableau218[[#This Row],[Export_price_FCFA]]</f>
        <v>17456000</v>
      </c>
      <c r="M55" s="90">
        <f>Tableau218[[#This Row],[Cost_yearly_dried_mango_FCFA]]-Tableau218[[#This Row],[Energy_cost_FCFA]]-Tableau218[[#This Row],[Maintenance_FCFA]]</f>
        <v>1316000</v>
      </c>
      <c r="N55" s="90">
        <v>4.9800000000000004</v>
      </c>
      <c r="O55" s="91">
        <v>1</v>
      </c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2:25">
      <c r="B56" s="89">
        <v>1</v>
      </c>
      <c r="C56" s="90">
        <v>8</v>
      </c>
      <c r="D56" s="90">
        <f>C16*C17</f>
        <v>8000</v>
      </c>
      <c r="E56" s="90">
        <f>Tableau218[[#This Row],[Usable_fresh_kg]]*0.1</f>
        <v>800</v>
      </c>
      <c r="F56" s="90">
        <f>C20*Tableau218[[#This Row],[Dried_kg]]</f>
        <v>16000000</v>
      </c>
      <c r="G56" s="90">
        <v>1820</v>
      </c>
      <c r="H56" s="90">
        <f>Tableau218[[#This Row],[Unit_cost_FCFA_per_kg]]*Tableau218[[#This Row],[Dried_kg]]</f>
        <v>1456000</v>
      </c>
      <c r="I56" s="90">
        <v>16</v>
      </c>
      <c r="J56" s="90">
        <v>110000</v>
      </c>
      <c r="K56" s="90">
        <v>30000</v>
      </c>
      <c r="L56" s="90">
        <f>Tableau218[[#This Row],[Cost_yearly_dried_mango_FCFA]]+Tableau218[[#This Row],[Export_price_FCFA]]</f>
        <v>17456000</v>
      </c>
      <c r="M56" s="90">
        <f>Tableau218[[#This Row],[Cost_yearly_dried_mango_FCFA]]-Tableau218[[#This Row],[Energy_cost_FCFA]]-Tableau218[[#This Row],[Maintenance_FCFA]]</f>
        <v>1316000</v>
      </c>
      <c r="N56" s="90">
        <v>5.04</v>
      </c>
      <c r="O56" s="91">
        <v>1</v>
      </c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2:25">
      <c r="B57" s="89">
        <v>1</v>
      </c>
      <c r="C57" s="90">
        <v>9</v>
      </c>
      <c r="D57" s="90">
        <f>C16*C17</f>
        <v>8000</v>
      </c>
      <c r="E57" s="90">
        <f>Tableau218[[#This Row],[Usable_fresh_kg]]*0.1</f>
        <v>800</v>
      </c>
      <c r="F57" s="90">
        <f>C20*Tableau218[[#This Row],[Dried_kg]]</f>
        <v>16000000</v>
      </c>
      <c r="G57" s="90">
        <v>1820</v>
      </c>
      <c r="H57" s="90">
        <f>Tableau218[[#This Row],[Unit_cost_FCFA_per_kg]]*Tableau218[[#This Row],[Dried_kg]]</f>
        <v>1456000</v>
      </c>
      <c r="I57" s="90">
        <v>16</v>
      </c>
      <c r="J57" s="90">
        <v>110000</v>
      </c>
      <c r="K57" s="90">
        <v>30000</v>
      </c>
      <c r="L57" s="90">
        <f>Tableau218[[#This Row],[Cost_yearly_dried_mango_FCFA]]+Tableau218[[#This Row],[Export_price_FCFA]]</f>
        <v>17456000</v>
      </c>
      <c r="M57" s="90">
        <f>Tableau218[[#This Row],[Cost_yearly_dried_mango_FCFA]]-Tableau218[[#This Row],[Energy_cost_FCFA]]-Tableau218[[#This Row],[Maintenance_FCFA]]</f>
        <v>1316000</v>
      </c>
      <c r="N57" s="90">
        <v>5.0999999999999996</v>
      </c>
      <c r="O57" s="91">
        <v>1</v>
      </c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2:25">
      <c r="B58" s="92">
        <v>1</v>
      </c>
      <c r="C58" s="93">
        <v>10</v>
      </c>
      <c r="D58" s="93">
        <f>C16*C17</f>
        <v>8000</v>
      </c>
      <c r="E58" s="90">
        <f>Tableau218[[#This Row],[Usable_fresh_kg]]*0.1</f>
        <v>800</v>
      </c>
      <c r="F58" s="90">
        <f>C20*Tableau218[[#This Row],[Dried_kg]]</f>
        <v>16000000</v>
      </c>
      <c r="G58" s="90">
        <v>1820</v>
      </c>
      <c r="H58" s="90">
        <f>Tableau218[[#This Row],[Unit_cost_FCFA_per_kg]]*Tableau218[[#This Row],[Dried_kg]]</f>
        <v>1456000</v>
      </c>
      <c r="I58" s="93">
        <v>16</v>
      </c>
      <c r="J58" s="159">
        <v>110000</v>
      </c>
      <c r="K58" s="159">
        <v>30000</v>
      </c>
      <c r="L58" s="159">
        <f>Tableau218[[#This Row],[Cost_yearly_dried_mango_FCFA]]+Tableau218[[#This Row],[Export_price_FCFA]]</f>
        <v>17456000</v>
      </c>
      <c r="M58" s="90">
        <f>Tableau218[[#This Row],[Cost_yearly_dried_mango_FCFA]]-Tableau218[[#This Row],[Energy_cost_FCFA]]-Tableau218[[#This Row],[Maintenance_FCFA]]</f>
        <v>1316000</v>
      </c>
      <c r="N58" s="93">
        <v>5.17</v>
      </c>
      <c r="O58" s="94">
        <v>1</v>
      </c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2:25"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pans="2:25"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2:25"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2:25"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pans="2:25" ht="30">
      <c r="P63" s="161"/>
      <c r="Q63" s="161"/>
      <c r="R63" s="161"/>
      <c r="S63" s="161"/>
      <c r="T63" s="161"/>
      <c r="U63" s="161"/>
      <c r="V63" s="161"/>
      <c r="W63" s="161"/>
      <c r="X63" s="161"/>
      <c r="Y63" s="161"/>
    </row>
    <row r="64" spans="2:25"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2:25"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spans="2:25" ht="30">
      <c r="B66" s="88" t="s">
        <v>590</v>
      </c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spans="2:25">
      <c r="B67" s="96" t="s">
        <v>576</v>
      </c>
      <c r="C67" s="96" t="s">
        <v>577</v>
      </c>
      <c r="D67" s="96" t="s">
        <v>578</v>
      </c>
      <c r="E67" s="96" t="s">
        <v>579</v>
      </c>
      <c r="F67" s="96" t="s">
        <v>580</v>
      </c>
      <c r="G67" s="96" t="s">
        <v>581</v>
      </c>
      <c r="H67" s="96" t="s">
        <v>582</v>
      </c>
      <c r="I67" s="96" t="s">
        <v>583</v>
      </c>
      <c r="J67" s="96" t="s">
        <v>584</v>
      </c>
      <c r="K67" s="96" t="s">
        <v>591</v>
      </c>
      <c r="L67" s="96" t="s">
        <v>586</v>
      </c>
      <c r="M67" s="96" t="s">
        <v>587</v>
      </c>
      <c r="N67" s="96" t="s">
        <v>588</v>
      </c>
      <c r="O67" s="97" t="s">
        <v>589</v>
      </c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pans="2:25">
      <c r="B68" s="107">
        <v>3</v>
      </c>
      <c r="C68" s="108">
        <v>1</v>
      </c>
      <c r="D68" s="108">
        <f>Tableau319[[#This Row],[Scenario_ha]]*D49</f>
        <v>24000</v>
      </c>
      <c r="E68" s="108">
        <f>Tableau319[[#This Row],[Usable_fresh_kg]]*0.1</f>
        <v>2400</v>
      </c>
      <c r="F68" s="108">
        <f>C20*Tableau319[[#This Row],[Dried_kg]]</f>
        <v>48000000</v>
      </c>
      <c r="G68" s="108">
        <v>1695</v>
      </c>
      <c r="H68" s="108">
        <f>Tableau319[[#This Row],[Dried_kg]]*Tableau319[[#This Row],[Unit_cost_FCFA_per_kg]]</f>
        <v>4068000</v>
      </c>
      <c r="I68" s="108">
        <v>48</v>
      </c>
      <c r="J68" s="108">
        <v>240000</v>
      </c>
      <c r="K68" s="108">
        <v>60000</v>
      </c>
      <c r="L68" s="108">
        <f>Tableau319[[#This Row],[Cost_yearly_dried_mango_FCFA]]+Tableau319[[#This Row],[Export_price_FCFA]]</f>
        <v>52068000</v>
      </c>
      <c r="M68" s="108">
        <f>Tableau319[[#This Row],[Cost_yearly_dried_mango_FCFA]]-Tableau319[[#This Row],[Energy_cost_FCFA]]-Tableau319[[#This Row],[Maintenance]]</f>
        <v>3768000</v>
      </c>
      <c r="N68" s="108">
        <v>4.45</v>
      </c>
      <c r="O68" s="109">
        <v>2</v>
      </c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 spans="2:25">
      <c r="B69" s="89">
        <v>3</v>
      </c>
      <c r="C69" s="90">
        <v>2</v>
      </c>
      <c r="D69" s="108">
        <f>Tableau319[[#This Row],[Scenario_ha]]*D50</f>
        <v>24000</v>
      </c>
      <c r="E69" s="108">
        <f>Tableau319[[#This Row],[Usable_fresh_kg]]*0.1</f>
        <v>2400</v>
      </c>
      <c r="F69" s="90">
        <f>Tableau319[[#This Row],[Dried_kg]]*C20</f>
        <v>48000000</v>
      </c>
      <c r="G69" s="108">
        <v>1695</v>
      </c>
      <c r="H69" s="108">
        <f>Tableau319[[#This Row],[Dried_kg]]*Tableau319[[#This Row],[Unit_cost_FCFA_per_kg]]</f>
        <v>4068000</v>
      </c>
      <c r="I69" s="90">
        <v>48</v>
      </c>
      <c r="J69" s="108">
        <v>240000</v>
      </c>
      <c r="K69" s="108">
        <v>60000</v>
      </c>
      <c r="L69" s="108">
        <f>Tableau319[[#This Row],[Cost_yearly_dried_mango_FCFA]]+Tableau319[[#This Row],[Export_price_FCFA]]</f>
        <v>52068000</v>
      </c>
      <c r="M69" s="108">
        <f>Tableau319[[#This Row],[Cost_yearly_dried_mango_FCFA]]-Tableau319[[#This Row],[Energy_cost_FCFA]]-Tableau319[[#This Row],[Maintenance]]</f>
        <v>3768000</v>
      </c>
      <c r="N69" s="90">
        <v>4.51</v>
      </c>
      <c r="O69" s="91">
        <v>2</v>
      </c>
      <c r="P69" s="22"/>
      <c r="Q69" s="22"/>
      <c r="R69" s="22"/>
      <c r="S69" s="22"/>
      <c r="T69" s="22"/>
      <c r="U69" s="22"/>
      <c r="V69" s="22"/>
      <c r="W69" s="22"/>
      <c r="X69" s="22"/>
      <c r="Y69" s="22"/>
    </row>
    <row r="70" spans="2:25">
      <c r="B70" s="89">
        <v>3</v>
      </c>
      <c r="C70" s="90">
        <v>3</v>
      </c>
      <c r="D70" s="108">
        <f>Tableau319[[#This Row],[Scenario_ha]]*D51</f>
        <v>24000</v>
      </c>
      <c r="E70" s="108">
        <f>Tableau319[[#This Row],[Usable_fresh_kg]]*0.1</f>
        <v>2400</v>
      </c>
      <c r="F70" s="90">
        <f>Tableau319[[#This Row],[Dried_kg]]*C20</f>
        <v>48000000</v>
      </c>
      <c r="G70" s="108">
        <v>1695</v>
      </c>
      <c r="H70" s="108">
        <f>Tableau319[[#This Row],[Dried_kg]]*Tableau319[[#This Row],[Unit_cost_FCFA_per_kg]]</f>
        <v>4068000</v>
      </c>
      <c r="I70" s="90">
        <v>48</v>
      </c>
      <c r="J70" s="108">
        <v>240000</v>
      </c>
      <c r="K70" s="108">
        <v>60000</v>
      </c>
      <c r="L70" s="108">
        <f>Tableau319[[#This Row],[Cost_yearly_dried_mango_FCFA]]+Tableau319[[#This Row],[Export_price_FCFA]]</f>
        <v>52068000</v>
      </c>
      <c r="M70" s="108">
        <f>Tableau319[[#This Row],[Cost_yearly_dried_mango_FCFA]]-Tableau319[[#This Row],[Energy_cost_FCFA]]-Tableau319[[#This Row],[Maintenance]]</f>
        <v>3768000</v>
      </c>
      <c r="N70" s="90">
        <v>4.57</v>
      </c>
      <c r="O70" s="91">
        <v>2</v>
      </c>
      <c r="P70" s="22"/>
      <c r="Q70" s="22"/>
      <c r="R70" s="22"/>
      <c r="S70" s="22"/>
      <c r="T70" s="22"/>
      <c r="U70" s="22"/>
      <c r="V70" s="22"/>
      <c r="W70" s="22"/>
      <c r="X70" s="22"/>
      <c r="Y70" s="22"/>
    </row>
    <row r="71" spans="2:25">
      <c r="B71" s="89">
        <v>3</v>
      </c>
      <c r="C71" s="90">
        <v>4</v>
      </c>
      <c r="D71" s="108">
        <f>Tableau319[[#This Row],[Scenario_ha]]*D52</f>
        <v>24000</v>
      </c>
      <c r="E71" s="108">
        <f>Tableau319[[#This Row],[Usable_fresh_kg]]*0.1</f>
        <v>2400</v>
      </c>
      <c r="F71" s="90">
        <f>Tableau319[[#This Row],[Dried_kg]]*C20</f>
        <v>48000000</v>
      </c>
      <c r="G71" s="108">
        <v>1695</v>
      </c>
      <c r="H71" s="108">
        <f>Tableau319[[#This Row],[Dried_kg]]*Tableau319[[#This Row],[Unit_cost_FCFA_per_kg]]</f>
        <v>4068000</v>
      </c>
      <c r="I71" s="90">
        <v>48</v>
      </c>
      <c r="J71" s="108">
        <v>240000</v>
      </c>
      <c r="K71" s="108">
        <v>60000</v>
      </c>
      <c r="L71" s="108">
        <f>Tableau319[[#This Row],[Cost_yearly_dried_mango_FCFA]]+Tableau319[[#This Row],[Export_price_FCFA]]</f>
        <v>52068000</v>
      </c>
      <c r="M71" s="108">
        <f>Tableau319[[#This Row],[Cost_yearly_dried_mango_FCFA]]-Tableau319[[#This Row],[Energy_cost_FCFA]]-Tableau319[[#This Row],[Maintenance]]</f>
        <v>3768000</v>
      </c>
      <c r="N71" s="90">
        <v>4.63</v>
      </c>
      <c r="O71" s="91">
        <v>2</v>
      </c>
      <c r="P71" s="22"/>
      <c r="Q71" s="22"/>
      <c r="R71" s="22"/>
      <c r="S71" s="22"/>
      <c r="T71" s="22"/>
      <c r="U71" s="22"/>
      <c r="V71" s="22"/>
      <c r="W71" s="22"/>
      <c r="X71" s="22"/>
      <c r="Y71" s="22"/>
    </row>
    <row r="72" spans="2:25">
      <c r="B72" s="89">
        <v>3</v>
      </c>
      <c r="C72" s="90">
        <v>5</v>
      </c>
      <c r="D72" s="108">
        <f>Tableau319[[#This Row],[Scenario_ha]]*D53</f>
        <v>24000</v>
      </c>
      <c r="E72" s="108">
        <f>Tableau319[[#This Row],[Usable_fresh_kg]]*0.1</f>
        <v>2400</v>
      </c>
      <c r="F72" s="90">
        <f>Tableau319[[#This Row],[Dried_kg]]*C20</f>
        <v>48000000</v>
      </c>
      <c r="G72" s="108">
        <v>1695</v>
      </c>
      <c r="H72" s="108">
        <f>Tableau319[[#This Row],[Dried_kg]]*Tableau319[[#This Row],[Unit_cost_FCFA_per_kg]]</f>
        <v>4068000</v>
      </c>
      <c r="I72" s="90">
        <v>48</v>
      </c>
      <c r="J72" s="108">
        <v>240000</v>
      </c>
      <c r="K72" s="108">
        <v>60000</v>
      </c>
      <c r="L72" s="108">
        <f>Tableau319[[#This Row],[Cost_yearly_dried_mango_FCFA]]+Tableau319[[#This Row],[Export_price_FCFA]]</f>
        <v>52068000</v>
      </c>
      <c r="M72" s="108">
        <f>Tableau319[[#This Row],[Cost_yearly_dried_mango_FCFA]]-Tableau319[[#This Row],[Energy_cost_FCFA]]-Tableau319[[#This Row],[Maintenance]]</f>
        <v>3768000</v>
      </c>
      <c r="N72" s="90">
        <v>4.7</v>
      </c>
      <c r="O72" s="91">
        <v>2</v>
      </c>
      <c r="P72" s="22"/>
      <c r="Q72" s="22"/>
      <c r="R72" s="22"/>
      <c r="S72" s="22"/>
      <c r="T72" s="22"/>
      <c r="U72" s="22"/>
      <c r="V72" s="22"/>
      <c r="W72" s="22"/>
      <c r="X72" s="22"/>
      <c r="Y72" s="22"/>
    </row>
    <row r="73" spans="2:25">
      <c r="B73" s="89">
        <v>3</v>
      </c>
      <c r="C73" s="90">
        <v>6</v>
      </c>
      <c r="D73" s="108">
        <f>Tableau319[[#This Row],[Scenario_ha]]*D54</f>
        <v>24000</v>
      </c>
      <c r="E73" s="108">
        <f>Tableau319[[#This Row],[Usable_fresh_kg]]*0.1</f>
        <v>2400</v>
      </c>
      <c r="F73" s="90">
        <f>Tableau319[[#This Row],[Dried_kg]]*C20</f>
        <v>48000000</v>
      </c>
      <c r="G73" s="108">
        <v>1695</v>
      </c>
      <c r="H73" s="108">
        <f>Tableau319[[#This Row],[Dried_kg]]*Tableau319[[#This Row],[Unit_cost_FCFA_per_kg]]</f>
        <v>4068000</v>
      </c>
      <c r="I73" s="90">
        <v>48</v>
      </c>
      <c r="J73" s="108">
        <v>240000</v>
      </c>
      <c r="K73" s="108">
        <v>60000</v>
      </c>
      <c r="L73" s="108">
        <f>Tableau319[[#This Row],[Cost_yearly_dried_mango_FCFA]]+Tableau319[[#This Row],[Export_price_FCFA]]</f>
        <v>52068000</v>
      </c>
      <c r="M73" s="108">
        <f>Tableau319[[#This Row],[Cost_yearly_dried_mango_FCFA]]-Tableau319[[#This Row],[Energy_cost_FCFA]]-Tableau319[[#This Row],[Maintenance]]</f>
        <v>3768000</v>
      </c>
      <c r="N73" s="90">
        <v>4.76</v>
      </c>
      <c r="O73" s="91">
        <v>2</v>
      </c>
      <c r="P73" s="22"/>
      <c r="Q73" s="22"/>
      <c r="R73" s="22"/>
      <c r="S73" s="22"/>
      <c r="T73" s="22"/>
      <c r="U73" s="22"/>
      <c r="V73" s="22"/>
      <c r="W73" s="22"/>
      <c r="X73" s="22"/>
      <c r="Y73" s="22"/>
    </row>
    <row r="74" spans="2:25">
      <c r="B74" s="89">
        <v>3</v>
      </c>
      <c r="C74" s="90">
        <v>7</v>
      </c>
      <c r="D74" s="108">
        <f>Tableau319[[#This Row],[Scenario_ha]]*D55</f>
        <v>24000</v>
      </c>
      <c r="E74" s="108">
        <f>Tableau319[[#This Row],[Usable_fresh_kg]]*0.1</f>
        <v>2400</v>
      </c>
      <c r="F74" s="90">
        <f>Tableau319[[#This Row],[Dried_kg]]*C20</f>
        <v>48000000</v>
      </c>
      <c r="G74" s="108">
        <v>1695</v>
      </c>
      <c r="H74" s="108">
        <f>Tableau319[[#This Row],[Dried_kg]]*Tableau319[[#This Row],[Unit_cost_FCFA_per_kg]]</f>
        <v>4068000</v>
      </c>
      <c r="I74" s="90">
        <v>48</v>
      </c>
      <c r="J74" s="108">
        <v>240000</v>
      </c>
      <c r="K74" s="108">
        <v>60000</v>
      </c>
      <c r="L74" s="108">
        <f>Tableau319[[#This Row],[Cost_yearly_dried_mango_FCFA]]+Tableau319[[#This Row],[Export_price_FCFA]]</f>
        <v>52068000</v>
      </c>
      <c r="M74" s="108">
        <f>Tableau319[[#This Row],[Cost_yearly_dried_mango_FCFA]]-Tableau319[[#This Row],[Energy_cost_FCFA]]-Tableau319[[#This Row],[Maintenance]]</f>
        <v>3768000</v>
      </c>
      <c r="N74" s="90">
        <v>4.82</v>
      </c>
      <c r="O74" s="91">
        <v>2</v>
      </c>
      <c r="P74" s="22"/>
      <c r="Q74" s="22"/>
      <c r="R74" s="22"/>
      <c r="S74" s="22"/>
      <c r="T74" s="22"/>
      <c r="U74" s="22"/>
      <c r="V74" s="22"/>
      <c r="W74" s="22"/>
      <c r="X74" s="22"/>
      <c r="Y74" s="22"/>
    </row>
    <row r="75" spans="2:25">
      <c r="B75" s="89">
        <v>3</v>
      </c>
      <c r="C75" s="90">
        <v>8</v>
      </c>
      <c r="D75" s="108">
        <f>Tableau319[[#This Row],[Scenario_ha]]*D56</f>
        <v>24000</v>
      </c>
      <c r="E75" s="108">
        <f>Tableau319[[#This Row],[Usable_fresh_kg]]*0.1</f>
        <v>2400</v>
      </c>
      <c r="F75" s="90">
        <f>Tableau319[[#This Row],[Dried_kg]]*C20</f>
        <v>48000000</v>
      </c>
      <c r="G75" s="108">
        <v>1695</v>
      </c>
      <c r="H75" s="108">
        <f>Tableau319[[#This Row],[Dried_kg]]*Tableau319[[#This Row],[Unit_cost_FCFA_per_kg]]</f>
        <v>4068000</v>
      </c>
      <c r="I75" s="90">
        <v>48</v>
      </c>
      <c r="J75" s="108">
        <v>240000</v>
      </c>
      <c r="K75" s="108">
        <v>60000</v>
      </c>
      <c r="L75" s="108">
        <f>Tableau319[[#This Row],[Cost_yearly_dried_mango_FCFA]]+Tableau319[[#This Row],[Export_price_FCFA]]</f>
        <v>52068000</v>
      </c>
      <c r="M75" s="108">
        <f>Tableau319[[#This Row],[Cost_yearly_dried_mango_FCFA]]-Tableau319[[#This Row],[Energy_cost_FCFA]]-Tableau319[[#This Row],[Maintenance]]</f>
        <v>3768000</v>
      </c>
      <c r="N75" s="90">
        <v>4.88</v>
      </c>
      <c r="O75" s="91">
        <v>2</v>
      </c>
      <c r="P75" s="22"/>
      <c r="Q75" s="22"/>
      <c r="R75" s="22"/>
      <c r="S75" s="22"/>
      <c r="T75" s="22"/>
      <c r="U75" s="22"/>
      <c r="V75" s="22"/>
      <c r="W75" s="22"/>
      <c r="X75" s="22"/>
      <c r="Y75" s="22"/>
    </row>
    <row r="76" spans="2:25">
      <c r="B76" s="89">
        <v>3</v>
      </c>
      <c r="C76" s="90">
        <v>9</v>
      </c>
      <c r="D76" s="108">
        <f>Tableau319[[#This Row],[Scenario_ha]]*D57</f>
        <v>24000</v>
      </c>
      <c r="E76" s="108">
        <f>Tableau319[[#This Row],[Usable_fresh_kg]]*0.1</f>
        <v>2400</v>
      </c>
      <c r="F76" s="90">
        <f>Tableau319[[#This Row],[Dried_kg]]*C20</f>
        <v>48000000</v>
      </c>
      <c r="G76" s="108">
        <v>1695</v>
      </c>
      <c r="H76" s="108">
        <f>Tableau319[[#This Row],[Dried_kg]]*Tableau319[[#This Row],[Unit_cost_FCFA_per_kg]]</f>
        <v>4068000</v>
      </c>
      <c r="I76" s="90">
        <v>48</v>
      </c>
      <c r="J76" s="108">
        <v>240000</v>
      </c>
      <c r="K76" s="108">
        <v>60000</v>
      </c>
      <c r="L76" s="108">
        <f>Tableau319[[#This Row],[Cost_yearly_dried_mango_FCFA]]+Tableau319[[#This Row],[Export_price_FCFA]]</f>
        <v>52068000</v>
      </c>
      <c r="M76" s="108">
        <f>Tableau319[[#This Row],[Cost_yearly_dried_mango_FCFA]]-Tableau319[[#This Row],[Energy_cost_FCFA]]-Tableau319[[#This Row],[Maintenance]]</f>
        <v>3768000</v>
      </c>
      <c r="N76" s="90">
        <v>4.9400000000000004</v>
      </c>
      <c r="O76" s="91">
        <v>2</v>
      </c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 spans="2:25">
      <c r="B77" s="92">
        <v>3</v>
      </c>
      <c r="C77" s="93">
        <v>10</v>
      </c>
      <c r="D77" s="108">
        <f>Tableau319[[#This Row],[Scenario_ha]]*D58</f>
        <v>24000</v>
      </c>
      <c r="E77" s="108">
        <f>Tableau319[[#This Row],[Usable_fresh_kg]]*0.1</f>
        <v>2400</v>
      </c>
      <c r="F77" s="90">
        <f>Tableau319[[#This Row],[Dried_kg]]*C20</f>
        <v>48000000</v>
      </c>
      <c r="G77" s="108">
        <v>1695</v>
      </c>
      <c r="H77" s="108">
        <f>Tableau319[[#This Row],[Dried_kg]]*Tableau319[[#This Row],[Unit_cost_FCFA_per_kg]]</f>
        <v>4068000</v>
      </c>
      <c r="I77" s="93">
        <v>48</v>
      </c>
      <c r="J77" s="108">
        <v>240000</v>
      </c>
      <c r="K77" s="108">
        <v>60000</v>
      </c>
      <c r="L77" s="108">
        <f>Tableau319[[#This Row],[Cost_yearly_dried_mango_FCFA]]+Tableau319[[#This Row],[Export_price_FCFA]]</f>
        <v>52068000</v>
      </c>
      <c r="M77" s="108">
        <f>Tableau319[[#This Row],[Cost_yearly_dried_mango_FCFA]]-Tableau319[[#This Row],[Energy_cost_FCFA]]-Tableau319[[#This Row],[Maintenance]]</f>
        <v>3768000</v>
      </c>
      <c r="N77" s="93">
        <v>5</v>
      </c>
      <c r="O77" s="94">
        <v>2</v>
      </c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 spans="2:25">
      <c r="P78" s="22"/>
      <c r="Q78" s="22"/>
      <c r="R78" s="22"/>
      <c r="S78" s="22"/>
      <c r="T78" s="22"/>
      <c r="U78" s="22"/>
      <c r="V78" s="22"/>
      <c r="W78" s="22"/>
      <c r="X78" s="22"/>
      <c r="Y78" s="22"/>
    </row>
    <row r="79" spans="2:25">
      <c r="P79" s="22"/>
      <c r="Q79" s="22"/>
      <c r="R79" s="22"/>
      <c r="S79" s="22"/>
      <c r="T79" s="22"/>
      <c r="U79" s="22"/>
      <c r="V79" s="22"/>
      <c r="W79" s="22"/>
      <c r="X79" s="22"/>
      <c r="Y79" s="22"/>
    </row>
    <row r="80" spans="2:25">
      <c r="P80" s="22"/>
      <c r="Q80" s="22"/>
      <c r="R80" s="22"/>
      <c r="S80" s="22"/>
      <c r="T80" s="22"/>
      <c r="U80" s="22"/>
      <c r="V80" s="22"/>
      <c r="W80" s="22"/>
      <c r="X80" s="22"/>
      <c r="Y80" s="22"/>
    </row>
    <row r="81" spans="2:25" ht="30">
      <c r="P81" s="161"/>
      <c r="Q81" s="161"/>
      <c r="R81" s="161"/>
      <c r="S81" s="161"/>
      <c r="T81" s="161"/>
      <c r="U81" s="161"/>
      <c r="V81" s="161"/>
      <c r="W81" s="161"/>
      <c r="X81" s="161"/>
      <c r="Y81" s="161"/>
    </row>
    <row r="82" spans="2:25">
      <c r="P82" s="22"/>
      <c r="Q82" s="22"/>
      <c r="R82" s="22"/>
      <c r="S82" s="22"/>
      <c r="T82" s="22"/>
      <c r="U82" s="22"/>
      <c r="V82" s="22"/>
      <c r="W82" s="22"/>
      <c r="X82" s="22"/>
      <c r="Y82" s="22"/>
    </row>
    <row r="83" spans="2:25">
      <c r="P83" s="22"/>
      <c r="Q83" s="22"/>
      <c r="R83" s="22"/>
      <c r="S83" s="22"/>
      <c r="T83" s="22"/>
      <c r="U83" s="22"/>
      <c r="V83" s="22"/>
      <c r="W83" s="22"/>
      <c r="X83" s="22"/>
      <c r="Y83" s="22"/>
    </row>
    <row r="84" spans="2:25" ht="30">
      <c r="B84" s="88" t="s">
        <v>592</v>
      </c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22"/>
      <c r="Q84" s="22"/>
      <c r="R84" s="22"/>
      <c r="S84" s="22"/>
      <c r="T84" s="22"/>
      <c r="U84" s="22"/>
      <c r="V84" s="22"/>
      <c r="W84" s="22"/>
      <c r="X84" s="22"/>
      <c r="Y84" s="22"/>
    </row>
    <row r="85" spans="2:25">
      <c r="B85" s="101" t="s">
        <v>576</v>
      </c>
      <c r="C85" s="101" t="s">
        <v>577</v>
      </c>
      <c r="D85" s="101" t="s">
        <v>578</v>
      </c>
      <c r="E85" s="101" t="s">
        <v>579</v>
      </c>
      <c r="F85" s="101" t="s">
        <v>580</v>
      </c>
      <c r="G85" s="101" t="s">
        <v>581</v>
      </c>
      <c r="H85" s="101" t="s">
        <v>582</v>
      </c>
      <c r="I85" s="101" t="s">
        <v>583</v>
      </c>
      <c r="J85" s="101" t="s">
        <v>584</v>
      </c>
      <c r="K85" s="101" t="s">
        <v>591</v>
      </c>
      <c r="L85" s="101" t="s">
        <v>586</v>
      </c>
      <c r="M85" s="101" t="s">
        <v>587</v>
      </c>
      <c r="N85" s="101" t="s">
        <v>588</v>
      </c>
      <c r="O85" s="102" t="s">
        <v>589</v>
      </c>
      <c r="P85" s="22"/>
      <c r="Q85" s="22"/>
      <c r="R85" s="22"/>
      <c r="S85" s="22"/>
      <c r="T85" s="22"/>
      <c r="U85" s="22"/>
      <c r="V85" s="22"/>
      <c r="W85" s="22"/>
      <c r="X85" s="22"/>
      <c r="Y85" s="22"/>
    </row>
    <row r="86" spans="2:25">
      <c r="B86" s="107">
        <v>30</v>
      </c>
      <c r="C86" s="108">
        <v>1</v>
      </c>
      <c r="D86" s="108">
        <f>Tableau521[[#This Row],[Scenario_ha]]*D49</f>
        <v>240000</v>
      </c>
      <c r="E86" s="108">
        <f>Tableau521[[#This Row],[Usable_fresh_kg]]*0.1</f>
        <v>24000</v>
      </c>
      <c r="F86" s="108">
        <f>Tableau521[[#This Row],[Dried_kg]]*C20</f>
        <v>480000000</v>
      </c>
      <c r="G86" s="108">
        <v>1350</v>
      </c>
      <c r="H86" s="108">
        <f>Tableau521[[#This Row],[Unit_cost_FCFA_per_kg]]*Tableau521[[#This Row],[Dried_kg]]</f>
        <v>32400000</v>
      </c>
      <c r="I86" s="108">
        <v>480</v>
      </c>
      <c r="J86" s="108">
        <v>600000</v>
      </c>
      <c r="K86" s="108">
        <v>300000</v>
      </c>
      <c r="L86" s="108">
        <f>Tableau521[[#This Row],[Cost_yearly_dried_mango_FCFA]]+Tableau521[[#This Row],[Export_price_FCFA]]</f>
        <v>512400000</v>
      </c>
      <c r="M86" s="108">
        <f>Tableau521[[#This Row],[Cost_yearly_dried_mango_FCFA]]-Tableau521[[#This Row],[Energy_cost_FCFA]]-Tableau521[[#This Row],[Maintenance]]</f>
        <v>31500000</v>
      </c>
      <c r="N86" s="108">
        <v>4.01</v>
      </c>
      <c r="O86" s="109">
        <v>15</v>
      </c>
      <c r="P86" s="22"/>
      <c r="Q86" s="22"/>
      <c r="R86" s="22"/>
      <c r="S86" s="22"/>
      <c r="T86" s="22"/>
      <c r="U86" s="22"/>
      <c r="V86" s="22"/>
      <c r="W86" s="22"/>
      <c r="X86" s="22"/>
      <c r="Y86" s="22"/>
    </row>
    <row r="87" spans="2:25">
      <c r="B87" s="89">
        <v>30</v>
      </c>
      <c r="C87" s="90">
        <v>2</v>
      </c>
      <c r="D87" s="108">
        <f>Tableau521[[#This Row],[Scenario_ha]]*D50</f>
        <v>240000</v>
      </c>
      <c r="E87" s="108">
        <f>Tableau521[[#This Row],[Usable_fresh_kg]]*0.1</f>
        <v>24000</v>
      </c>
      <c r="F87" s="90">
        <f>C20*Tableau521[[#This Row],[Dried_kg]]</f>
        <v>480000000</v>
      </c>
      <c r="G87" s="108">
        <v>1350</v>
      </c>
      <c r="H87" s="90">
        <f>Tableau521[[#This Row],[Dried_kg]]*Tableau521[[#This Row],[Unit_cost_FCFA_per_kg]]</f>
        <v>32400000</v>
      </c>
      <c r="I87" s="90">
        <v>480</v>
      </c>
      <c r="J87" s="108">
        <v>600000</v>
      </c>
      <c r="K87" s="108">
        <v>300000</v>
      </c>
      <c r="L87" s="108">
        <f>Tableau521[[#This Row],[Cost_yearly_dried_mango_FCFA]]+Tableau521[[#This Row],[Export_price_FCFA]]</f>
        <v>512400000</v>
      </c>
      <c r="M87" s="108">
        <f>Tableau521[[#This Row],[Cost_yearly_dried_mango_FCFA]]-Tableau521[[#This Row],[Energy_cost_FCFA]]-Tableau521[[#This Row],[Maintenance]]</f>
        <v>31500000</v>
      </c>
      <c r="N87" s="90">
        <v>4.0599999999999996</v>
      </c>
      <c r="O87" s="91">
        <v>15</v>
      </c>
      <c r="P87" s="22"/>
      <c r="Q87" s="22"/>
      <c r="R87" s="22"/>
      <c r="S87" s="22"/>
      <c r="T87" s="22"/>
      <c r="U87" s="22"/>
      <c r="V87" s="22"/>
      <c r="W87" s="22"/>
      <c r="X87" s="22"/>
      <c r="Y87" s="22"/>
    </row>
    <row r="88" spans="2:25">
      <c r="B88" s="89">
        <v>30</v>
      </c>
      <c r="C88" s="90">
        <v>3</v>
      </c>
      <c r="D88" s="108">
        <f>Tableau521[[#This Row],[Scenario_ha]]*D51</f>
        <v>240000</v>
      </c>
      <c r="E88" s="108">
        <f>Tableau521[[#This Row],[Usable_fresh_kg]]*0.1</f>
        <v>24000</v>
      </c>
      <c r="F88" s="90">
        <f>Tableau521[[#This Row],[Dried_kg]]*C20</f>
        <v>480000000</v>
      </c>
      <c r="G88" s="108">
        <v>1350</v>
      </c>
      <c r="H88" s="90">
        <f>Tableau521[[#This Row],[Dried_kg]]*Tableau521[[#This Row],[Unit_cost_FCFA_per_kg]]</f>
        <v>32400000</v>
      </c>
      <c r="I88" s="90">
        <v>480</v>
      </c>
      <c r="J88" s="108">
        <v>600000</v>
      </c>
      <c r="K88" s="108">
        <v>300000</v>
      </c>
      <c r="L88" s="108">
        <f>Tableau521[[#This Row],[Cost_yearly_dried_mango_FCFA]]+Tableau521[[#This Row],[Export_price_FCFA]]</f>
        <v>512400000</v>
      </c>
      <c r="M88" s="108">
        <f>Tableau521[[#This Row],[Cost_yearly_dried_mango_FCFA]]-Tableau521[[#This Row],[Energy_cost_FCFA]]-Tableau521[[#This Row],[Maintenance]]</f>
        <v>31500000</v>
      </c>
      <c r="N88" s="90">
        <v>4.12</v>
      </c>
      <c r="O88" s="91">
        <v>15</v>
      </c>
      <c r="P88" s="22"/>
      <c r="Q88" s="22"/>
      <c r="R88" s="22"/>
      <c r="S88" s="22"/>
      <c r="T88" s="22"/>
      <c r="U88" s="22"/>
      <c r="V88" s="22"/>
      <c r="W88" s="22"/>
      <c r="X88" s="22"/>
      <c r="Y88" s="22"/>
    </row>
    <row r="89" spans="2:25">
      <c r="B89" s="89">
        <v>30</v>
      </c>
      <c r="C89" s="90">
        <v>4</v>
      </c>
      <c r="D89" s="108">
        <f>Tableau521[[#This Row],[Scenario_ha]]*D52</f>
        <v>240000</v>
      </c>
      <c r="E89" s="108">
        <f>Tableau521[[#This Row],[Usable_fresh_kg]]*0.1</f>
        <v>24000</v>
      </c>
      <c r="F89" s="90">
        <f>Tableau521[[#This Row],[Dried_kg]]*C20</f>
        <v>480000000</v>
      </c>
      <c r="G89" s="108">
        <v>1350</v>
      </c>
      <c r="H89" s="90">
        <f>Tableau521[[#This Row],[Dried_kg]]*Tableau521[[#This Row],[Unit_cost_FCFA_per_kg]]</f>
        <v>32400000</v>
      </c>
      <c r="I89" s="90">
        <v>480</v>
      </c>
      <c r="J89" s="108">
        <v>600000</v>
      </c>
      <c r="K89" s="108">
        <v>300000</v>
      </c>
      <c r="L89" s="108">
        <f>Tableau521[[#This Row],[Cost_yearly_dried_mango_FCFA]]+Tableau521[[#This Row],[Export_price_FCFA]]</f>
        <v>512400000</v>
      </c>
      <c r="M89" s="108">
        <f>Tableau521[[#This Row],[Cost_yearly_dried_mango_FCFA]]-Tableau521[[#This Row],[Energy_cost_FCFA]]-Tableau521[[#This Row],[Maintenance]]</f>
        <v>31500000</v>
      </c>
      <c r="N89" s="90">
        <v>4.18</v>
      </c>
      <c r="O89" s="91">
        <v>15</v>
      </c>
      <c r="P89" s="22"/>
      <c r="Q89" s="22"/>
      <c r="R89" s="22"/>
      <c r="S89" s="22"/>
      <c r="T89" s="22"/>
      <c r="U89" s="22"/>
      <c r="V89" s="22"/>
      <c r="W89" s="22"/>
      <c r="X89" s="22"/>
      <c r="Y89" s="22"/>
    </row>
    <row r="90" spans="2:25">
      <c r="B90" s="89">
        <v>30</v>
      </c>
      <c r="C90" s="90">
        <v>5</v>
      </c>
      <c r="D90" s="108">
        <f>Tableau521[[#This Row],[Scenario_ha]]*D53</f>
        <v>240000</v>
      </c>
      <c r="E90" s="108">
        <f>Tableau521[[#This Row],[Usable_fresh_kg]]*0.1</f>
        <v>24000</v>
      </c>
      <c r="F90" s="90">
        <f>Tableau521[[#This Row],[Dried_kg]]*C20</f>
        <v>480000000</v>
      </c>
      <c r="G90" s="108">
        <v>1350</v>
      </c>
      <c r="H90" s="90">
        <f>Tableau521[[#This Row],[Dried_kg]]*Tableau521[[#This Row],[Unit_cost_FCFA_per_kg]]</f>
        <v>32400000</v>
      </c>
      <c r="I90" s="90">
        <v>480</v>
      </c>
      <c r="J90" s="108">
        <v>600000</v>
      </c>
      <c r="K90" s="108">
        <v>300000</v>
      </c>
      <c r="L90" s="108">
        <f>Tableau521[[#This Row],[Cost_yearly_dried_mango_FCFA]]+Tableau521[[#This Row],[Export_price_FCFA]]</f>
        <v>512400000</v>
      </c>
      <c r="M90" s="108">
        <f>Tableau521[[#This Row],[Cost_yearly_dried_mango_FCFA]]-Tableau521[[#This Row],[Energy_cost_FCFA]]-Tableau521[[#This Row],[Maintenance]]</f>
        <v>31500000</v>
      </c>
      <c r="N90" s="90">
        <v>4.2300000000000004</v>
      </c>
      <c r="O90" s="91">
        <v>15</v>
      </c>
      <c r="P90" s="22"/>
      <c r="Q90" s="22"/>
      <c r="R90" s="22"/>
      <c r="S90" s="22"/>
      <c r="T90" s="22"/>
      <c r="U90" s="22"/>
      <c r="V90" s="22"/>
      <c r="W90" s="22"/>
      <c r="X90" s="22"/>
      <c r="Y90" s="22"/>
    </row>
    <row r="91" spans="2:25">
      <c r="B91" s="89">
        <v>30</v>
      </c>
      <c r="C91" s="90">
        <v>6</v>
      </c>
      <c r="D91" s="108">
        <f>Tableau521[[#This Row],[Scenario_ha]]*D54</f>
        <v>240000</v>
      </c>
      <c r="E91" s="108">
        <f>Tableau521[[#This Row],[Usable_fresh_kg]]*0.1</f>
        <v>24000</v>
      </c>
      <c r="F91" s="90">
        <f>Tableau521[[#This Row],[Dried_kg]]*C20</f>
        <v>480000000</v>
      </c>
      <c r="G91" s="108">
        <v>1350</v>
      </c>
      <c r="H91" s="90">
        <f>Tableau521[[#This Row],[Dried_kg]]*Tableau521[[#This Row],[Unit_cost_FCFA_per_kg]]</f>
        <v>32400000</v>
      </c>
      <c r="I91" s="90">
        <v>480</v>
      </c>
      <c r="J91" s="108">
        <v>600000</v>
      </c>
      <c r="K91" s="108">
        <v>300000</v>
      </c>
      <c r="L91" s="108">
        <f>Tableau521[[#This Row],[Cost_yearly_dried_mango_FCFA]]+Tableau521[[#This Row],[Export_price_FCFA]]</f>
        <v>512400000</v>
      </c>
      <c r="M91" s="108">
        <f>Tableau521[[#This Row],[Cost_yearly_dried_mango_FCFA]]-Tableau521[[#This Row],[Energy_cost_FCFA]]-Tableau521[[#This Row],[Maintenance]]</f>
        <v>31500000</v>
      </c>
      <c r="N91" s="90">
        <v>4.29</v>
      </c>
      <c r="O91" s="91">
        <v>15</v>
      </c>
      <c r="P91" s="22"/>
      <c r="Q91" s="22"/>
      <c r="R91" s="22"/>
      <c r="S91" s="22"/>
      <c r="T91" s="22"/>
      <c r="U91" s="22"/>
      <c r="V91" s="22"/>
      <c r="W91" s="22"/>
      <c r="X91" s="22"/>
      <c r="Y91" s="22"/>
    </row>
    <row r="92" spans="2:25">
      <c r="B92" s="89">
        <v>30</v>
      </c>
      <c r="C92" s="90">
        <v>7</v>
      </c>
      <c r="D92" s="108">
        <f>Tableau521[[#This Row],[Scenario_ha]]*D55</f>
        <v>240000</v>
      </c>
      <c r="E92" s="108">
        <f>Tableau521[[#This Row],[Usable_fresh_kg]]*0.1</f>
        <v>24000</v>
      </c>
      <c r="F92" s="90">
        <f>Tableau521[[#This Row],[Dried_kg]]*C20</f>
        <v>480000000</v>
      </c>
      <c r="G92" s="108">
        <v>1350</v>
      </c>
      <c r="H92" s="90">
        <f>Tableau521[[#This Row],[Dried_kg]]*Tableau521[[#This Row],[Unit_cost_FCFA_per_kg]]</f>
        <v>32400000</v>
      </c>
      <c r="I92" s="90">
        <v>480</v>
      </c>
      <c r="J92" s="108">
        <v>600000</v>
      </c>
      <c r="K92" s="108">
        <v>300000</v>
      </c>
      <c r="L92" s="108">
        <f>Tableau521[[#This Row],[Cost_yearly_dried_mango_FCFA]]+Tableau521[[#This Row],[Export_price_FCFA]]</f>
        <v>512400000</v>
      </c>
      <c r="M92" s="108">
        <f>Tableau521[[#This Row],[Cost_yearly_dried_mango_FCFA]]-Tableau521[[#This Row],[Energy_cost_FCFA]]-Tableau521[[#This Row],[Maintenance]]</f>
        <v>31500000</v>
      </c>
      <c r="N92" s="90">
        <v>4.3499999999999996</v>
      </c>
      <c r="O92" s="91">
        <v>15</v>
      </c>
      <c r="P92" s="22"/>
      <c r="Q92" s="22"/>
      <c r="R92" s="22"/>
      <c r="S92" s="22"/>
      <c r="T92" s="22"/>
      <c r="U92" s="22"/>
      <c r="V92" s="22"/>
      <c r="W92" s="22"/>
      <c r="X92" s="22"/>
      <c r="Y92" s="22"/>
    </row>
    <row r="93" spans="2:25">
      <c r="B93" s="89">
        <v>30</v>
      </c>
      <c r="C93" s="90">
        <v>8</v>
      </c>
      <c r="D93" s="108">
        <f>Tableau521[[#This Row],[Scenario_ha]]*D56</f>
        <v>240000</v>
      </c>
      <c r="E93" s="108">
        <f>Tableau521[[#This Row],[Usable_fresh_kg]]*0.1</f>
        <v>24000</v>
      </c>
      <c r="F93" s="90">
        <f>Tableau521[[#This Row],[Dried_kg]]*C20</f>
        <v>480000000</v>
      </c>
      <c r="G93" s="108">
        <v>1350</v>
      </c>
      <c r="H93" s="90">
        <f>Tableau521[[#This Row],[Dried_kg]]*Tableau521[[#This Row],[Unit_cost_FCFA_per_kg]]</f>
        <v>32400000</v>
      </c>
      <c r="I93" s="90">
        <v>480</v>
      </c>
      <c r="J93" s="108">
        <v>600000</v>
      </c>
      <c r="K93" s="108">
        <v>300000</v>
      </c>
      <c r="L93" s="108">
        <f>Tableau521[[#This Row],[Cost_yearly_dried_mango_FCFA]]+Tableau521[[#This Row],[Export_price_FCFA]]</f>
        <v>512400000</v>
      </c>
      <c r="M93" s="108">
        <f>Tableau521[[#This Row],[Cost_yearly_dried_mango_FCFA]]-Tableau521[[#This Row],[Energy_cost_FCFA]]-Tableau521[[#This Row],[Maintenance]]</f>
        <v>31500000</v>
      </c>
      <c r="N93" s="90">
        <v>4.41</v>
      </c>
      <c r="O93" s="91">
        <v>15</v>
      </c>
      <c r="P93" s="22"/>
      <c r="Q93" s="22"/>
      <c r="R93" s="22"/>
      <c r="S93" s="22"/>
      <c r="T93" s="22"/>
      <c r="U93" s="22"/>
      <c r="V93" s="22"/>
      <c r="W93" s="22"/>
      <c r="X93" s="22"/>
      <c r="Y93" s="22"/>
    </row>
    <row r="94" spans="2:25">
      <c r="B94" s="89">
        <v>30</v>
      </c>
      <c r="C94" s="90">
        <v>9</v>
      </c>
      <c r="D94" s="108">
        <f>Tableau521[[#This Row],[Scenario_ha]]*D57</f>
        <v>240000</v>
      </c>
      <c r="E94" s="108">
        <f>Tableau521[[#This Row],[Usable_fresh_kg]]*0.1</f>
        <v>24000</v>
      </c>
      <c r="F94" s="90">
        <f>Tableau521[[#This Row],[Dried_kg]]*C20</f>
        <v>480000000</v>
      </c>
      <c r="G94" s="108">
        <v>1350</v>
      </c>
      <c r="H94" s="90">
        <f>Tableau521[[#This Row],[Dried_kg]]*Tableau521[[#This Row],[Unit_cost_FCFA_per_kg]]</f>
        <v>32400000</v>
      </c>
      <c r="I94" s="90">
        <v>480</v>
      </c>
      <c r="J94" s="108">
        <v>600000</v>
      </c>
      <c r="K94" s="108">
        <v>300000</v>
      </c>
      <c r="L94" s="108">
        <f>Tableau521[[#This Row],[Cost_yearly_dried_mango_FCFA]]+Tableau521[[#This Row],[Export_price_FCFA]]</f>
        <v>512400000</v>
      </c>
      <c r="M94" s="108">
        <f>Tableau521[[#This Row],[Cost_yearly_dried_mango_FCFA]]-Tableau521[[#This Row],[Energy_cost_FCFA]]-Tableau521[[#This Row],[Maintenance]]</f>
        <v>31500000</v>
      </c>
      <c r="N94" s="90">
        <v>4.47</v>
      </c>
      <c r="O94" s="91">
        <v>15</v>
      </c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 spans="2:25">
      <c r="B95" s="92">
        <v>30</v>
      </c>
      <c r="C95" s="93">
        <v>10</v>
      </c>
      <c r="D95" s="108">
        <f>Tableau521[[#This Row],[Scenario_ha]]*D58</f>
        <v>240000</v>
      </c>
      <c r="E95" s="108">
        <f>Tableau521[[#This Row],[Usable_fresh_kg]]*0.1</f>
        <v>24000</v>
      </c>
      <c r="F95" s="93">
        <f>Tableau521[[#This Row],[Dried_kg]]*C20</f>
        <v>480000000</v>
      </c>
      <c r="G95" s="108">
        <v>1350</v>
      </c>
      <c r="H95" s="90">
        <f>Tableau521[[#This Row],[Dried_kg]]*Tableau521[[#This Row],[Unit_cost_FCFA_per_kg]]</f>
        <v>32400000</v>
      </c>
      <c r="I95" s="93">
        <v>480</v>
      </c>
      <c r="J95" s="108">
        <v>600000</v>
      </c>
      <c r="K95" s="108">
        <v>300000</v>
      </c>
      <c r="L95" s="108">
        <f>Tableau521[[#This Row],[Cost_yearly_dried_mango_FCFA]]+Tableau521[[#This Row],[Export_price_FCFA]]</f>
        <v>512400000</v>
      </c>
      <c r="M95" s="108">
        <f>Tableau521[[#This Row],[Cost_yearly_dried_mango_FCFA]]-Tableau521[[#This Row],[Energy_cost_FCFA]]-Tableau521[[#This Row],[Maintenance]]</f>
        <v>31500000</v>
      </c>
      <c r="N95" s="93">
        <v>4.53</v>
      </c>
      <c r="O95" s="94">
        <v>15</v>
      </c>
      <c r="P95" s="22"/>
      <c r="Q95" s="22"/>
      <c r="R95" s="22"/>
      <c r="S95" s="22"/>
      <c r="T95" s="22"/>
      <c r="U95" s="22"/>
      <c r="V95" s="22"/>
      <c r="W95" s="22"/>
      <c r="X95" s="22"/>
      <c r="Y95" s="22"/>
    </row>
    <row r="96" spans="2:25"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 spans="2:25">
      <c r="P97" s="22"/>
      <c r="Q97" s="22"/>
      <c r="R97" s="22"/>
      <c r="S97" s="22"/>
      <c r="T97" s="22"/>
      <c r="U97" s="22"/>
      <c r="V97" s="22"/>
      <c r="W97" s="22"/>
      <c r="X97" s="22"/>
      <c r="Y97" s="22"/>
    </row>
    <row r="98" spans="2:25">
      <c r="P98" s="22"/>
      <c r="Q98" s="22"/>
      <c r="R98" s="22"/>
      <c r="S98" s="22"/>
      <c r="T98" s="22"/>
      <c r="U98" s="22"/>
      <c r="V98" s="22"/>
      <c r="W98" s="22"/>
      <c r="X98" s="22"/>
      <c r="Y98" s="22"/>
    </row>
    <row r="99" spans="2:25">
      <c r="P99" s="22"/>
      <c r="Q99" s="22"/>
      <c r="R99" s="22"/>
      <c r="S99" s="22"/>
      <c r="T99" s="22"/>
      <c r="U99" s="22"/>
      <c r="V99" s="22"/>
      <c r="W99" s="22"/>
      <c r="X99" s="22"/>
      <c r="Y99" s="22"/>
    </row>
    <row r="100" spans="2:25">
      <c r="P100" s="22"/>
      <c r="Q100" s="22"/>
      <c r="R100" s="22"/>
      <c r="S100" s="22"/>
      <c r="T100" s="22"/>
      <c r="U100" s="22"/>
      <c r="V100" s="22"/>
      <c r="W100" s="22"/>
      <c r="X100" s="22"/>
      <c r="Y100" s="22"/>
    </row>
    <row r="101" spans="2:25">
      <c r="P101" s="22"/>
      <c r="Q101" s="22"/>
      <c r="R101" s="22"/>
      <c r="S101" s="22"/>
      <c r="T101" s="22"/>
      <c r="U101" s="22"/>
      <c r="V101" s="22"/>
      <c r="W101" s="22"/>
      <c r="X101" s="22"/>
      <c r="Y101" s="22"/>
    </row>
    <row r="102" spans="2:25">
      <c r="P102" s="22"/>
      <c r="Q102" s="22"/>
      <c r="R102" s="22"/>
      <c r="S102" s="22"/>
      <c r="T102" s="22"/>
      <c r="U102" s="22"/>
      <c r="V102" s="22"/>
      <c r="W102" s="22"/>
      <c r="X102" s="22"/>
      <c r="Y102" s="22"/>
    </row>
    <row r="103" spans="2:25" ht="30"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</row>
    <row r="104" spans="2:25">
      <c r="P104" s="22"/>
      <c r="Q104" s="22"/>
      <c r="R104" s="22"/>
      <c r="S104" s="22"/>
      <c r="T104" s="22"/>
      <c r="U104" s="22"/>
      <c r="V104" s="22"/>
      <c r="W104" s="22"/>
      <c r="X104" s="22"/>
      <c r="Y104" s="22"/>
    </row>
    <row r="105" spans="2:25">
      <c r="Q105" s="22"/>
      <c r="R105" s="22"/>
      <c r="S105" s="22"/>
      <c r="T105" s="22"/>
      <c r="U105" s="22"/>
      <c r="V105" s="22"/>
      <c r="W105" s="22"/>
      <c r="X105" s="22"/>
      <c r="Y105" s="22"/>
    </row>
    <row r="106" spans="2:25" ht="30">
      <c r="B106" s="88" t="s">
        <v>593</v>
      </c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Q106" s="22"/>
      <c r="R106" s="22"/>
      <c r="S106" s="22"/>
      <c r="T106" s="22"/>
      <c r="U106" s="22"/>
      <c r="V106" s="22"/>
      <c r="W106" s="22"/>
      <c r="X106" s="22"/>
      <c r="Y106" s="22"/>
    </row>
    <row r="107" spans="2:25">
      <c r="B107" s="100" t="s">
        <v>576</v>
      </c>
      <c r="C107" s="101" t="s">
        <v>577</v>
      </c>
      <c r="D107" s="101" t="s">
        <v>578</v>
      </c>
      <c r="E107" s="101" t="s">
        <v>579</v>
      </c>
      <c r="F107" s="101" t="s">
        <v>580</v>
      </c>
      <c r="G107" s="101" t="s">
        <v>581</v>
      </c>
      <c r="H107" s="101" t="s">
        <v>582</v>
      </c>
      <c r="I107" s="101" t="s">
        <v>583</v>
      </c>
      <c r="J107" s="101" t="s">
        <v>584</v>
      </c>
      <c r="K107" s="101" t="s">
        <v>591</v>
      </c>
      <c r="L107" s="101" t="s">
        <v>586</v>
      </c>
      <c r="M107" s="101" t="s">
        <v>587</v>
      </c>
      <c r="N107" s="101" t="s">
        <v>588</v>
      </c>
      <c r="O107" s="102" t="s">
        <v>589</v>
      </c>
      <c r="Q107" s="22"/>
      <c r="R107" s="22"/>
      <c r="S107" s="22"/>
      <c r="T107" s="22"/>
      <c r="U107" s="22"/>
      <c r="V107" s="22"/>
      <c r="W107" s="22"/>
      <c r="X107" s="22"/>
      <c r="Y107" s="22"/>
    </row>
    <row r="108" spans="2:25">
      <c r="B108" s="89">
        <v>60</v>
      </c>
      <c r="C108" s="90">
        <v>1</v>
      </c>
      <c r="D108" s="90">
        <f>Tableau420[[#This Row],[Scenario_ha]]*D49</f>
        <v>480000</v>
      </c>
      <c r="E108" s="90">
        <f>Tableau420[[#This Row],[Usable_fresh_kg]]*0.1</f>
        <v>48000</v>
      </c>
      <c r="F108" s="90">
        <f>Tableau420[[#This Row],[Dried_kg]]*C20</f>
        <v>960000000</v>
      </c>
      <c r="G108" s="90">
        <v>1198</v>
      </c>
      <c r="H108" s="90">
        <f>Tableau420[[#This Row],[Dried_kg]]*Tableau420[[#This Row],[Unit_cost_FCFA_per_kg]]</f>
        <v>57504000</v>
      </c>
      <c r="I108" s="90">
        <v>960</v>
      </c>
      <c r="J108" s="90">
        <v>1000000</v>
      </c>
      <c r="K108" s="90">
        <v>600000</v>
      </c>
      <c r="L108" s="90">
        <f>Tableau420[[#This Row],[Cost_yearly_dried_mango_FCFA]]+Tableau420[[#This Row],[Export_price_FCFA]]</f>
        <v>1017504000</v>
      </c>
      <c r="M108" s="90">
        <f>Tableau420[[#This Row],[Cost_yearly_dried_mango_FCFA]]-Tableau420[[#This Row],[Energy_cost_FCFA]]-Tableau420[[#This Row],[Maintenance]]</f>
        <v>55904000</v>
      </c>
      <c r="N108" s="90">
        <v>3.79</v>
      </c>
      <c r="O108" s="91">
        <v>30</v>
      </c>
      <c r="Q108" s="22"/>
      <c r="R108" s="22"/>
      <c r="S108" s="22"/>
      <c r="T108" s="22"/>
      <c r="U108" s="22"/>
      <c r="V108" s="22"/>
      <c r="W108" s="22"/>
      <c r="X108" s="22"/>
      <c r="Y108" s="22"/>
    </row>
    <row r="109" spans="2:25">
      <c r="B109" s="89">
        <v>60</v>
      </c>
      <c r="C109" s="90">
        <v>2</v>
      </c>
      <c r="D109" s="90">
        <f>Tableau420[[#This Row],[Scenario_ha]]*D50</f>
        <v>480000</v>
      </c>
      <c r="E109" s="90">
        <f>Tableau420[[#This Row],[Usable_fresh_kg]]*0.1</f>
        <v>48000</v>
      </c>
      <c r="F109" s="90">
        <f>Tableau420[[#This Row],[Dried_kg]]*C20</f>
        <v>960000000</v>
      </c>
      <c r="G109" s="90">
        <v>1198</v>
      </c>
      <c r="H109" s="90">
        <f>Tableau420[[#This Row],[Dried_kg]]*Tableau420[[#This Row],[Unit_cost_FCFA_per_kg]]</f>
        <v>57504000</v>
      </c>
      <c r="I109" s="90">
        <v>960</v>
      </c>
      <c r="J109" s="90">
        <v>1000000</v>
      </c>
      <c r="K109" s="90">
        <v>600000</v>
      </c>
      <c r="L109" s="90">
        <f>Tableau420[[#This Row],[Cost_yearly_dried_mango_FCFA]]+Tableau420[[#This Row],[Export_price_FCFA]]</f>
        <v>1017504000</v>
      </c>
      <c r="M109" s="90">
        <f>Tableau420[[#This Row],[Cost_yearly_dried_mango_FCFA]]-Tableau420[[#This Row],[Energy_cost_FCFA]]-Tableau420[[#This Row],[Maintenance]]</f>
        <v>55904000</v>
      </c>
      <c r="N109" s="90">
        <v>3.84</v>
      </c>
      <c r="O109" s="91">
        <v>30</v>
      </c>
      <c r="Q109" s="22"/>
      <c r="R109" s="22"/>
      <c r="S109" s="22"/>
      <c r="T109" s="22"/>
      <c r="U109" s="22"/>
      <c r="V109" s="22"/>
      <c r="W109" s="22"/>
      <c r="X109" s="22"/>
      <c r="Y109" s="22"/>
    </row>
    <row r="110" spans="2:25">
      <c r="B110" s="89">
        <v>60</v>
      </c>
      <c r="C110" s="90">
        <v>3</v>
      </c>
      <c r="D110" s="90">
        <f>Tableau420[[#This Row],[Scenario_ha]]*D51</f>
        <v>480000</v>
      </c>
      <c r="E110" s="90">
        <f>Tableau420[[#This Row],[Usable_fresh_kg]]*0.1</f>
        <v>48000</v>
      </c>
      <c r="F110" s="90">
        <f>Tableau420[[#This Row],[Dried_kg]]*C20</f>
        <v>960000000</v>
      </c>
      <c r="G110" s="90">
        <v>1198</v>
      </c>
      <c r="H110" s="90">
        <f>Tableau420[[#This Row],[Dried_kg]]*Tableau420[[#This Row],[Unit_cost_FCFA_per_kg]]</f>
        <v>57504000</v>
      </c>
      <c r="I110" s="90">
        <v>960</v>
      </c>
      <c r="J110" s="90">
        <v>1000000</v>
      </c>
      <c r="K110" s="90">
        <v>600000</v>
      </c>
      <c r="L110" s="90">
        <f>Tableau420[[#This Row],[Cost_yearly_dried_mango_FCFA]]+Tableau420[[#This Row],[Export_price_FCFA]]</f>
        <v>1017504000</v>
      </c>
      <c r="M110" s="90">
        <f>Tableau420[[#This Row],[Cost_yearly_dried_mango_FCFA]]-Tableau420[[#This Row],[Energy_cost_FCFA]]-Tableau420[[#This Row],[Maintenance]]</f>
        <v>55904000</v>
      </c>
      <c r="N110" s="90">
        <v>3.9</v>
      </c>
      <c r="O110" s="91">
        <v>30</v>
      </c>
      <c r="Q110" s="22"/>
      <c r="R110" s="22"/>
      <c r="S110" s="22"/>
      <c r="T110" s="22"/>
      <c r="U110" s="22"/>
      <c r="V110" s="22"/>
      <c r="W110" s="22"/>
      <c r="X110" s="22"/>
      <c r="Y110" s="22"/>
    </row>
    <row r="111" spans="2:25">
      <c r="B111" s="89">
        <v>60</v>
      </c>
      <c r="C111" s="90">
        <v>4</v>
      </c>
      <c r="D111" s="90">
        <f>Tableau420[[#This Row],[Scenario_ha]]*D52</f>
        <v>480000</v>
      </c>
      <c r="E111" s="90">
        <f>Tableau420[[#This Row],[Usable_fresh_kg]]*0.1</f>
        <v>48000</v>
      </c>
      <c r="F111" s="90">
        <f>Tableau420[[#This Row],[Dried_kg]]*C20</f>
        <v>960000000</v>
      </c>
      <c r="G111" s="90">
        <v>1198</v>
      </c>
      <c r="H111" s="90">
        <f>Tableau420[[#This Row],[Dried_kg]]*Tableau420[[#This Row],[Unit_cost_FCFA_per_kg]]</f>
        <v>57504000</v>
      </c>
      <c r="I111" s="90">
        <v>960</v>
      </c>
      <c r="J111" s="90">
        <v>1000000</v>
      </c>
      <c r="K111" s="90">
        <v>600000</v>
      </c>
      <c r="L111" s="90">
        <f>Tableau420[[#This Row],[Cost_yearly_dried_mango_FCFA]]+Tableau420[[#This Row],[Export_price_FCFA]]</f>
        <v>1017504000</v>
      </c>
      <c r="M111" s="90">
        <f>Tableau420[[#This Row],[Cost_yearly_dried_mango_FCFA]]-Tableau420[[#This Row],[Energy_cost_FCFA]]-Tableau420[[#This Row],[Maintenance]]</f>
        <v>55904000</v>
      </c>
      <c r="N111" s="90">
        <v>3.95</v>
      </c>
      <c r="O111" s="91">
        <v>30</v>
      </c>
      <c r="Q111" s="22"/>
      <c r="R111" s="22"/>
      <c r="S111" s="22"/>
      <c r="T111" s="22"/>
      <c r="U111" s="22"/>
      <c r="V111" s="22"/>
      <c r="W111" s="22"/>
      <c r="X111" s="22"/>
      <c r="Y111" s="22"/>
    </row>
    <row r="112" spans="2:25">
      <c r="B112" s="89">
        <v>60</v>
      </c>
      <c r="C112" s="90">
        <v>5</v>
      </c>
      <c r="D112" s="90">
        <f>Tableau420[[#This Row],[Scenario_ha]]*D53</f>
        <v>480000</v>
      </c>
      <c r="E112" s="90">
        <f>Tableau420[[#This Row],[Usable_fresh_kg]]*0.1</f>
        <v>48000</v>
      </c>
      <c r="F112" s="90">
        <f>Tableau420[[#This Row],[Dried_kg]]*C20</f>
        <v>960000000</v>
      </c>
      <c r="G112" s="90">
        <v>1198</v>
      </c>
      <c r="H112" s="90">
        <f>Tableau420[[#This Row],[Dried_kg]]*Tableau420[[#This Row],[Unit_cost_FCFA_per_kg]]</f>
        <v>57504000</v>
      </c>
      <c r="I112" s="90">
        <v>960</v>
      </c>
      <c r="J112" s="90">
        <v>1000000</v>
      </c>
      <c r="K112" s="90">
        <v>600000</v>
      </c>
      <c r="L112" s="90">
        <f>Tableau420[[#This Row],[Cost_yearly_dried_mango_FCFA]]+Tableau420[[#This Row],[Export_price_FCFA]]</f>
        <v>1017504000</v>
      </c>
      <c r="M112" s="90">
        <f>Tableau420[[#This Row],[Cost_yearly_dried_mango_FCFA]]-Tableau420[[#This Row],[Energy_cost_FCFA]]-Tableau420[[#This Row],[Maintenance]]</f>
        <v>55904000</v>
      </c>
      <c r="N112" s="90">
        <v>4.01</v>
      </c>
      <c r="O112" s="91">
        <v>30</v>
      </c>
      <c r="Q112" s="22"/>
      <c r="R112" s="22"/>
      <c r="S112" s="22"/>
      <c r="T112" s="22"/>
      <c r="U112" s="22"/>
      <c r="V112" s="22"/>
      <c r="W112" s="22"/>
      <c r="X112" s="22"/>
      <c r="Y112" s="22"/>
    </row>
    <row r="113" spans="2:25">
      <c r="B113" s="89">
        <v>60</v>
      </c>
      <c r="C113" s="90">
        <v>6</v>
      </c>
      <c r="D113" s="90">
        <f>Tableau420[[#This Row],[Scenario_ha]]*D54</f>
        <v>480000</v>
      </c>
      <c r="E113" s="90">
        <f>Tableau420[[#This Row],[Usable_fresh_kg]]*0.1</f>
        <v>48000</v>
      </c>
      <c r="F113" s="90">
        <f>Tableau420[[#This Row],[Dried_kg]]*C20</f>
        <v>960000000</v>
      </c>
      <c r="G113" s="90">
        <v>1198</v>
      </c>
      <c r="H113" s="90">
        <f>Tableau420[[#This Row],[Dried_kg]]*Tableau420[[#This Row],[Unit_cost_FCFA_per_kg]]</f>
        <v>57504000</v>
      </c>
      <c r="I113" s="90">
        <v>960</v>
      </c>
      <c r="J113" s="90">
        <v>1000000</v>
      </c>
      <c r="K113" s="90">
        <v>600000</v>
      </c>
      <c r="L113" s="90">
        <f>Tableau420[[#This Row],[Cost_yearly_dried_mango_FCFA]]+Tableau420[[#This Row],[Export_price_FCFA]]</f>
        <v>1017504000</v>
      </c>
      <c r="M113" s="90">
        <f>Tableau420[[#This Row],[Cost_yearly_dried_mango_FCFA]]-Tableau420[[#This Row],[Energy_cost_FCFA]]-Tableau420[[#This Row],[Maintenance]]</f>
        <v>55904000</v>
      </c>
      <c r="N113" s="90">
        <v>4.0599999999999996</v>
      </c>
      <c r="O113" s="91">
        <v>30</v>
      </c>
      <c r="Q113" s="22"/>
      <c r="R113" s="22"/>
      <c r="S113" s="22"/>
      <c r="T113" s="22"/>
      <c r="U113" s="22"/>
      <c r="V113" s="22"/>
      <c r="W113" s="22"/>
      <c r="X113" s="22"/>
      <c r="Y113" s="22"/>
    </row>
    <row r="114" spans="2:25">
      <c r="B114" s="89">
        <v>60</v>
      </c>
      <c r="C114" s="90">
        <v>7</v>
      </c>
      <c r="D114" s="90">
        <f>Tableau420[[#This Row],[Scenario_ha]]*D55</f>
        <v>480000</v>
      </c>
      <c r="E114" s="90">
        <f>Tableau420[[#This Row],[Usable_fresh_kg]]*0.1</f>
        <v>48000</v>
      </c>
      <c r="F114" s="90">
        <f>Tableau420[[#This Row],[Dried_kg]]*C20</f>
        <v>960000000</v>
      </c>
      <c r="G114" s="90">
        <v>1198</v>
      </c>
      <c r="H114" s="90">
        <f>Tableau420[[#This Row],[Dried_kg]]*Tableau420[[#This Row],[Unit_cost_FCFA_per_kg]]</f>
        <v>57504000</v>
      </c>
      <c r="I114" s="90">
        <v>960</v>
      </c>
      <c r="J114" s="90">
        <v>1000000</v>
      </c>
      <c r="K114" s="90">
        <v>600000</v>
      </c>
      <c r="L114" s="90">
        <f>Tableau420[[#This Row],[Cost_yearly_dried_mango_FCFA]]+Tableau420[[#This Row],[Export_price_FCFA]]</f>
        <v>1017504000</v>
      </c>
      <c r="M114" s="90">
        <f>Tableau420[[#This Row],[Cost_yearly_dried_mango_FCFA]]-Tableau420[[#This Row],[Energy_cost_FCFA]]-Tableau420[[#This Row],[Maintenance]]</f>
        <v>55904000</v>
      </c>
      <c r="N114" s="90">
        <v>4.12</v>
      </c>
      <c r="O114" s="91">
        <v>30</v>
      </c>
    </row>
    <row r="115" spans="2:25">
      <c r="B115" s="89">
        <v>60</v>
      </c>
      <c r="C115" s="90">
        <v>8</v>
      </c>
      <c r="D115" s="90">
        <f>Tableau420[[#This Row],[Scenario_ha]]*D56</f>
        <v>480000</v>
      </c>
      <c r="E115" s="90">
        <f>Tableau420[[#This Row],[Usable_fresh_kg]]*0.1</f>
        <v>48000</v>
      </c>
      <c r="F115" s="90">
        <f>Tableau420[[#This Row],[Dried_kg]]*C20</f>
        <v>960000000</v>
      </c>
      <c r="G115" s="90">
        <v>1198</v>
      </c>
      <c r="H115" s="90">
        <f>Tableau420[[#This Row],[Dried_kg]]*Tableau420[[#This Row],[Unit_cost_FCFA_per_kg]]</f>
        <v>57504000</v>
      </c>
      <c r="I115" s="90">
        <v>960</v>
      </c>
      <c r="J115" s="90">
        <v>1000000</v>
      </c>
      <c r="K115" s="90">
        <v>600000</v>
      </c>
      <c r="L115" s="90">
        <f>Tableau420[[#This Row],[Cost_yearly_dried_mango_FCFA]]+Tableau420[[#This Row],[Export_price_FCFA]]</f>
        <v>1017504000</v>
      </c>
      <c r="M115" s="90">
        <f>Tableau420[[#This Row],[Cost_yearly_dried_mango_FCFA]]-Tableau420[[#This Row],[Energy_cost_FCFA]]-Tableau420[[#This Row],[Maintenance]]</f>
        <v>55904000</v>
      </c>
      <c r="N115" s="90">
        <v>4.17</v>
      </c>
      <c r="O115" s="91">
        <v>30</v>
      </c>
    </row>
    <row r="116" spans="2:25">
      <c r="B116" s="89">
        <v>60</v>
      </c>
      <c r="C116" s="90">
        <v>9</v>
      </c>
      <c r="D116" s="90">
        <f>Tableau420[[#This Row],[Scenario_ha]]*D57</f>
        <v>480000</v>
      </c>
      <c r="E116" s="90">
        <f>Tableau420[[#This Row],[Usable_fresh_kg]]*0.1</f>
        <v>48000</v>
      </c>
      <c r="F116" s="90">
        <f>Tableau420[[#This Row],[Dried_kg]]*C20</f>
        <v>960000000</v>
      </c>
      <c r="G116" s="90">
        <v>1198</v>
      </c>
      <c r="H116" s="90">
        <f>Tableau420[[#This Row],[Dried_kg]]*Tableau420[[#This Row],[Unit_cost_FCFA_per_kg]]</f>
        <v>57504000</v>
      </c>
      <c r="I116" s="90">
        <v>960</v>
      </c>
      <c r="J116" s="90">
        <v>1000000</v>
      </c>
      <c r="K116" s="90">
        <v>600000</v>
      </c>
      <c r="L116" s="90">
        <f>Tableau420[[#This Row],[Cost_yearly_dried_mango_FCFA]]+Tableau420[[#This Row],[Export_price_FCFA]]</f>
        <v>1017504000</v>
      </c>
      <c r="M116" s="90">
        <f>Tableau420[[#This Row],[Cost_yearly_dried_mango_FCFA]]-Tableau420[[#This Row],[Energy_cost_FCFA]]-Tableau420[[#This Row],[Maintenance]]</f>
        <v>55904000</v>
      </c>
      <c r="N116" s="90">
        <v>4.2300000000000004</v>
      </c>
      <c r="O116" s="91">
        <v>30</v>
      </c>
    </row>
    <row r="117" spans="2:25">
      <c r="B117" s="92">
        <v>60</v>
      </c>
      <c r="C117" s="93">
        <v>10</v>
      </c>
      <c r="D117" s="90">
        <f>Tableau420[[#This Row],[Scenario_ha]]*D58</f>
        <v>480000</v>
      </c>
      <c r="E117" s="93">
        <f>Tableau420[[#This Row],[Usable_fresh_kg]]*0.1</f>
        <v>48000</v>
      </c>
      <c r="F117" s="90">
        <f>Tableau420[[#This Row],[Dried_kg]]*C20</f>
        <v>960000000</v>
      </c>
      <c r="G117" s="90">
        <v>1198</v>
      </c>
      <c r="H117" s="90">
        <f>Tableau420[[#This Row],[Dried_kg]]*Tableau420[[#This Row],[Unit_cost_FCFA_per_kg]]</f>
        <v>57504000</v>
      </c>
      <c r="I117" s="93">
        <v>960</v>
      </c>
      <c r="J117" s="90">
        <v>1000000</v>
      </c>
      <c r="K117" s="90">
        <v>600000</v>
      </c>
      <c r="L117" s="93">
        <f>Tableau420[[#This Row],[Cost_yearly_dried_mango_FCFA]]+Tableau420[[#This Row],[Export_price_FCFA]]</f>
        <v>1017504000</v>
      </c>
      <c r="M117" s="90">
        <f>Tableau420[[#This Row],[Cost_yearly_dried_mango_FCFA]]-Tableau420[[#This Row],[Energy_cost_FCFA]]-Tableau420[[#This Row],[Maintenance]]</f>
        <v>55904000</v>
      </c>
      <c r="N117" s="93">
        <v>4.29</v>
      </c>
      <c r="O117" s="94">
        <v>30</v>
      </c>
    </row>
    <row r="124" spans="2:25" ht="177.75">
      <c r="B124" s="140" t="s">
        <v>594</v>
      </c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</row>
    <row r="125" spans="2:25">
      <c r="B125" s="95" t="s">
        <v>576</v>
      </c>
      <c r="C125" s="96" t="s">
        <v>577</v>
      </c>
      <c r="D125" s="96" t="s">
        <v>578</v>
      </c>
      <c r="E125" s="96" t="s">
        <v>579</v>
      </c>
      <c r="F125" s="96" t="s">
        <v>580</v>
      </c>
      <c r="G125" s="96" t="s">
        <v>581</v>
      </c>
      <c r="H125" s="96" t="s">
        <v>582</v>
      </c>
      <c r="I125" s="96" t="s">
        <v>583</v>
      </c>
      <c r="J125" s="96" t="s">
        <v>584</v>
      </c>
      <c r="K125" s="96" t="s">
        <v>585</v>
      </c>
      <c r="L125" s="96" t="s">
        <v>586</v>
      </c>
      <c r="M125" s="96" t="s">
        <v>587</v>
      </c>
      <c r="N125" s="97" t="s">
        <v>588</v>
      </c>
      <c r="O125" s="173" t="s">
        <v>589</v>
      </c>
    </row>
    <row r="126" spans="2:25">
      <c r="B126" s="89">
        <v>2</v>
      </c>
      <c r="C126" s="90">
        <v>1</v>
      </c>
      <c r="D126" s="90">
        <f>Tableau21023[[#This Row],[Scenario_ha]]*D49</f>
        <v>16000</v>
      </c>
      <c r="E126" s="90">
        <f>Tableau21023[[#This Row],[Usable_fresh_kg]]*0.1</f>
        <v>1600</v>
      </c>
      <c r="F126" s="90">
        <f>Tableau21023[[#This Row],[Dried_kg]]*C20</f>
        <v>32000000</v>
      </c>
      <c r="G126" s="90">
        <v>1820</v>
      </c>
      <c r="H126" s="90">
        <f>Tableau21023[[#This Row],[Unit_cost_FCFA_per_kg]]*Tableau21023[[#This Row],[Dried_kg]]</f>
        <v>2912000</v>
      </c>
      <c r="I126" s="90">
        <v>16</v>
      </c>
      <c r="J126" s="90">
        <v>90000</v>
      </c>
      <c r="K126" s="90">
        <v>30000</v>
      </c>
      <c r="L126" s="90">
        <f>Tableau21023[[#This Row],[Cost_yearly_dried_mango_FCFA]]+Tableau21023[[#This Row],[Export_price_FCFA]]</f>
        <v>34912000</v>
      </c>
      <c r="M126" s="90">
        <f>Tableau21023[[#This Row],[Cost_yearly_dried_mango_FCFA]]-Tableau21023[[#This Row],[Energy_cost_FCFA]]-Tableau21023[[#This Row],[Maintenance_FCFA]]</f>
        <v>2792000</v>
      </c>
      <c r="N126" s="91">
        <v>4.6100000000000003</v>
      </c>
      <c r="O126" s="91">
        <v>2</v>
      </c>
    </row>
    <row r="127" spans="2:25">
      <c r="B127" s="89">
        <v>2</v>
      </c>
      <c r="C127" s="90">
        <v>2</v>
      </c>
      <c r="D127" s="90">
        <f>Tableau21023[[#This Row],[Scenario_ha]]*D50</f>
        <v>16000</v>
      </c>
      <c r="E127" s="90">
        <f>Tableau21023[[#This Row],[Usable_fresh_kg]]*0.1</f>
        <v>1600</v>
      </c>
      <c r="F127" s="90">
        <f>Tableau21023[[#This Row],[Dried_kg]]*C20</f>
        <v>32000000</v>
      </c>
      <c r="G127" s="90">
        <v>1820</v>
      </c>
      <c r="H127" s="90">
        <f>Tableau21023[[#This Row],[Unit_cost_FCFA_per_kg]]*Tableau21023[[#This Row],[Dried_kg]]</f>
        <v>2912000</v>
      </c>
      <c r="I127" s="90">
        <v>16</v>
      </c>
      <c r="J127" s="90">
        <v>90000</v>
      </c>
      <c r="K127" s="90">
        <v>30000</v>
      </c>
      <c r="L127" s="90">
        <f>Tableau21023[[#This Row],[Cost_yearly_dried_mango_FCFA]]+Tableau21023[[#This Row],[Export_price_FCFA]]</f>
        <v>34912000</v>
      </c>
      <c r="M127" s="90">
        <f>Tableau21023[[#This Row],[Cost_yearly_dried_mango_FCFA]]-Tableau21023[[#This Row],[Energy_cost_FCFA]]-Tableau21023[[#This Row],[Maintenance_FCFA]]</f>
        <v>2792000</v>
      </c>
      <c r="N127" s="91">
        <v>4.67</v>
      </c>
      <c r="O127" s="91">
        <v>2</v>
      </c>
    </row>
    <row r="128" spans="2:25">
      <c r="B128" s="89">
        <v>2</v>
      </c>
      <c r="C128" s="90">
        <v>3</v>
      </c>
      <c r="D128" s="90">
        <f>Tableau21023[[#This Row],[Scenario_ha]]*D51</f>
        <v>16000</v>
      </c>
      <c r="E128" s="90">
        <f>Tableau21023[[#This Row],[Usable_fresh_kg]]*0.1</f>
        <v>1600</v>
      </c>
      <c r="F128" s="90">
        <f>Tableau21023[[#This Row],[Dried_kg]]*C20</f>
        <v>32000000</v>
      </c>
      <c r="G128" s="90">
        <v>1820</v>
      </c>
      <c r="H128" s="90">
        <f>Tableau21023[[#This Row],[Unit_cost_FCFA_per_kg]]*Tableau21023[[#This Row],[Dried_kg]]</f>
        <v>2912000</v>
      </c>
      <c r="I128" s="90">
        <v>16</v>
      </c>
      <c r="J128" s="90">
        <v>90000</v>
      </c>
      <c r="K128" s="90">
        <v>30000</v>
      </c>
      <c r="L128" s="90">
        <f>Tableau21023[[#This Row],[Cost_yearly_dried_mango_FCFA]]+Tableau21023[[#This Row],[Export_price_FCFA]]</f>
        <v>34912000</v>
      </c>
      <c r="M128" s="90">
        <f>Tableau21023[[#This Row],[Cost_yearly_dried_mango_FCFA]]-Tableau21023[[#This Row],[Energy_cost_FCFA]]-Tableau21023[[#This Row],[Maintenance_FCFA]]</f>
        <v>2792000</v>
      </c>
      <c r="N128" s="90">
        <v>4.7300000000000004</v>
      </c>
      <c r="O128" s="91">
        <v>2</v>
      </c>
    </row>
    <row r="129" spans="2:15">
      <c r="B129" s="89">
        <v>2</v>
      </c>
      <c r="C129" s="90">
        <v>4</v>
      </c>
      <c r="D129" s="90">
        <f>Tableau21023[[#This Row],[Scenario_ha]]*D52</f>
        <v>16000</v>
      </c>
      <c r="E129" s="90">
        <f>Tableau21023[[#This Row],[Usable_fresh_kg]]*0.1</f>
        <v>1600</v>
      </c>
      <c r="F129" s="90">
        <f>Tableau21023[[#This Row],[Dried_kg]]*C20</f>
        <v>32000000</v>
      </c>
      <c r="G129" s="90">
        <v>1820</v>
      </c>
      <c r="H129" s="90">
        <f>Tableau21023[[#This Row],[Unit_cost_FCFA_per_kg]]*Tableau21023[[#This Row],[Dried_kg]]</f>
        <v>2912000</v>
      </c>
      <c r="I129" s="90">
        <v>16</v>
      </c>
      <c r="J129" s="90">
        <v>90000</v>
      </c>
      <c r="K129" s="90">
        <v>30000</v>
      </c>
      <c r="L129" s="90">
        <f>Tableau21023[[#This Row],[Cost_yearly_dried_mango_FCFA]]+Tableau21023[[#This Row],[Export_price_FCFA]]</f>
        <v>34912000</v>
      </c>
      <c r="M129" s="90">
        <f>Tableau21023[[#This Row],[Cost_yearly_dried_mango_FCFA]]-Tableau21023[[#This Row],[Energy_cost_FCFA]]-Tableau21023[[#This Row],[Maintenance_FCFA]]</f>
        <v>2792000</v>
      </c>
      <c r="N129" s="90">
        <v>4.79</v>
      </c>
      <c r="O129" s="91">
        <v>2</v>
      </c>
    </row>
    <row r="130" spans="2:15">
      <c r="B130" s="89">
        <v>2</v>
      </c>
      <c r="C130" s="90">
        <v>5</v>
      </c>
      <c r="D130" s="90">
        <f>Tableau21023[[#This Row],[Scenario_ha]]*D53</f>
        <v>16000</v>
      </c>
      <c r="E130" s="90">
        <f>Tableau21023[[#This Row],[Usable_fresh_kg]]*0.1</f>
        <v>1600</v>
      </c>
      <c r="F130" s="90">
        <f>Tableau21023[[#This Row],[Dried_kg]]*C20</f>
        <v>32000000</v>
      </c>
      <c r="G130" s="90">
        <v>1820</v>
      </c>
      <c r="H130" s="90">
        <f>Tableau21023[[#This Row],[Unit_cost_FCFA_per_kg]]*Tableau21023[[#This Row],[Dried_kg]]</f>
        <v>2912000</v>
      </c>
      <c r="I130" s="90">
        <v>16</v>
      </c>
      <c r="J130" s="90">
        <v>90000</v>
      </c>
      <c r="K130" s="90">
        <v>30000</v>
      </c>
      <c r="L130" s="90">
        <f>Tableau21023[[#This Row],[Cost_yearly_dried_mango_FCFA]]+Tableau21023[[#This Row],[Export_price_FCFA]]</f>
        <v>34912000</v>
      </c>
      <c r="M130" s="90">
        <f>Tableau21023[[#This Row],[Cost_yearly_dried_mango_FCFA]]-Tableau21023[[#This Row],[Energy_cost_FCFA]]-Tableau21023[[#This Row],[Maintenance_FCFA]]</f>
        <v>2792000</v>
      </c>
      <c r="N130" s="90">
        <v>4.8600000000000003</v>
      </c>
      <c r="O130" s="91">
        <v>2</v>
      </c>
    </row>
    <row r="131" spans="2:15">
      <c r="B131" s="89">
        <v>2</v>
      </c>
      <c r="C131" s="90">
        <v>6</v>
      </c>
      <c r="D131" s="90">
        <f>Tableau21023[[#This Row],[Scenario_ha]]*D54</f>
        <v>16000</v>
      </c>
      <c r="E131" s="90">
        <f>Tableau21023[[#This Row],[Usable_fresh_kg]]*0.1</f>
        <v>1600</v>
      </c>
      <c r="F131" s="90">
        <f>Tableau21023[[#This Row],[Dried_kg]]*C20</f>
        <v>32000000</v>
      </c>
      <c r="G131" s="90">
        <v>1820</v>
      </c>
      <c r="H131" s="90">
        <f>Tableau21023[[#This Row],[Unit_cost_FCFA_per_kg]]*Tableau21023[[#This Row],[Dried_kg]]</f>
        <v>2912000</v>
      </c>
      <c r="I131" s="90">
        <v>16</v>
      </c>
      <c r="J131" s="90">
        <v>90000</v>
      </c>
      <c r="K131" s="90">
        <v>30000</v>
      </c>
      <c r="L131" s="90">
        <f>Tableau21023[[#This Row],[Cost_yearly_dried_mango_FCFA]]+Tableau21023[[#This Row],[Export_price_FCFA]]</f>
        <v>34912000</v>
      </c>
      <c r="M131" s="90">
        <f>Tableau21023[[#This Row],[Cost_yearly_dried_mango_FCFA]]-Tableau21023[[#This Row],[Energy_cost_FCFA]]-Tableau21023[[#This Row],[Maintenance_FCFA]]</f>
        <v>2792000</v>
      </c>
      <c r="N131" s="90">
        <v>4.92</v>
      </c>
      <c r="O131" s="91">
        <v>2</v>
      </c>
    </row>
    <row r="132" spans="2:15">
      <c r="B132" s="89">
        <v>2</v>
      </c>
      <c r="C132" s="90">
        <v>7</v>
      </c>
      <c r="D132" s="90">
        <f>Tableau21023[[#This Row],[Scenario_ha]]*D55</f>
        <v>16000</v>
      </c>
      <c r="E132" s="90">
        <f>Tableau21023[[#This Row],[Usable_fresh_kg]]*0.1</f>
        <v>1600</v>
      </c>
      <c r="F132" s="90">
        <f>Tableau21023[[#This Row],[Dried_kg]]*C20</f>
        <v>32000000</v>
      </c>
      <c r="G132" s="90">
        <v>1820</v>
      </c>
      <c r="H132" s="90">
        <f>Tableau21023[[#This Row],[Unit_cost_FCFA_per_kg]]*Tableau21023[[#This Row],[Dried_kg]]</f>
        <v>2912000</v>
      </c>
      <c r="I132" s="90">
        <v>16</v>
      </c>
      <c r="J132" s="90">
        <v>90000</v>
      </c>
      <c r="K132" s="90">
        <v>30000</v>
      </c>
      <c r="L132" s="90">
        <f>Tableau21023[[#This Row],[Cost_yearly_dried_mango_FCFA]]+Tableau21023[[#This Row],[Export_price_FCFA]]</f>
        <v>34912000</v>
      </c>
      <c r="M132" s="90">
        <f>Tableau21023[[#This Row],[Cost_yearly_dried_mango_FCFA]]-Tableau21023[[#This Row],[Energy_cost_FCFA]]-Tableau21023[[#This Row],[Maintenance_FCFA]]</f>
        <v>2792000</v>
      </c>
      <c r="N132" s="90">
        <v>4.9800000000000004</v>
      </c>
      <c r="O132" s="91">
        <v>2</v>
      </c>
    </row>
    <row r="133" spans="2:15">
      <c r="B133" s="89">
        <v>2</v>
      </c>
      <c r="C133" s="90">
        <v>8</v>
      </c>
      <c r="D133" s="90">
        <f>Tableau21023[[#This Row],[Scenario_ha]]*D56</f>
        <v>16000</v>
      </c>
      <c r="E133" s="90">
        <f>Tableau21023[[#This Row],[Usable_fresh_kg]]*0.1</f>
        <v>1600</v>
      </c>
      <c r="F133" s="90">
        <f>Tableau21023[[#This Row],[Dried_kg]]*C20</f>
        <v>32000000</v>
      </c>
      <c r="G133" s="90">
        <v>1820</v>
      </c>
      <c r="H133" s="90">
        <f>Tableau21023[[#This Row],[Unit_cost_FCFA_per_kg]]*Tableau21023[[#This Row],[Dried_kg]]</f>
        <v>2912000</v>
      </c>
      <c r="I133" s="90">
        <v>16</v>
      </c>
      <c r="J133" s="90">
        <v>90000</v>
      </c>
      <c r="K133" s="90">
        <v>30000</v>
      </c>
      <c r="L133" s="90">
        <f>Tableau21023[[#This Row],[Cost_yearly_dried_mango_FCFA]]+Tableau21023[[#This Row],[Export_price_FCFA]]</f>
        <v>34912000</v>
      </c>
      <c r="M133" s="90">
        <f>Tableau21023[[#This Row],[Cost_yearly_dried_mango_FCFA]]-Tableau21023[[#This Row],[Energy_cost_FCFA]]-Tableau21023[[#This Row],[Maintenance_FCFA]]</f>
        <v>2792000</v>
      </c>
      <c r="N133" s="90">
        <v>5.04</v>
      </c>
      <c r="O133" s="91">
        <v>2</v>
      </c>
    </row>
    <row r="134" spans="2:15">
      <c r="B134" s="89">
        <v>2</v>
      </c>
      <c r="C134" s="90">
        <v>9</v>
      </c>
      <c r="D134" s="90">
        <f>Tableau21023[[#This Row],[Scenario_ha]]*D57</f>
        <v>16000</v>
      </c>
      <c r="E134" s="90">
        <f>Tableau21023[[#This Row],[Usable_fresh_kg]]*0.1</f>
        <v>1600</v>
      </c>
      <c r="F134" s="90">
        <f>Tableau21023[[#This Row],[Dried_kg]]*C20</f>
        <v>32000000</v>
      </c>
      <c r="G134" s="90">
        <v>1820</v>
      </c>
      <c r="H134" s="90">
        <f>Tableau21023[[#This Row],[Unit_cost_FCFA_per_kg]]*Tableau21023[[#This Row],[Dried_kg]]</f>
        <v>2912000</v>
      </c>
      <c r="I134" s="90">
        <v>16</v>
      </c>
      <c r="J134" s="90">
        <v>90000</v>
      </c>
      <c r="K134" s="90">
        <v>30000</v>
      </c>
      <c r="L134" s="90">
        <f>Tableau21023[[#This Row],[Cost_yearly_dried_mango_FCFA]]+Tableau21023[[#This Row],[Export_price_FCFA]]</f>
        <v>34912000</v>
      </c>
      <c r="M134" s="90">
        <f>Tableau21023[[#This Row],[Cost_yearly_dried_mango_FCFA]]-Tableau21023[[#This Row],[Energy_cost_FCFA]]-Tableau21023[[#This Row],[Maintenance_FCFA]]</f>
        <v>2792000</v>
      </c>
      <c r="N134" s="90">
        <v>5.0999999999999996</v>
      </c>
      <c r="O134" s="91">
        <v>2</v>
      </c>
    </row>
    <row r="135" spans="2:15">
      <c r="B135" s="92">
        <v>2</v>
      </c>
      <c r="C135" s="93">
        <v>10</v>
      </c>
      <c r="D135" s="90">
        <f>Tableau21023[[#This Row],[Scenario_ha]]*D58</f>
        <v>16000</v>
      </c>
      <c r="E135" s="90">
        <f>Tableau21023[[#This Row],[Usable_fresh_kg]]*0.1</f>
        <v>1600</v>
      </c>
      <c r="F135" s="90">
        <f>Tableau21023[[#This Row],[Dried_kg]]*C20</f>
        <v>32000000</v>
      </c>
      <c r="G135" s="90">
        <v>1820</v>
      </c>
      <c r="H135" s="90">
        <f>Tableau21023[[#This Row],[Unit_cost_FCFA_per_kg]]*Tableau21023[[#This Row],[Dried_kg]]</f>
        <v>2912000</v>
      </c>
      <c r="I135" s="93">
        <v>16</v>
      </c>
      <c r="J135" s="90">
        <v>90000</v>
      </c>
      <c r="K135" s="159">
        <v>30000</v>
      </c>
      <c r="L135" s="159">
        <f>Tableau21023[[#This Row],[Cost_yearly_dried_mango_FCFA]]+Tableau21023[[#This Row],[Export_price_FCFA]]</f>
        <v>34912000</v>
      </c>
      <c r="M135" s="90">
        <f>Tableau21023[[#This Row],[Cost_yearly_dried_mango_FCFA]]-Tableau21023[[#This Row],[Energy_cost_FCFA]]-Tableau21023[[#This Row],[Maintenance_FCFA]]</f>
        <v>2792000</v>
      </c>
      <c r="N135" s="93">
        <v>5.17</v>
      </c>
      <c r="O135" s="91">
        <v>2</v>
      </c>
    </row>
    <row r="150" spans="2:15">
      <c r="B150" s="334" t="s">
        <v>595</v>
      </c>
      <c r="C150" s="335"/>
      <c r="D150" s="335"/>
      <c r="E150" s="335"/>
      <c r="F150" s="335"/>
      <c r="G150" s="335"/>
      <c r="H150" s="335"/>
      <c r="I150" s="335"/>
      <c r="J150" s="335"/>
      <c r="K150" s="335"/>
      <c r="L150" s="335"/>
      <c r="M150" s="335"/>
      <c r="N150" s="335"/>
      <c r="O150" s="335"/>
    </row>
    <row r="151" spans="2:15">
      <c r="B151" s="335"/>
      <c r="C151" s="335"/>
      <c r="D151" s="335"/>
      <c r="E151" s="335"/>
      <c r="F151" s="335"/>
      <c r="G151" s="335"/>
      <c r="H151" s="335"/>
      <c r="I151" s="335"/>
      <c r="J151" s="335"/>
      <c r="K151" s="335"/>
      <c r="L151" s="335"/>
      <c r="M151" s="335"/>
      <c r="N151" s="335"/>
      <c r="O151" s="335"/>
    </row>
    <row r="152" spans="2:15">
      <c r="B152" s="335"/>
      <c r="C152" s="335"/>
      <c r="D152" s="335"/>
      <c r="E152" s="335"/>
      <c r="F152" s="335"/>
      <c r="G152" s="335"/>
      <c r="H152" s="335"/>
      <c r="I152" s="335"/>
      <c r="J152" s="335"/>
      <c r="K152" s="335"/>
      <c r="L152" s="335"/>
      <c r="M152" s="335"/>
      <c r="N152" s="335"/>
      <c r="O152" s="335"/>
    </row>
    <row r="153" spans="2:15" ht="30">
      <c r="B153" s="228" t="s">
        <v>575</v>
      </c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</row>
    <row r="154" spans="2:15">
      <c r="B154" s="224" t="s">
        <v>576</v>
      </c>
      <c r="C154" s="225" t="s">
        <v>577</v>
      </c>
      <c r="D154" s="225" t="s">
        <v>578</v>
      </c>
      <c r="E154" s="225" t="s">
        <v>579</v>
      </c>
      <c r="F154" s="225" t="s">
        <v>580</v>
      </c>
      <c r="G154" s="225" t="s">
        <v>581</v>
      </c>
      <c r="H154" s="225" t="s">
        <v>582</v>
      </c>
      <c r="I154" s="225" t="s">
        <v>583</v>
      </c>
      <c r="J154" s="225" t="s">
        <v>584</v>
      </c>
      <c r="K154" s="225" t="s">
        <v>585</v>
      </c>
      <c r="L154" s="225" t="s">
        <v>586</v>
      </c>
      <c r="M154" s="225" t="s">
        <v>587</v>
      </c>
      <c r="N154" s="225" t="s">
        <v>588</v>
      </c>
      <c r="O154" s="226" t="s">
        <v>589</v>
      </c>
    </row>
    <row r="155" spans="2:15">
      <c r="B155" s="219">
        <v>1</v>
      </c>
      <c r="C155" s="218">
        <v>1</v>
      </c>
      <c r="D155" s="218">
        <v>8000</v>
      </c>
      <c r="E155" s="218">
        <v>800</v>
      </c>
      <c r="F155" s="218" t="s">
        <v>596</v>
      </c>
      <c r="G155" s="218" t="s">
        <v>597</v>
      </c>
      <c r="H155" s="218" t="s">
        <v>598</v>
      </c>
      <c r="I155" s="218">
        <v>16</v>
      </c>
      <c r="J155" s="218" t="s">
        <v>599</v>
      </c>
      <c r="K155" s="218" t="s">
        <v>600</v>
      </c>
      <c r="L155" s="218" t="s">
        <v>601</v>
      </c>
      <c r="M155" s="218" t="s">
        <v>602</v>
      </c>
      <c r="N155" s="218">
        <v>4.6100000000000003</v>
      </c>
      <c r="O155" s="220">
        <v>1</v>
      </c>
    </row>
    <row r="156" spans="2:15">
      <c r="B156" s="219">
        <v>1</v>
      </c>
      <c r="C156" s="218">
        <v>2</v>
      </c>
      <c r="D156" s="218">
        <v>8000</v>
      </c>
      <c r="E156" s="218">
        <v>800</v>
      </c>
      <c r="F156" s="218" t="s">
        <v>596</v>
      </c>
      <c r="G156" s="218" t="s">
        <v>597</v>
      </c>
      <c r="H156" s="218" t="s">
        <v>598</v>
      </c>
      <c r="I156" s="218">
        <v>16</v>
      </c>
      <c r="J156" s="218" t="s">
        <v>599</v>
      </c>
      <c r="K156" s="218" t="s">
        <v>600</v>
      </c>
      <c r="L156" s="218" t="s">
        <v>601</v>
      </c>
      <c r="M156" s="218" t="s">
        <v>602</v>
      </c>
      <c r="N156" s="218">
        <v>4.67</v>
      </c>
      <c r="O156" s="220">
        <v>1</v>
      </c>
    </row>
    <row r="157" spans="2:15">
      <c r="B157" s="219">
        <v>1</v>
      </c>
      <c r="C157" s="218">
        <v>3</v>
      </c>
      <c r="D157" s="218">
        <v>8000</v>
      </c>
      <c r="E157" s="218">
        <v>800</v>
      </c>
      <c r="F157" s="218" t="s">
        <v>596</v>
      </c>
      <c r="G157" s="218" t="s">
        <v>597</v>
      </c>
      <c r="H157" s="218" t="s">
        <v>598</v>
      </c>
      <c r="I157" s="218">
        <v>16</v>
      </c>
      <c r="J157" s="218" t="s">
        <v>599</v>
      </c>
      <c r="K157" s="218" t="s">
        <v>600</v>
      </c>
      <c r="L157" s="218" t="s">
        <v>601</v>
      </c>
      <c r="M157" s="218" t="s">
        <v>602</v>
      </c>
      <c r="N157" s="218">
        <v>4.7300000000000004</v>
      </c>
      <c r="O157" s="220">
        <v>1</v>
      </c>
    </row>
    <row r="158" spans="2:15">
      <c r="B158" s="219">
        <v>1</v>
      </c>
      <c r="C158" s="218">
        <v>4</v>
      </c>
      <c r="D158" s="218">
        <v>8000</v>
      </c>
      <c r="E158" s="218">
        <v>800</v>
      </c>
      <c r="F158" s="218" t="s">
        <v>596</v>
      </c>
      <c r="G158" s="218" t="s">
        <v>597</v>
      </c>
      <c r="H158" s="218" t="s">
        <v>598</v>
      </c>
      <c r="I158" s="218">
        <v>16</v>
      </c>
      <c r="J158" s="218" t="s">
        <v>599</v>
      </c>
      <c r="K158" s="218" t="s">
        <v>600</v>
      </c>
      <c r="L158" s="218" t="s">
        <v>601</v>
      </c>
      <c r="M158" s="218" t="s">
        <v>602</v>
      </c>
      <c r="N158" s="218">
        <v>4.79</v>
      </c>
      <c r="O158" s="220">
        <v>1</v>
      </c>
    </row>
    <row r="159" spans="2:15">
      <c r="B159" s="219">
        <v>1</v>
      </c>
      <c r="C159" s="218">
        <v>5</v>
      </c>
      <c r="D159" s="218">
        <v>8000</v>
      </c>
      <c r="E159" s="218">
        <v>800</v>
      </c>
      <c r="F159" s="218" t="s">
        <v>596</v>
      </c>
      <c r="G159" s="218" t="s">
        <v>597</v>
      </c>
      <c r="H159" s="218" t="s">
        <v>598</v>
      </c>
      <c r="I159" s="218">
        <v>16</v>
      </c>
      <c r="J159" s="218" t="s">
        <v>599</v>
      </c>
      <c r="K159" s="218" t="s">
        <v>600</v>
      </c>
      <c r="L159" s="218" t="s">
        <v>601</v>
      </c>
      <c r="M159" s="218" t="s">
        <v>602</v>
      </c>
      <c r="N159" s="218">
        <v>4.8600000000000003</v>
      </c>
      <c r="O159" s="220">
        <v>1</v>
      </c>
    </row>
    <row r="160" spans="2:15">
      <c r="B160" s="219">
        <v>1</v>
      </c>
      <c r="C160" s="218">
        <v>6</v>
      </c>
      <c r="D160" s="218">
        <v>8000</v>
      </c>
      <c r="E160" s="218">
        <v>800</v>
      </c>
      <c r="F160" s="218" t="s">
        <v>596</v>
      </c>
      <c r="G160" s="218" t="s">
        <v>597</v>
      </c>
      <c r="H160" s="218" t="s">
        <v>598</v>
      </c>
      <c r="I160" s="218">
        <v>16</v>
      </c>
      <c r="J160" s="218" t="s">
        <v>599</v>
      </c>
      <c r="K160" s="218" t="s">
        <v>600</v>
      </c>
      <c r="L160" s="218" t="s">
        <v>601</v>
      </c>
      <c r="M160" s="218" t="s">
        <v>602</v>
      </c>
      <c r="N160" s="218">
        <v>4.92</v>
      </c>
      <c r="O160" s="220">
        <v>1</v>
      </c>
    </row>
    <row r="161" spans="2:15">
      <c r="B161" s="219">
        <v>1</v>
      </c>
      <c r="C161" s="218">
        <v>7</v>
      </c>
      <c r="D161" s="218">
        <v>8000</v>
      </c>
      <c r="E161" s="218">
        <v>800</v>
      </c>
      <c r="F161" s="218" t="s">
        <v>596</v>
      </c>
      <c r="G161" s="218" t="s">
        <v>597</v>
      </c>
      <c r="H161" s="218" t="s">
        <v>598</v>
      </c>
      <c r="I161" s="218">
        <v>16</v>
      </c>
      <c r="J161" s="218" t="s">
        <v>599</v>
      </c>
      <c r="K161" s="218" t="s">
        <v>600</v>
      </c>
      <c r="L161" s="218" t="s">
        <v>601</v>
      </c>
      <c r="M161" s="218" t="s">
        <v>602</v>
      </c>
      <c r="N161" s="218">
        <v>4.9800000000000004</v>
      </c>
      <c r="O161" s="220">
        <v>1</v>
      </c>
    </row>
    <row r="162" spans="2:15">
      <c r="B162" s="219">
        <v>1</v>
      </c>
      <c r="C162" s="218">
        <v>8</v>
      </c>
      <c r="D162" s="218">
        <v>8000</v>
      </c>
      <c r="E162" s="218">
        <v>800</v>
      </c>
      <c r="F162" s="218" t="s">
        <v>596</v>
      </c>
      <c r="G162" s="218" t="s">
        <v>597</v>
      </c>
      <c r="H162" s="218" t="s">
        <v>598</v>
      </c>
      <c r="I162" s="218">
        <v>16</v>
      </c>
      <c r="J162" s="218" t="s">
        <v>599</v>
      </c>
      <c r="K162" s="218" t="s">
        <v>600</v>
      </c>
      <c r="L162" s="218" t="s">
        <v>601</v>
      </c>
      <c r="M162" s="218" t="s">
        <v>602</v>
      </c>
      <c r="N162" s="218">
        <v>5.04</v>
      </c>
      <c r="O162" s="220">
        <v>1</v>
      </c>
    </row>
    <row r="163" spans="2:15">
      <c r="B163" s="219">
        <v>1</v>
      </c>
      <c r="C163" s="218">
        <v>9</v>
      </c>
      <c r="D163" s="218">
        <v>8000</v>
      </c>
      <c r="E163" s="218">
        <v>800</v>
      </c>
      <c r="F163" s="218" t="s">
        <v>596</v>
      </c>
      <c r="G163" s="218" t="s">
        <v>597</v>
      </c>
      <c r="H163" s="218" t="s">
        <v>598</v>
      </c>
      <c r="I163" s="218">
        <v>16</v>
      </c>
      <c r="J163" s="218" t="s">
        <v>599</v>
      </c>
      <c r="K163" s="218" t="s">
        <v>600</v>
      </c>
      <c r="L163" s="218" t="s">
        <v>601</v>
      </c>
      <c r="M163" s="218" t="s">
        <v>602</v>
      </c>
      <c r="N163" s="218">
        <v>5.0999999999999996</v>
      </c>
      <c r="O163" s="220">
        <v>1</v>
      </c>
    </row>
    <row r="164" spans="2:15">
      <c r="B164" s="221">
        <v>1</v>
      </c>
      <c r="C164" s="222">
        <v>10</v>
      </c>
      <c r="D164" s="222">
        <v>8000</v>
      </c>
      <c r="E164" s="222">
        <v>800</v>
      </c>
      <c r="F164" s="222" t="s">
        <v>596</v>
      </c>
      <c r="G164" s="222" t="s">
        <v>597</v>
      </c>
      <c r="H164" s="222" t="s">
        <v>598</v>
      </c>
      <c r="I164" s="222">
        <v>16</v>
      </c>
      <c r="J164" s="222" t="s">
        <v>599</v>
      </c>
      <c r="K164" s="222" t="s">
        <v>600</v>
      </c>
      <c r="L164" s="222" t="s">
        <v>601</v>
      </c>
      <c r="M164" s="222" t="s">
        <v>602</v>
      </c>
      <c r="N164" s="222">
        <v>5.17</v>
      </c>
      <c r="O164" s="223">
        <v>1</v>
      </c>
    </row>
    <row r="165" spans="2:15"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</row>
    <row r="166" spans="2:15"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</row>
    <row r="167" spans="2:15"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</row>
    <row r="168" spans="2:15"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</row>
    <row r="169" spans="2:15"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</row>
    <row r="170" spans="2:15"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</row>
    <row r="171" spans="2:15" ht="30">
      <c r="B171" s="228" t="s">
        <v>594</v>
      </c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</row>
    <row r="172" spans="2:15">
      <c r="B172" s="224" t="s">
        <v>576</v>
      </c>
      <c r="C172" s="225" t="s">
        <v>577</v>
      </c>
      <c r="D172" s="225" t="s">
        <v>578</v>
      </c>
      <c r="E172" s="225" t="s">
        <v>579</v>
      </c>
      <c r="F172" s="225" t="s">
        <v>580</v>
      </c>
      <c r="G172" s="225" t="s">
        <v>581</v>
      </c>
      <c r="H172" s="225" t="s">
        <v>582</v>
      </c>
      <c r="I172" s="225" t="s">
        <v>583</v>
      </c>
      <c r="J172" s="225" t="s">
        <v>584</v>
      </c>
      <c r="K172" s="225" t="s">
        <v>585</v>
      </c>
      <c r="L172" s="225" t="s">
        <v>586</v>
      </c>
      <c r="M172" s="225" t="s">
        <v>587</v>
      </c>
      <c r="N172" s="225" t="s">
        <v>588</v>
      </c>
      <c r="O172" s="226" t="s">
        <v>589</v>
      </c>
    </row>
    <row r="173" spans="2:15">
      <c r="B173" s="219">
        <v>2</v>
      </c>
      <c r="C173" s="218">
        <v>1</v>
      </c>
      <c r="D173" s="218">
        <v>16000</v>
      </c>
      <c r="E173" s="218">
        <v>1600</v>
      </c>
      <c r="F173" s="218" t="s">
        <v>603</v>
      </c>
      <c r="G173" s="218" t="s">
        <v>597</v>
      </c>
      <c r="H173" s="218" t="s">
        <v>604</v>
      </c>
      <c r="I173" s="218">
        <v>16</v>
      </c>
      <c r="J173" s="218" t="s">
        <v>605</v>
      </c>
      <c r="K173" s="218" t="s">
        <v>600</v>
      </c>
      <c r="L173" s="218" t="s">
        <v>606</v>
      </c>
      <c r="M173" s="218" t="s">
        <v>607</v>
      </c>
      <c r="N173" s="218">
        <v>4.6100000000000003</v>
      </c>
      <c r="O173" s="220">
        <v>2</v>
      </c>
    </row>
    <row r="174" spans="2:15">
      <c r="B174" s="219">
        <v>2</v>
      </c>
      <c r="C174" s="218">
        <v>2</v>
      </c>
      <c r="D174" s="218">
        <v>16000</v>
      </c>
      <c r="E174" s="218">
        <v>1600</v>
      </c>
      <c r="F174" s="218" t="s">
        <v>603</v>
      </c>
      <c r="G174" s="218" t="s">
        <v>597</v>
      </c>
      <c r="H174" s="218" t="s">
        <v>604</v>
      </c>
      <c r="I174" s="218">
        <v>16</v>
      </c>
      <c r="J174" s="218" t="s">
        <v>605</v>
      </c>
      <c r="K174" s="218" t="s">
        <v>600</v>
      </c>
      <c r="L174" s="218" t="s">
        <v>606</v>
      </c>
      <c r="M174" s="218" t="s">
        <v>607</v>
      </c>
      <c r="N174" s="218">
        <v>4.67</v>
      </c>
      <c r="O174" s="220">
        <v>2</v>
      </c>
    </row>
    <row r="175" spans="2:15">
      <c r="B175" s="219">
        <v>2</v>
      </c>
      <c r="C175" s="218">
        <v>3</v>
      </c>
      <c r="D175" s="218">
        <v>16000</v>
      </c>
      <c r="E175" s="218">
        <v>1600</v>
      </c>
      <c r="F175" s="218" t="s">
        <v>603</v>
      </c>
      <c r="G175" s="218" t="s">
        <v>597</v>
      </c>
      <c r="H175" s="218" t="s">
        <v>604</v>
      </c>
      <c r="I175" s="218">
        <v>16</v>
      </c>
      <c r="J175" s="218" t="s">
        <v>605</v>
      </c>
      <c r="K175" s="218" t="s">
        <v>600</v>
      </c>
      <c r="L175" s="218" t="s">
        <v>606</v>
      </c>
      <c r="M175" s="218" t="s">
        <v>607</v>
      </c>
      <c r="N175" s="218">
        <v>4.7300000000000004</v>
      </c>
      <c r="O175" s="220">
        <v>2</v>
      </c>
    </row>
    <row r="176" spans="2:15">
      <c r="B176" s="219">
        <v>2</v>
      </c>
      <c r="C176" s="218">
        <v>4</v>
      </c>
      <c r="D176" s="218">
        <v>16000</v>
      </c>
      <c r="E176" s="218">
        <v>1600</v>
      </c>
      <c r="F176" s="218" t="s">
        <v>603</v>
      </c>
      <c r="G176" s="218" t="s">
        <v>597</v>
      </c>
      <c r="H176" s="218" t="s">
        <v>604</v>
      </c>
      <c r="I176" s="218">
        <v>16</v>
      </c>
      <c r="J176" s="218" t="s">
        <v>605</v>
      </c>
      <c r="K176" s="218" t="s">
        <v>600</v>
      </c>
      <c r="L176" s="218" t="s">
        <v>606</v>
      </c>
      <c r="M176" s="218" t="s">
        <v>607</v>
      </c>
      <c r="N176" s="218">
        <v>4.79</v>
      </c>
      <c r="O176" s="220">
        <v>2</v>
      </c>
    </row>
    <row r="177" spans="2:15">
      <c r="B177" s="219">
        <v>2</v>
      </c>
      <c r="C177" s="218">
        <v>5</v>
      </c>
      <c r="D177" s="218">
        <v>16000</v>
      </c>
      <c r="E177" s="218">
        <v>1600</v>
      </c>
      <c r="F177" s="218" t="s">
        <v>603</v>
      </c>
      <c r="G177" s="218" t="s">
        <v>597</v>
      </c>
      <c r="H177" s="218" t="s">
        <v>604</v>
      </c>
      <c r="I177" s="218">
        <v>16</v>
      </c>
      <c r="J177" s="218" t="s">
        <v>605</v>
      </c>
      <c r="K177" s="218" t="s">
        <v>600</v>
      </c>
      <c r="L177" s="218" t="s">
        <v>606</v>
      </c>
      <c r="M177" s="218" t="s">
        <v>607</v>
      </c>
      <c r="N177" s="218">
        <v>4.8600000000000003</v>
      </c>
      <c r="O177" s="220">
        <v>2</v>
      </c>
    </row>
    <row r="178" spans="2:15">
      <c r="B178" s="219">
        <v>2</v>
      </c>
      <c r="C178" s="218">
        <v>6</v>
      </c>
      <c r="D178" s="218">
        <v>16000</v>
      </c>
      <c r="E178" s="218">
        <v>1600</v>
      </c>
      <c r="F178" s="218" t="s">
        <v>603</v>
      </c>
      <c r="G178" s="218" t="s">
        <v>597</v>
      </c>
      <c r="H178" s="218" t="s">
        <v>604</v>
      </c>
      <c r="I178" s="218">
        <v>16</v>
      </c>
      <c r="J178" s="218" t="s">
        <v>605</v>
      </c>
      <c r="K178" s="218" t="s">
        <v>600</v>
      </c>
      <c r="L178" s="218" t="s">
        <v>606</v>
      </c>
      <c r="M178" s="218" t="s">
        <v>607</v>
      </c>
      <c r="N178" s="218">
        <v>4.92</v>
      </c>
      <c r="O178" s="220">
        <v>2</v>
      </c>
    </row>
    <row r="179" spans="2:15">
      <c r="B179" s="219">
        <v>2</v>
      </c>
      <c r="C179" s="218">
        <v>7</v>
      </c>
      <c r="D179" s="218">
        <v>16000</v>
      </c>
      <c r="E179" s="218">
        <v>1600</v>
      </c>
      <c r="F179" s="218" t="s">
        <v>603</v>
      </c>
      <c r="G179" s="218" t="s">
        <v>597</v>
      </c>
      <c r="H179" s="218" t="s">
        <v>604</v>
      </c>
      <c r="I179" s="218">
        <v>16</v>
      </c>
      <c r="J179" s="218" t="s">
        <v>605</v>
      </c>
      <c r="K179" s="218" t="s">
        <v>600</v>
      </c>
      <c r="L179" s="218" t="s">
        <v>606</v>
      </c>
      <c r="M179" s="218" t="s">
        <v>607</v>
      </c>
      <c r="N179" s="218">
        <v>4.9800000000000004</v>
      </c>
      <c r="O179" s="220">
        <v>2</v>
      </c>
    </row>
    <row r="180" spans="2:15">
      <c r="B180" s="219">
        <v>2</v>
      </c>
      <c r="C180" s="218">
        <v>8</v>
      </c>
      <c r="D180" s="218">
        <v>16000</v>
      </c>
      <c r="E180" s="218">
        <v>1600</v>
      </c>
      <c r="F180" s="218" t="s">
        <v>603</v>
      </c>
      <c r="G180" s="218" t="s">
        <v>597</v>
      </c>
      <c r="H180" s="218" t="s">
        <v>604</v>
      </c>
      <c r="I180" s="218">
        <v>16</v>
      </c>
      <c r="J180" s="218" t="s">
        <v>605</v>
      </c>
      <c r="K180" s="218" t="s">
        <v>600</v>
      </c>
      <c r="L180" s="218" t="s">
        <v>606</v>
      </c>
      <c r="M180" s="218" t="s">
        <v>607</v>
      </c>
      <c r="N180" s="218">
        <v>5.04</v>
      </c>
      <c r="O180" s="220">
        <v>2</v>
      </c>
    </row>
    <row r="181" spans="2:15">
      <c r="B181" s="219">
        <v>2</v>
      </c>
      <c r="C181" s="218">
        <v>9</v>
      </c>
      <c r="D181" s="218">
        <v>16000</v>
      </c>
      <c r="E181" s="218">
        <v>1600</v>
      </c>
      <c r="F181" s="218" t="s">
        <v>603</v>
      </c>
      <c r="G181" s="218" t="s">
        <v>597</v>
      </c>
      <c r="H181" s="218" t="s">
        <v>604</v>
      </c>
      <c r="I181" s="218">
        <v>16</v>
      </c>
      <c r="J181" s="218" t="s">
        <v>605</v>
      </c>
      <c r="K181" s="218" t="s">
        <v>600</v>
      </c>
      <c r="L181" s="218" t="s">
        <v>606</v>
      </c>
      <c r="M181" s="218" t="s">
        <v>607</v>
      </c>
      <c r="N181" s="218">
        <v>5.0999999999999996</v>
      </c>
      <c r="O181" s="220">
        <v>2</v>
      </c>
    </row>
    <row r="182" spans="2:15">
      <c r="B182" s="221">
        <v>2</v>
      </c>
      <c r="C182" s="222">
        <v>10</v>
      </c>
      <c r="D182" s="222">
        <v>16000</v>
      </c>
      <c r="E182" s="222">
        <v>1600</v>
      </c>
      <c r="F182" s="222" t="s">
        <v>603</v>
      </c>
      <c r="G182" s="222" t="s">
        <v>597</v>
      </c>
      <c r="H182" s="222" t="s">
        <v>604</v>
      </c>
      <c r="I182" s="222">
        <v>16</v>
      </c>
      <c r="J182" s="222" t="s">
        <v>605</v>
      </c>
      <c r="K182" s="222" t="s">
        <v>600</v>
      </c>
      <c r="L182" s="222" t="s">
        <v>606</v>
      </c>
      <c r="M182" s="222" t="s">
        <v>607</v>
      </c>
      <c r="N182" s="222">
        <v>5.17</v>
      </c>
      <c r="O182" s="223">
        <v>2</v>
      </c>
    </row>
    <row r="183" spans="2:15"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</row>
    <row r="184" spans="2:15"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</row>
    <row r="185" spans="2:15"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</row>
    <row r="186" spans="2:15"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</row>
    <row r="187" spans="2:15"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</row>
    <row r="188" spans="2:15"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</row>
    <row r="189" spans="2:15"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</row>
    <row r="190" spans="2:15"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</row>
    <row r="191" spans="2:15"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</row>
    <row r="192" spans="2:15"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</row>
    <row r="193" spans="2:15"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</row>
    <row r="194" spans="2:15" ht="30">
      <c r="B194" s="227" t="s">
        <v>590</v>
      </c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</row>
    <row r="195" spans="2:15">
      <c r="B195" s="224" t="s">
        <v>576</v>
      </c>
      <c r="C195" s="225" t="s">
        <v>577</v>
      </c>
      <c r="D195" s="225" t="s">
        <v>578</v>
      </c>
      <c r="E195" s="225" t="s">
        <v>579</v>
      </c>
      <c r="F195" s="225" t="s">
        <v>580</v>
      </c>
      <c r="G195" s="225" t="s">
        <v>581</v>
      </c>
      <c r="H195" s="225" t="s">
        <v>582</v>
      </c>
      <c r="I195" s="225" t="s">
        <v>583</v>
      </c>
      <c r="J195" s="225" t="s">
        <v>584</v>
      </c>
      <c r="K195" s="225" t="s">
        <v>591</v>
      </c>
      <c r="L195" s="225" t="s">
        <v>586</v>
      </c>
      <c r="M195" s="225" t="s">
        <v>587</v>
      </c>
      <c r="N195" s="225" t="s">
        <v>588</v>
      </c>
      <c r="O195" s="226" t="s">
        <v>589</v>
      </c>
    </row>
    <row r="196" spans="2:15">
      <c r="B196" s="219">
        <v>3</v>
      </c>
      <c r="C196" s="218">
        <v>1</v>
      </c>
      <c r="D196" s="218">
        <v>24000</v>
      </c>
      <c r="E196" s="218">
        <v>2400</v>
      </c>
      <c r="F196" s="218" t="s">
        <v>608</v>
      </c>
      <c r="G196" s="218" t="s">
        <v>609</v>
      </c>
      <c r="H196" s="218" t="s">
        <v>610</v>
      </c>
      <c r="I196" s="218">
        <v>48</v>
      </c>
      <c r="J196" s="218" t="s">
        <v>611</v>
      </c>
      <c r="K196" s="218" t="s">
        <v>612</v>
      </c>
      <c r="L196" s="218" t="s">
        <v>613</v>
      </c>
      <c r="M196" s="218" t="s">
        <v>614</v>
      </c>
      <c r="N196" s="218">
        <v>4.45</v>
      </c>
      <c r="O196" s="220">
        <v>2</v>
      </c>
    </row>
    <row r="197" spans="2:15">
      <c r="B197" s="219">
        <v>3</v>
      </c>
      <c r="C197" s="218">
        <v>2</v>
      </c>
      <c r="D197" s="218">
        <v>24000</v>
      </c>
      <c r="E197" s="218">
        <v>2400</v>
      </c>
      <c r="F197" s="218" t="s">
        <v>608</v>
      </c>
      <c r="G197" s="218" t="s">
        <v>609</v>
      </c>
      <c r="H197" s="218" t="s">
        <v>610</v>
      </c>
      <c r="I197" s="218">
        <v>48</v>
      </c>
      <c r="J197" s="218" t="s">
        <v>611</v>
      </c>
      <c r="K197" s="218" t="s">
        <v>612</v>
      </c>
      <c r="L197" s="218" t="s">
        <v>613</v>
      </c>
      <c r="M197" s="218" t="s">
        <v>614</v>
      </c>
      <c r="N197" s="218">
        <v>4.51</v>
      </c>
      <c r="O197" s="220">
        <v>2</v>
      </c>
    </row>
    <row r="198" spans="2:15">
      <c r="B198" s="219">
        <v>3</v>
      </c>
      <c r="C198" s="218">
        <v>3</v>
      </c>
      <c r="D198" s="218">
        <v>24000</v>
      </c>
      <c r="E198" s="218">
        <v>2400</v>
      </c>
      <c r="F198" s="218" t="s">
        <v>608</v>
      </c>
      <c r="G198" s="218" t="s">
        <v>609</v>
      </c>
      <c r="H198" s="218" t="s">
        <v>610</v>
      </c>
      <c r="I198" s="218">
        <v>48</v>
      </c>
      <c r="J198" s="218" t="s">
        <v>611</v>
      </c>
      <c r="K198" s="218" t="s">
        <v>612</v>
      </c>
      <c r="L198" s="218" t="s">
        <v>613</v>
      </c>
      <c r="M198" s="218" t="s">
        <v>614</v>
      </c>
      <c r="N198" s="218">
        <v>4.57</v>
      </c>
      <c r="O198" s="220">
        <v>2</v>
      </c>
    </row>
    <row r="199" spans="2:15">
      <c r="B199" s="219">
        <v>3</v>
      </c>
      <c r="C199" s="218">
        <v>4</v>
      </c>
      <c r="D199" s="218">
        <v>24000</v>
      </c>
      <c r="E199" s="218">
        <v>2400</v>
      </c>
      <c r="F199" s="218" t="s">
        <v>608</v>
      </c>
      <c r="G199" s="218" t="s">
        <v>609</v>
      </c>
      <c r="H199" s="218" t="s">
        <v>610</v>
      </c>
      <c r="I199" s="218">
        <v>48</v>
      </c>
      <c r="J199" s="218" t="s">
        <v>611</v>
      </c>
      <c r="K199" s="218" t="s">
        <v>612</v>
      </c>
      <c r="L199" s="218" t="s">
        <v>613</v>
      </c>
      <c r="M199" s="218" t="s">
        <v>614</v>
      </c>
      <c r="N199" s="218">
        <v>4.63</v>
      </c>
      <c r="O199" s="220">
        <v>2</v>
      </c>
    </row>
    <row r="200" spans="2:15">
      <c r="B200" s="219">
        <v>3</v>
      </c>
      <c r="C200" s="218">
        <v>5</v>
      </c>
      <c r="D200" s="218">
        <v>24000</v>
      </c>
      <c r="E200" s="218">
        <v>2400</v>
      </c>
      <c r="F200" s="218" t="s">
        <v>608</v>
      </c>
      <c r="G200" s="218" t="s">
        <v>609</v>
      </c>
      <c r="H200" s="218" t="s">
        <v>610</v>
      </c>
      <c r="I200" s="218">
        <v>48</v>
      </c>
      <c r="J200" s="218" t="s">
        <v>611</v>
      </c>
      <c r="K200" s="218" t="s">
        <v>612</v>
      </c>
      <c r="L200" s="218" t="s">
        <v>613</v>
      </c>
      <c r="M200" s="218" t="s">
        <v>614</v>
      </c>
      <c r="N200" s="218">
        <v>4.7</v>
      </c>
      <c r="O200" s="220">
        <v>2</v>
      </c>
    </row>
    <row r="201" spans="2:15">
      <c r="B201" s="219">
        <v>3</v>
      </c>
      <c r="C201" s="218">
        <v>6</v>
      </c>
      <c r="D201" s="218">
        <v>24000</v>
      </c>
      <c r="E201" s="218">
        <v>2400</v>
      </c>
      <c r="F201" s="218" t="s">
        <v>608</v>
      </c>
      <c r="G201" s="218" t="s">
        <v>609</v>
      </c>
      <c r="H201" s="218" t="s">
        <v>610</v>
      </c>
      <c r="I201" s="218">
        <v>48</v>
      </c>
      <c r="J201" s="218" t="s">
        <v>611</v>
      </c>
      <c r="K201" s="218" t="s">
        <v>612</v>
      </c>
      <c r="L201" s="218" t="s">
        <v>613</v>
      </c>
      <c r="M201" s="218" t="s">
        <v>614</v>
      </c>
      <c r="N201" s="218">
        <v>4.76</v>
      </c>
      <c r="O201" s="220">
        <v>2</v>
      </c>
    </row>
    <row r="202" spans="2:15">
      <c r="B202" s="219">
        <v>3</v>
      </c>
      <c r="C202" s="218">
        <v>7</v>
      </c>
      <c r="D202" s="218">
        <v>24000</v>
      </c>
      <c r="E202" s="218">
        <v>2400</v>
      </c>
      <c r="F202" s="218" t="s">
        <v>608</v>
      </c>
      <c r="G202" s="218" t="s">
        <v>609</v>
      </c>
      <c r="H202" s="218" t="s">
        <v>610</v>
      </c>
      <c r="I202" s="218">
        <v>48</v>
      </c>
      <c r="J202" s="218" t="s">
        <v>611</v>
      </c>
      <c r="K202" s="218" t="s">
        <v>612</v>
      </c>
      <c r="L202" s="218" t="s">
        <v>613</v>
      </c>
      <c r="M202" s="218" t="s">
        <v>614</v>
      </c>
      <c r="N202" s="218">
        <v>4.82</v>
      </c>
      <c r="O202" s="220">
        <v>2</v>
      </c>
    </row>
    <row r="203" spans="2:15">
      <c r="B203" s="219">
        <v>3</v>
      </c>
      <c r="C203" s="218">
        <v>8</v>
      </c>
      <c r="D203" s="218">
        <v>24000</v>
      </c>
      <c r="E203" s="218">
        <v>2400</v>
      </c>
      <c r="F203" s="218" t="s">
        <v>608</v>
      </c>
      <c r="G203" s="218" t="s">
        <v>609</v>
      </c>
      <c r="H203" s="218" t="s">
        <v>610</v>
      </c>
      <c r="I203" s="218">
        <v>48</v>
      </c>
      <c r="J203" s="218" t="s">
        <v>611</v>
      </c>
      <c r="K203" s="218" t="s">
        <v>612</v>
      </c>
      <c r="L203" s="218" t="s">
        <v>613</v>
      </c>
      <c r="M203" s="218" t="s">
        <v>614</v>
      </c>
      <c r="N203" s="218">
        <v>4.88</v>
      </c>
      <c r="O203" s="220">
        <v>2</v>
      </c>
    </row>
    <row r="204" spans="2:15">
      <c r="B204" s="219">
        <v>3</v>
      </c>
      <c r="C204" s="218">
        <v>9</v>
      </c>
      <c r="D204" s="218">
        <v>24000</v>
      </c>
      <c r="E204" s="218">
        <v>2400</v>
      </c>
      <c r="F204" s="218" t="s">
        <v>608</v>
      </c>
      <c r="G204" s="218" t="s">
        <v>609</v>
      </c>
      <c r="H204" s="218" t="s">
        <v>610</v>
      </c>
      <c r="I204" s="218">
        <v>48</v>
      </c>
      <c r="J204" s="218" t="s">
        <v>611</v>
      </c>
      <c r="K204" s="218" t="s">
        <v>612</v>
      </c>
      <c r="L204" s="218" t="s">
        <v>613</v>
      </c>
      <c r="M204" s="218" t="s">
        <v>614</v>
      </c>
      <c r="N204" s="218">
        <v>4.9400000000000004</v>
      </c>
      <c r="O204" s="220">
        <v>2</v>
      </c>
    </row>
    <row r="205" spans="2:15">
      <c r="B205" s="221">
        <v>3</v>
      </c>
      <c r="C205" s="222">
        <v>10</v>
      </c>
      <c r="D205" s="222">
        <v>24000</v>
      </c>
      <c r="E205" s="222">
        <v>2400</v>
      </c>
      <c r="F205" s="222" t="s">
        <v>608</v>
      </c>
      <c r="G205" s="222" t="s">
        <v>609</v>
      </c>
      <c r="H205" s="222" t="s">
        <v>610</v>
      </c>
      <c r="I205" s="222">
        <v>48</v>
      </c>
      <c r="J205" s="222" t="s">
        <v>611</v>
      </c>
      <c r="K205" s="222" t="s">
        <v>612</v>
      </c>
      <c r="L205" s="222" t="s">
        <v>613</v>
      </c>
      <c r="M205" s="222" t="s">
        <v>614</v>
      </c>
      <c r="N205" s="222">
        <v>5</v>
      </c>
      <c r="O205" s="223">
        <v>2</v>
      </c>
    </row>
    <row r="206" spans="2:15"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</row>
    <row r="207" spans="2:15"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</row>
    <row r="208" spans="2:15"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</row>
    <row r="209" spans="2:15"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</row>
    <row r="210" spans="2:15"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</row>
    <row r="211" spans="2:15" ht="30">
      <c r="B211" s="228" t="s">
        <v>592</v>
      </c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</row>
    <row r="212" spans="2:15">
      <c r="B212" s="224" t="s">
        <v>576</v>
      </c>
      <c r="C212" s="225" t="s">
        <v>577</v>
      </c>
      <c r="D212" s="225" t="s">
        <v>578</v>
      </c>
      <c r="E212" s="225" t="s">
        <v>579</v>
      </c>
      <c r="F212" s="225" t="s">
        <v>580</v>
      </c>
      <c r="G212" s="225" t="s">
        <v>581</v>
      </c>
      <c r="H212" s="225" t="s">
        <v>582</v>
      </c>
      <c r="I212" s="225" t="s">
        <v>583</v>
      </c>
      <c r="J212" s="225" t="s">
        <v>584</v>
      </c>
      <c r="K212" s="225" t="s">
        <v>591</v>
      </c>
      <c r="L212" s="225" t="s">
        <v>586</v>
      </c>
      <c r="M212" s="225" t="s">
        <v>587</v>
      </c>
      <c r="N212" s="225" t="s">
        <v>588</v>
      </c>
      <c r="O212" s="226" t="s">
        <v>589</v>
      </c>
    </row>
    <row r="213" spans="2:15">
      <c r="B213" s="219">
        <v>30</v>
      </c>
      <c r="C213" s="218">
        <v>1</v>
      </c>
      <c r="D213" s="218">
        <v>240000</v>
      </c>
      <c r="E213" s="218">
        <v>24000</v>
      </c>
      <c r="F213" s="218" t="s">
        <v>615</v>
      </c>
      <c r="G213" s="218" t="s">
        <v>616</v>
      </c>
      <c r="H213" s="218" t="s">
        <v>617</v>
      </c>
      <c r="I213" s="218">
        <v>480</v>
      </c>
      <c r="J213" s="218" t="s">
        <v>618</v>
      </c>
      <c r="K213" s="218" t="s">
        <v>619</v>
      </c>
      <c r="L213" s="218" t="s">
        <v>620</v>
      </c>
      <c r="M213" s="218" t="s">
        <v>621</v>
      </c>
      <c r="N213" s="218">
        <v>4.01</v>
      </c>
      <c r="O213" s="220">
        <v>15</v>
      </c>
    </row>
    <row r="214" spans="2:15">
      <c r="B214" s="219">
        <v>30</v>
      </c>
      <c r="C214" s="218">
        <v>2</v>
      </c>
      <c r="D214" s="218">
        <v>240000</v>
      </c>
      <c r="E214" s="218">
        <v>24000</v>
      </c>
      <c r="F214" s="218" t="s">
        <v>615</v>
      </c>
      <c r="G214" s="218" t="s">
        <v>616</v>
      </c>
      <c r="H214" s="218" t="s">
        <v>617</v>
      </c>
      <c r="I214" s="218">
        <v>480</v>
      </c>
      <c r="J214" s="218" t="s">
        <v>618</v>
      </c>
      <c r="K214" s="218" t="s">
        <v>619</v>
      </c>
      <c r="L214" s="218" t="s">
        <v>620</v>
      </c>
      <c r="M214" s="218" t="s">
        <v>621</v>
      </c>
      <c r="N214" s="218">
        <v>4.0599999999999996</v>
      </c>
      <c r="O214" s="220">
        <v>15</v>
      </c>
    </row>
    <row r="215" spans="2:15">
      <c r="B215" s="219">
        <v>30</v>
      </c>
      <c r="C215" s="218">
        <v>3</v>
      </c>
      <c r="D215" s="218">
        <v>240000</v>
      </c>
      <c r="E215" s="218">
        <v>24000</v>
      </c>
      <c r="F215" s="218" t="s">
        <v>615</v>
      </c>
      <c r="G215" s="218" t="s">
        <v>616</v>
      </c>
      <c r="H215" s="218" t="s">
        <v>617</v>
      </c>
      <c r="I215" s="218">
        <v>480</v>
      </c>
      <c r="J215" s="218" t="s">
        <v>618</v>
      </c>
      <c r="K215" s="218" t="s">
        <v>619</v>
      </c>
      <c r="L215" s="218" t="s">
        <v>620</v>
      </c>
      <c r="M215" s="218" t="s">
        <v>621</v>
      </c>
      <c r="N215" s="218">
        <v>4.12</v>
      </c>
      <c r="O215" s="220">
        <v>15</v>
      </c>
    </row>
    <row r="216" spans="2:15">
      <c r="B216" s="219">
        <v>30</v>
      </c>
      <c r="C216" s="218">
        <v>4</v>
      </c>
      <c r="D216" s="218">
        <v>240000</v>
      </c>
      <c r="E216" s="218">
        <v>24000</v>
      </c>
      <c r="F216" s="218" t="s">
        <v>615</v>
      </c>
      <c r="G216" s="218" t="s">
        <v>616</v>
      </c>
      <c r="H216" s="218" t="s">
        <v>617</v>
      </c>
      <c r="I216" s="218">
        <v>480</v>
      </c>
      <c r="J216" s="218" t="s">
        <v>618</v>
      </c>
      <c r="K216" s="218" t="s">
        <v>619</v>
      </c>
      <c r="L216" s="218" t="s">
        <v>620</v>
      </c>
      <c r="M216" s="218" t="s">
        <v>621</v>
      </c>
      <c r="N216" s="218">
        <v>4.18</v>
      </c>
      <c r="O216" s="220">
        <v>15</v>
      </c>
    </row>
    <row r="217" spans="2:15">
      <c r="B217" s="219">
        <v>30</v>
      </c>
      <c r="C217" s="218">
        <v>5</v>
      </c>
      <c r="D217" s="218">
        <v>240000</v>
      </c>
      <c r="E217" s="218">
        <v>24000</v>
      </c>
      <c r="F217" s="218" t="s">
        <v>615</v>
      </c>
      <c r="G217" s="218" t="s">
        <v>616</v>
      </c>
      <c r="H217" s="218" t="s">
        <v>617</v>
      </c>
      <c r="I217" s="218">
        <v>480</v>
      </c>
      <c r="J217" s="218" t="s">
        <v>618</v>
      </c>
      <c r="K217" s="218" t="s">
        <v>619</v>
      </c>
      <c r="L217" s="218" t="s">
        <v>620</v>
      </c>
      <c r="M217" s="218" t="s">
        <v>621</v>
      </c>
      <c r="N217" s="218">
        <v>4.2300000000000004</v>
      </c>
      <c r="O217" s="220">
        <v>15</v>
      </c>
    </row>
    <row r="218" spans="2:15">
      <c r="B218" s="219">
        <v>30</v>
      </c>
      <c r="C218" s="218">
        <v>6</v>
      </c>
      <c r="D218" s="218">
        <v>240000</v>
      </c>
      <c r="E218" s="218">
        <v>24000</v>
      </c>
      <c r="F218" s="218" t="s">
        <v>615</v>
      </c>
      <c r="G218" s="218" t="s">
        <v>616</v>
      </c>
      <c r="H218" s="218" t="s">
        <v>617</v>
      </c>
      <c r="I218" s="218">
        <v>480</v>
      </c>
      <c r="J218" s="218" t="s">
        <v>618</v>
      </c>
      <c r="K218" s="218" t="s">
        <v>619</v>
      </c>
      <c r="L218" s="218" t="s">
        <v>620</v>
      </c>
      <c r="M218" s="218" t="s">
        <v>621</v>
      </c>
      <c r="N218" s="218">
        <v>4.29</v>
      </c>
      <c r="O218" s="220">
        <v>15</v>
      </c>
    </row>
    <row r="219" spans="2:15">
      <c r="B219" s="219">
        <v>30</v>
      </c>
      <c r="C219" s="218">
        <v>7</v>
      </c>
      <c r="D219" s="218">
        <v>240000</v>
      </c>
      <c r="E219" s="218">
        <v>24000</v>
      </c>
      <c r="F219" s="218" t="s">
        <v>615</v>
      </c>
      <c r="G219" s="218" t="s">
        <v>616</v>
      </c>
      <c r="H219" s="218" t="s">
        <v>617</v>
      </c>
      <c r="I219" s="218">
        <v>480</v>
      </c>
      <c r="J219" s="218" t="s">
        <v>618</v>
      </c>
      <c r="K219" s="218" t="s">
        <v>619</v>
      </c>
      <c r="L219" s="218" t="s">
        <v>620</v>
      </c>
      <c r="M219" s="218" t="s">
        <v>621</v>
      </c>
      <c r="N219" s="218">
        <v>4.3499999999999996</v>
      </c>
      <c r="O219" s="220">
        <v>15</v>
      </c>
    </row>
    <row r="220" spans="2:15">
      <c r="B220" s="219">
        <v>30</v>
      </c>
      <c r="C220" s="218">
        <v>8</v>
      </c>
      <c r="D220" s="218">
        <v>240000</v>
      </c>
      <c r="E220" s="218">
        <v>24000</v>
      </c>
      <c r="F220" s="218" t="s">
        <v>615</v>
      </c>
      <c r="G220" s="218" t="s">
        <v>616</v>
      </c>
      <c r="H220" s="218" t="s">
        <v>617</v>
      </c>
      <c r="I220" s="218">
        <v>480</v>
      </c>
      <c r="J220" s="218" t="s">
        <v>618</v>
      </c>
      <c r="K220" s="218" t="s">
        <v>619</v>
      </c>
      <c r="L220" s="218" t="s">
        <v>620</v>
      </c>
      <c r="M220" s="218" t="s">
        <v>621</v>
      </c>
      <c r="N220" s="218">
        <v>4.41</v>
      </c>
      <c r="O220" s="220">
        <v>15</v>
      </c>
    </row>
    <row r="221" spans="2:15">
      <c r="B221" s="219">
        <v>30</v>
      </c>
      <c r="C221" s="218">
        <v>9</v>
      </c>
      <c r="D221" s="218">
        <v>240000</v>
      </c>
      <c r="E221" s="218">
        <v>24000</v>
      </c>
      <c r="F221" s="218" t="s">
        <v>615</v>
      </c>
      <c r="G221" s="218" t="s">
        <v>616</v>
      </c>
      <c r="H221" s="218" t="s">
        <v>617</v>
      </c>
      <c r="I221" s="218">
        <v>480</v>
      </c>
      <c r="J221" s="218" t="s">
        <v>618</v>
      </c>
      <c r="K221" s="218" t="s">
        <v>619</v>
      </c>
      <c r="L221" s="218" t="s">
        <v>620</v>
      </c>
      <c r="M221" s="218" t="s">
        <v>621</v>
      </c>
      <c r="N221" s="218">
        <v>4.47</v>
      </c>
      <c r="O221" s="220">
        <v>15</v>
      </c>
    </row>
    <row r="222" spans="2:15">
      <c r="B222" s="221">
        <v>30</v>
      </c>
      <c r="C222" s="222">
        <v>10</v>
      </c>
      <c r="D222" s="222">
        <v>240000</v>
      </c>
      <c r="E222" s="222">
        <v>24000</v>
      </c>
      <c r="F222" s="222" t="s">
        <v>615</v>
      </c>
      <c r="G222" s="222" t="s">
        <v>616</v>
      </c>
      <c r="H222" s="222" t="s">
        <v>617</v>
      </c>
      <c r="I222" s="222">
        <v>480</v>
      </c>
      <c r="J222" s="222" t="s">
        <v>618</v>
      </c>
      <c r="K222" s="222" t="s">
        <v>619</v>
      </c>
      <c r="L222" s="222" t="s">
        <v>620</v>
      </c>
      <c r="M222" s="222" t="s">
        <v>621</v>
      </c>
      <c r="N222" s="222">
        <v>4.53</v>
      </c>
      <c r="O222" s="223">
        <v>15</v>
      </c>
    </row>
    <row r="223" spans="2:15"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</row>
    <row r="224" spans="2:15"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</row>
    <row r="225" spans="2:15"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</row>
    <row r="226" spans="2:15"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</row>
    <row r="227" spans="2:15" ht="30">
      <c r="B227" s="227" t="s">
        <v>622</v>
      </c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</row>
    <row r="228" spans="2:15">
      <c r="B228" s="224" t="s">
        <v>576</v>
      </c>
      <c r="C228" s="225" t="s">
        <v>577</v>
      </c>
      <c r="D228" s="225" t="s">
        <v>578</v>
      </c>
      <c r="E228" s="225" t="s">
        <v>579</v>
      </c>
      <c r="F228" s="225" t="s">
        <v>580</v>
      </c>
      <c r="G228" s="225" t="s">
        <v>581</v>
      </c>
      <c r="H228" s="225" t="s">
        <v>582</v>
      </c>
      <c r="I228" s="225" t="s">
        <v>583</v>
      </c>
      <c r="J228" s="225" t="s">
        <v>584</v>
      </c>
      <c r="K228" s="225" t="s">
        <v>591</v>
      </c>
      <c r="L228" s="225" t="s">
        <v>586</v>
      </c>
      <c r="M228" s="225" t="s">
        <v>587</v>
      </c>
      <c r="N228" s="225" t="s">
        <v>588</v>
      </c>
      <c r="O228" s="226" t="s">
        <v>589</v>
      </c>
    </row>
    <row r="229" spans="2:15">
      <c r="B229" s="219">
        <v>60</v>
      </c>
      <c r="C229" s="218">
        <v>1</v>
      </c>
      <c r="D229" s="218">
        <v>480000</v>
      </c>
      <c r="E229" s="218">
        <v>48000</v>
      </c>
      <c r="F229" s="218" t="s">
        <v>623</v>
      </c>
      <c r="G229" s="218" t="s">
        <v>624</v>
      </c>
      <c r="H229" s="218" t="s">
        <v>625</v>
      </c>
      <c r="I229" s="218">
        <v>960</v>
      </c>
      <c r="J229" s="218" t="s">
        <v>626</v>
      </c>
      <c r="K229" s="218" t="s">
        <v>618</v>
      </c>
      <c r="L229" s="218" t="s">
        <v>627</v>
      </c>
      <c r="M229" s="218" t="s">
        <v>628</v>
      </c>
      <c r="N229" s="218">
        <v>3.79</v>
      </c>
      <c r="O229" s="220">
        <v>30</v>
      </c>
    </row>
    <row r="230" spans="2:15">
      <c r="B230" s="219">
        <v>60</v>
      </c>
      <c r="C230" s="218">
        <v>2</v>
      </c>
      <c r="D230" s="218">
        <v>480000</v>
      </c>
      <c r="E230" s="218">
        <v>48000</v>
      </c>
      <c r="F230" s="218" t="s">
        <v>623</v>
      </c>
      <c r="G230" s="218" t="s">
        <v>624</v>
      </c>
      <c r="H230" s="218" t="s">
        <v>625</v>
      </c>
      <c r="I230" s="218">
        <v>960</v>
      </c>
      <c r="J230" s="218" t="s">
        <v>626</v>
      </c>
      <c r="K230" s="218" t="s">
        <v>618</v>
      </c>
      <c r="L230" s="218" t="s">
        <v>627</v>
      </c>
      <c r="M230" s="218" t="s">
        <v>628</v>
      </c>
      <c r="N230" s="218">
        <v>3.84</v>
      </c>
      <c r="O230" s="220">
        <v>30</v>
      </c>
    </row>
    <row r="231" spans="2:15">
      <c r="B231" s="219">
        <v>60</v>
      </c>
      <c r="C231" s="218">
        <v>3</v>
      </c>
      <c r="D231" s="218">
        <v>480000</v>
      </c>
      <c r="E231" s="218">
        <v>48000</v>
      </c>
      <c r="F231" s="218" t="s">
        <v>623</v>
      </c>
      <c r="G231" s="218" t="s">
        <v>624</v>
      </c>
      <c r="H231" s="218" t="s">
        <v>625</v>
      </c>
      <c r="I231" s="218">
        <v>960</v>
      </c>
      <c r="J231" s="218" t="s">
        <v>626</v>
      </c>
      <c r="K231" s="218" t="s">
        <v>618</v>
      </c>
      <c r="L231" s="218" t="s">
        <v>627</v>
      </c>
      <c r="M231" s="218" t="s">
        <v>628</v>
      </c>
      <c r="N231" s="218">
        <v>3.9</v>
      </c>
      <c r="O231" s="220">
        <v>30</v>
      </c>
    </row>
    <row r="232" spans="2:15">
      <c r="B232" s="219">
        <v>60</v>
      </c>
      <c r="C232" s="218">
        <v>4</v>
      </c>
      <c r="D232" s="218">
        <v>480000</v>
      </c>
      <c r="E232" s="218">
        <v>48000</v>
      </c>
      <c r="F232" s="218" t="s">
        <v>623</v>
      </c>
      <c r="G232" s="218" t="s">
        <v>624</v>
      </c>
      <c r="H232" s="218" t="s">
        <v>625</v>
      </c>
      <c r="I232" s="218">
        <v>960</v>
      </c>
      <c r="J232" s="218" t="s">
        <v>626</v>
      </c>
      <c r="K232" s="218" t="s">
        <v>618</v>
      </c>
      <c r="L232" s="218" t="s">
        <v>627</v>
      </c>
      <c r="M232" s="218" t="s">
        <v>628</v>
      </c>
      <c r="N232" s="218">
        <v>3.95</v>
      </c>
      <c r="O232" s="220">
        <v>30</v>
      </c>
    </row>
    <row r="233" spans="2:15">
      <c r="B233" s="219">
        <v>60</v>
      </c>
      <c r="C233" s="218">
        <v>5</v>
      </c>
      <c r="D233" s="218">
        <v>480000</v>
      </c>
      <c r="E233" s="218">
        <v>48000</v>
      </c>
      <c r="F233" s="218" t="s">
        <v>623</v>
      </c>
      <c r="G233" s="218" t="s">
        <v>624</v>
      </c>
      <c r="H233" s="218" t="s">
        <v>625</v>
      </c>
      <c r="I233" s="218">
        <v>960</v>
      </c>
      <c r="J233" s="218" t="s">
        <v>626</v>
      </c>
      <c r="K233" s="218" t="s">
        <v>618</v>
      </c>
      <c r="L233" s="218" t="s">
        <v>627</v>
      </c>
      <c r="M233" s="218" t="s">
        <v>628</v>
      </c>
      <c r="N233" s="218">
        <v>4.01</v>
      </c>
      <c r="O233" s="220">
        <v>30</v>
      </c>
    </row>
    <row r="234" spans="2:15">
      <c r="B234" s="219">
        <v>60</v>
      </c>
      <c r="C234" s="218">
        <v>6</v>
      </c>
      <c r="D234" s="218">
        <v>480000</v>
      </c>
      <c r="E234" s="218">
        <v>48000</v>
      </c>
      <c r="F234" s="218" t="s">
        <v>623</v>
      </c>
      <c r="G234" s="218" t="s">
        <v>624</v>
      </c>
      <c r="H234" s="218" t="s">
        <v>625</v>
      </c>
      <c r="I234" s="218">
        <v>960</v>
      </c>
      <c r="J234" s="218" t="s">
        <v>626</v>
      </c>
      <c r="K234" s="218" t="s">
        <v>618</v>
      </c>
      <c r="L234" s="218" t="s">
        <v>627</v>
      </c>
      <c r="M234" s="218" t="s">
        <v>628</v>
      </c>
      <c r="N234" s="218">
        <v>4.0599999999999996</v>
      </c>
      <c r="O234" s="220">
        <v>30</v>
      </c>
    </row>
    <row r="235" spans="2:15">
      <c r="B235" s="219">
        <v>60</v>
      </c>
      <c r="C235" s="218">
        <v>7</v>
      </c>
      <c r="D235" s="218">
        <v>480000</v>
      </c>
      <c r="E235" s="218">
        <v>48000</v>
      </c>
      <c r="F235" s="218" t="s">
        <v>623</v>
      </c>
      <c r="G235" s="218" t="s">
        <v>624</v>
      </c>
      <c r="H235" s="218" t="s">
        <v>625</v>
      </c>
      <c r="I235" s="218">
        <v>960</v>
      </c>
      <c r="J235" s="218" t="s">
        <v>626</v>
      </c>
      <c r="K235" s="218" t="s">
        <v>618</v>
      </c>
      <c r="L235" s="218" t="s">
        <v>627</v>
      </c>
      <c r="M235" s="218" t="s">
        <v>628</v>
      </c>
      <c r="N235" s="218">
        <v>4.12</v>
      </c>
      <c r="O235" s="220">
        <v>30</v>
      </c>
    </row>
    <row r="236" spans="2:15">
      <c r="B236" s="219">
        <v>60</v>
      </c>
      <c r="C236" s="218">
        <v>8</v>
      </c>
      <c r="D236" s="218">
        <v>480000</v>
      </c>
      <c r="E236" s="218">
        <v>48000</v>
      </c>
      <c r="F236" s="218" t="s">
        <v>623</v>
      </c>
      <c r="G236" s="218" t="s">
        <v>624</v>
      </c>
      <c r="H236" s="218" t="s">
        <v>625</v>
      </c>
      <c r="I236" s="218">
        <v>960</v>
      </c>
      <c r="J236" s="218" t="s">
        <v>626</v>
      </c>
      <c r="K236" s="218" t="s">
        <v>618</v>
      </c>
      <c r="L236" s="218" t="s">
        <v>627</v>
      </c>
      <c r="M236" s="218" t="s">
        <v>628</v>
      </c>
      <c r="N236" s="218">
        <v>4.17</v>
      </c>
      <c r="O236" s="220">
        <v>30</v>
      </c>
    </row>
    <row r="237" spans="2:15">
      <c r="B237" s="219">
        <v>60</v>
      </c>
      <c r="C237" s="218">
        <v>9</v>
      </c>
      <c r="D237" s="218">
        <v>480000</v>
      </c>
      <c r="E237" s="218">
        <v>48000</v>
      </c>
      <c r="F237" s="218" t="s">
        <v>623</v>
      </c>
      <c r="G237" s="218" t="s">
        <v>624</v>
      </c>
      <c r="H237" s="218" t="s">
        <v>625</v>
      </c>
      <c r="I237" s="218">
        <v>960</v>
      </c>
      <c r="J237" s="218" t="s">
        <v>626</v>
      </c>
      <c r="K237" s="218" t="s">
        <v>618</v>
      </c>
      <c r="L237" s="218" t="s">
        <v>627</v>
      </c>
      <c r="M237" s="218" t="s">
        <v>628</v>
      </c>
      <c r="N237" s="218">
        <v>4.2300000000000004</v>
      </c>
      <c r="O237" s="220">
        <v>30</v>
      </c>
    </row>
    <row r="238" spans="2:15">
      <c r="B238" s="221">
        <v>60</v>
      </c>
      <c r="C238" s="222">
        <v>10</v>
      </c>
      <c r="D238" s="222">
        <v>480000</v>
      </c>
      <c r="E238" s="222">
        <v>48000</v>
      </c>
      <c r="F238" s="222" t="s">
        <v>623</v>
      </c>
      <c r="G238" s="222" t="s">
        <v>624</v>
      </c>
      <c r="H238" s="222" t="s">
        <v>625</v>
      </c>
      <c r="I238" s="222">
        <v>960</v>
      </c>
      <c r="J238" s="222" t="s">
        <v>626</v>
      </c>
      <c r="K238" s="222" t="s">
        <v>618</v>
      </c>
      <c r="L238" s="222" t="s">
        <v>627</v>
      </c>
      <c r="M238" s="222" t="s">
        <v>628</v>
      </c>
      <c r="N238" s="222">
        <v>4.29</v>
      </c>
      <c r="O238" s="223">
        <v>30</v>
      </c>
    </row>
  </sheetData>
  <mergeCells count="18">
    <mergeCell ref="B41:O43"/>
    <mergeCell ref="B150:O152"/>
    <mergeCell ref="L16:L17"/>
    <mergeCell ref="P16:P31"/>
    <mergeCell ref="L18:L22"/>
    <mergeCell ref="L23:L27"/>
    <mergeCell ref="L28:L31"/>
    <mergeCell ref="B32:J32"/>
    <mergeCell ref="A1:Z1"/>
    <mergeCell ref="B8:C9"/>
    <mergeCell ref="D8:D9"/>
    <mergeCell ref="B10:C10"/>
    <mergeCell ref="L12:P13"/>
    <mergeCell ref="B14:F14"/>
    <mergeCell ref="L14:L15"/>
    <mergeCell ref="M14:M15"/>
    <mergeCell ref="N14:O14"/>
    <mergeCell ref="P14:P15"/>
  </mergeCells>
  <hyperlinks>
    <hyperlink ref="P16:P31" r:id="rId1" display="BOBO-DIOULASSO AND ORODARA AREAS  ASSESSMENT (BURKINA FASO)" xr:uid="{33E91CFE-8A6C-482D-907C-E58743705872}"/>
    <hyperlink ref="F18" r:id="rId2" xr:uid="{71B6E00F-AA36-415D-A247-D9B8D4AECE23}"/>
    <hyperlink ref="F17" r:id="rId3" xr:uid="{8F4CA34B-6EE6-4303-9858-3FC9AD219FC5}"/>
    <hyperlink ref="F20" r:id="rId4" xr:uid="{98C275BD-8771-4586-8E12-AB3F8CDBBC88}"/>
    <hyperlink ref="F16" r:id="rId5" location="read" xr:uid="{F71538CC-07A7-4AFE-A3E3-30BBF039A662}"/>
    <hyperlink ref="F21" r:id="rId6" xr:uid="{702C7CCF-D18F-4ACF-8C4F-DC64BA56841F}"/>
    <hyperlink ref="F22" r:id="rId7" xr:uid="{B6808001-E91B-401B-BAEE-F9727568EC94}"/>
    <hyperlink ref="F25" r:id="rId8" xr:uid="{41DB91ED-F7E4-40C4-B688-2D7B2E37720C}"/>
    <hyperlink ref="F26" r:id="rId9" xr:uid="{3D0CBB16-8A62-407A-903D-8610ABFEAD2F}"/>
    <hyperlink ref="F27:F28" r:id="rId10" display="Link - pseau.org" xr:uid="{A4923148-16F6-4DF8-B6D5-F170A73D0037}"/>
  </hyperlinks>
  <pageMargins left="0.7" right="0.7" top="0.75" bottom="0.75" header="0.3" footer="0.3"/>
  <legacyDrawing r:id="rId11"/>
  <tableParts count="12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D1EB9-DCF8-4E0D-A2D2-EFBE00CED3CD}">
  <dimension ref="B4:G6"/>
  <sheetViews>
    <sheetView workbookViewId="0">
      <selection activeCell="D6" sqref="D6"/>
    </sheetView>
  </sheetViews>
  <sheetFormatPr defaultRowHeight="15"/>
  <cols>
    <col min="2" max="2" width="21.28515625" customWidth="1"/>
    <col min="3" max="3" width="22.28515625" customWidth="1"/>
    <col min="4" max="4" width="24.28515625" customWidth="1"/>
    <col min="5" max="5" width="26.42578125" customWidth="1"/>
    <col min="6" max="6" width="31" customWidth="1"/>
    <col min="7" max="7" width="23.28515625" bestFit="1" customWidth="1"/>
  </cols>
  <sheetData>
    <row r="4" spans="2:7">
      <c r="B4" s="28" t="s">
        <v>629</v>
      </c>
      <c r="C4" s="29" t="s">
        <v>630</v>
      </c>
      <c r="D4" s="29" t="s">
        <v>631</v>
      </c>
      <c r="E4" s="29" t="s">
        <v>632</v>
      </c>
      <c r="F4" s="29" t="s">
        <v>633</v>
      </c>
      <c r="G4" s="33" t="s">
        <v>634</v>
      </c>
    </row>
    <row r="5" spans="2:7" ht="14.25">
      <c r="B5" s="30" t="s">
        <v>635</v>
      </c>
      <c r="C5" s="31">
        <v>37</v>
      </c>
      <c r="D5" s="31">
        <v>7.5</v>
      </c>
      <c r="E5" s="31">
        <v>19</v>
      </c>
      <c r="F5" s="31">
        <v>52</v>
      </c>
      <c r="G5" s="31">
        <v>6.3</v>
      </c>
    </row>
    <row r="6" spans="2:7">
      <c r="D6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5F9DD-CC96-4F39-ACC3-FD9DE8D7D975}">
  <dimension ref="B1:L25"/>
  <sheetViews>
    <sheetView workbookViewId="0">
      <selection activeCell="D734" sqref="D734"/>
    </sheetView>
  </sheetViews>
  <sheetFormatPr defaultRowHeight="15"/>
  <cols>
    <col min="2" max="2" width="17.5703125" customWidth="1"/>
    <col min="3" max="3" width="18.28515625" customWidth="1"/>
    <col min="4" max="4" width="40.28515625" customWidth="1"/>
    <col min="6" max="6" width="16.42578125" customWidth="1"/>
    <col min="7" max="7" width="20.7109375" customWidth="1"/>
    <col min="8" max="8" width="39" customWidth="1"/>
    <col min="10" max="10" width="20.42578125" customWidth="1"/>
    <col min="11" max="11" width="16.28515625" customWidth="1"/>
    <col min="12" max="12" width="41" customWidth="1"/>
  </cols>
  <sheetData>
    <row r="1" spans="2:12">
      <c r="C1" s="258" t="s">
        <v>636</v>
      </c>
      <c r="G1" s="258"/>
      <c r="K1" s="258"/>
    </row>
    <row r="3" spans="2:12">
      <c r="B3" s="28" t="s">
        <v>637</v>
      </c>
      <c r="C3" s="29" t="s">
        <v>190</v>
      </c>
      <c r="D3" s="29" t="s">
        <v>638</v>
      </c>
      <c r="F3" s="34"/>
      <c r="G3" s="34"/>
      <c r="H3" s="34"/>
      <c r="J3" s="34"/>
      <c r="K3" s="34"/>
      <c r="L3" s="34"/>
    </row>
    <row r="4" spans="2:12">
      <c r="B4" s="30" t="s">
        <v>639</v>
      </c>
      <c r="C4" s="37">
        <v>1.5</v>
      </c>
      <c r="D4" s="37" t="s">
        <v>640</v>
      </c>
      <c r="F4" s="34"/>
      <c r="G4" s="34"/>
      <c r="H4" s="34"/>
      <c r="J4" s="34"/>
      <c r="K4" s="34"/>
      <c r="L4" s="34"/>
    </row>
    <row r="5" spans="2:12">
      <c r="B5" s="30" t="s">
        <v>641</v>
      </c>
      <c r="C5" s="37">
        <v>4</v>
      </c>
      <c r="D5" s="37" t="s">
        <v>642</v>
      </c>
      <c r="F5" s="34"/>
      <c r="G5" s="34"/>
      <c r="H5" s="34"/>
      <c r="J5" s="34"/>
      <c r="K5" s="34"/>
      <c r="L5" s="34"/>
    </row>
    <row r="6" spans="2:12">
      <c r="B6" s="30" t="s">
        <v>643</v>
      </c>
      <c r="C6" s="37">
        <v>2</v>
      </c>
      <c r="D6" s="37" t="s">
        <v>640</v>
      </c>
      <c r="F6" s="34"/>
      <c r="G6" s="34"/>
      <c r="H6" s="34"/>
      <c r="J6" s="34"/>
      <c r="K6" s="34"/>
      <c r="L6" s="34"/>
    </row>
    <row r="7" spans="2:12">
      <c r="B7" s="30" t="s">
        <v>644</v>
      </c>
      <c r="C7" s="37">
        <v>4</v>
      </c>
      <c r="D7" s="37" t="s">
        <v>642</v>
      </c>
      <c r="F7" s="34"/>
      <c r="G7" s="34"/>
      <c r="H7" s="34"/>
      <c r="J7" s="34"/>
      <c r="K7" s="34"/>
      <c r="L7" s="34"/>
    </row>
    <row r="8" spans="2:12">
      <c r="B8" s="30" t="s">
        <v>645</v>
      </c>
      <c r="C8" s="37">
        <v>3</v>
      </c>
      <c r="D8" s="37" t="s">
        <v>640</v>
      </c>
      <c r="F8" s="34"/>
      <c r="G8" s="34"/>
      <c r="H8" s="34"/>
      <c r="J8" s="34"/>
      <c r="K8" s="34"/>
      <c r="L8" s="34"/>
    </row>
    <row r="9" spans="2:12">
      <c r="B9" s="30" t="s">
        <v>646</v>
      </c>
      <c r="C9" s="37">
        <v>5</v>
      </c>
      <c r="D9" s="37" t="s">
        <v>642</v>
      </c>
      <c r="F9" s="34"/>
      <c r="G9" s="34"/>
      <c r="H9" s="34"/>
      <c r="J9" s="34"/>
      <c r="K9" s="34"/>
      <c r="L9" s="34"/>
    </row>
    <row r="10" spans="2:12">
      <c r="B10" s="30" t="s">
        <v>647</v>
      </c>
      <c r="C10" s="37">
        <f>C4*C5+C5*C7+C8*C9</f>
        <v>37</v>
      </c>
      <c r="D10" s="37" t="s">
        <v>648</v>
      </c>
      <c r="F10" s="34"/>
      <c r="G10" s="34"/>
      <c r="H10" s="34"/>
      <c r="J10" s="34"/>
      <c r="K10" s="34"/>
      <c r="L10" s="34"/>
    </row>
    <row r="11" spans="2:12">
      <c r="B11" s="32" t="s">
        <v>649</v>
      </c>
      <c r="C11" s="38" t="s">
        <v>649</v>
      </c>
      <c r="D11" s="38" t="s">
        <v>649</v>
      </c>
      <c r="F11" s="35"/>
      <c r="G11" s="35"/>
      <c r="H11" s="35"/>
      <c r="J11" s="35"/>
      <c r="K11" s="35"/>
      <c r="L11" s="35"/>
    </row>
    <row r="12" spans="2:12">
      <c r="B12" s="30" t="s">
        <v>650</v>
      </c>
      <c r="C12" s="37">
        <v>5.5</v>
      </c>
      <c r="D12" s="37" t="s">
        <v>642</v>
      </c>
      <c r="F12" s="34"/>
      <c r="G12" s="34"/>
      <c r="H12" s="34"/>
      <c r="J12" s="34"/>
      <c r="K12" s="34"/>
      <c r="L12" s="34"/>
    </row>
    <row r="13" spans="2:12">
      <c r="B13" s="30" t="s">
        <v>651</v>
      </c>
      <c r="C13" s="39">
        <v>0.2</v>
      </c>
      <c r="D13" s="37" t="s">
        <v>652</v>
      </c>
      <c r="F13" s="34"/>
      <c r="G13" s="36"/>
      <c r="H13" s="34"/>
      <c r="J13" s="34"/>
      <c r="K13" s="36"/>
      <c r="L13" s="34"/>
    </row>
    <row r="14" spans="2:12">
      <c r="B14" s="30" t="s">
        <v>653</v>
      </c>
      <c r="C14" s="37">
        <v>6.6</v>
      </c>
      <c r="D14" s="37" t="s">
        <v>654</v>
      </c>
      <c r="F14" s="34"/>
      <c r="G14" s="34"/>
      <c r="H14" s="34"/>
      <c r="J14" s="34"/>
      <c r="K14" s="34"/>
      <c r="L14" s="34"/>
    </row>
    <row r="15" spans="2:12">
      <c r="B15" s="30" t="s">
        <v>655</v>
      </c>
      <c r="C15" s="37">
        <v>0.75</v>
      </c>
      <c r="D15" s="37" t="s">
        <v>652</v>
      </c>
      <c r="F15" s="34"/>
      <c r="G15" s="34"/>
      <c r="H15" s="34"/>
      <c r="J15" s="34"/>
      <c r="K15" s="34"/>
      <c r="L15" s="34"/>
    </row>
    <row r="16" spans="2:12">
      <c r="B16" s="30" t="s">
        <v>656</v>
      </c>
      <c r="C16" s="37">
        <f>C10/(C14*C15)</f>
        <v>7.4747474747474758</v>
      </c>
      <c r="D16" s="37" t="s">
        <v>657</v>
      </c>
      <c r="F16" s="34"/>
      <c r="G16" s="34"/>
      <c r="H16" s="34"/>
      <c r="J16" s="34"/>
      <c r="K16" s="34"/>
      <c r="L16" s="34"/>
    </row>
    <row r="17" spans="2:12">
      <c r="B17" s="30" t="s">
        <v>658</v>
      </c>
      <c r="C17" s="37">
        <v>400</v>
      </c>
      <c r="D17" s="37" t="s">
        <v>659</v>
      </c>
      <c r="F17" s="34"/>
      <c r="G17" s="34"/>
      <c r="H17" s="34"/>
      <c r="J17" s="34"/>
      <c r="K17" s="34"/>
      <c r="L17" s="34"/>
    </row>
    <row r="18" spans="2:12">
      <c r="B18" s="30" t="s">
        <v>660</v>
      </c>
      <c r="C18" s="37">
        <f>(C16*1000)/400</f>
        <v>18.686868686868692</v>
      </c>
      <c r="D18" s="37" t="s">
        <v>661</v>
      </c>
      <c r="F18" s="34"/>
      <c r="G18" s="34"/>
      <c r="H18" s="34"/>
      <c r="J18" s="34"/>
      <c r="K18" s="34"/>
      <c r="L18" s="34"/>
    </row>
    <row r="19" spans="2:12">
      <c r="B19" s="32" t="s">
        <v>649</v>
      </c>
      <c r="C19" s="38" t="s">
        <v>649</v>
      </c>
      <c r="D19" s="38" t="s">
        <v>649</v>
      </c>
      <c r="F19" s="35"/>
      <c r="G19" s="35"/>
      <c r="H19" s="35"/>
      <c r="J19" s="35"/>
      <c r="K19" s="35"/>
      <c r="L19" s="35"/>
    </row>
    <row r="20" spans="2:12">
      <c r="B20" s="30" t="s">
        <v>662</v>
      </c>
      <c r="C20" s="37">
        <v>0.9</v>
      </c>
      <c r="D20" s="37"/>
      <c r="F20" s="34"/>
      <c r="G20" s="34"/>
      <c r="H20" s="34"/>
      <c r="J20" s="34"/>
      <c r="K20" s="34"/>
      <c r="L20" s="34"/>
    </row>
    <row r="21" spans="2:12">
      <c r="B21" s="30" t="s">
        <v>663</v>
      </c>
      <c r="C21" s="37">
        <v>0.8</v>
      </c>
      <c r="D21" s="37"/>
      <c r="F21" s="34"/>
      <c r="G21" s="34"/>
      <c r="H21" s="34"/>
      <c r="J21" s="34"/>
      <c r="K21" s="34"/>
      <c r="L21" s="34"/>
    </row>
    <row r="22" spans="2:12" ht="24.75">
      <c r="B22" s="30" t="s">
        <v>664</v>
      </c>
      <c r="C22" s="37">
        <f>C10/(C20*C21)</f>
        <v>51.388888888888886</v>
      </c>
      <c r="D22" s="37" t="s">
        <v>648</v>
      </c>
      <c r="F22" s="34"/>
      <c r="G22" s="34"/>
      <c r="H22" s="34"/>
      <c r="J22" s="34"/>
      <c r="K22" s="34"/>
      <c r="L22" s="34"/>
    </row>
    <row r="23" spans="2:12">
      <c r="B23" s="32" t="s">
        <v>649</v>
      </c>
      <c r="C23" s="38" t="s">
        <v>649</v>
      </c>
      <c r="D23" s="38" t="s">
        <v>649</v>
      </c>
      <c r="F23" s="35"/>
      <c r="G23" s="35"/>
      <c r="H23" s="35"/>
      <c r="J23" s="35"/>
      <c r="K23" s="35"/>
      <c r="L23" s="35"/>
    </row>
    <row r="24" spans="2:12">
      <c r="B24" s="30" t="s">
        <v>665</v>
      </c>
      <c r="C24" s="37">
        <v>6.5</v>
      </c>
      <c r="D24" s="37" t="s">
        <v>640</v>
      </c>
      <c r="F24" s="34"/>
      <c r="G24" s="34"/>
      <c r="H24" s="34"/>
      <c r="J24" s="34"/>
      <c r="K24" s="34"/>
      <c r="L24" s="34"/>
    </row>
    <row r="25" spans="2:12">
      <c r="B25" t="s">
        <v>666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53FAB-D4DF-4407-AE90-24D8E540EE36}">
  <dimension ref="A1:I48"/>
  <sheetViews>
    <sheetView topLeftCell="A34" workbookViewId="0">
      <selection activeCell="C26" sqref="C26:D27"/>
    </sheetView>
  </sheetViews>
  <sheetFormatPr defaultRowHeight="15"/>
  <cols>
    <col min="1" max="1" width="19.85546875" bestFit="1" customWidth="1"/>
    <col min="2" max="2" width="34.42578125" bestFit="1" customWidth="1"/>
    <col min="3" max="3" width="58.140625" customWidth="1"/>
    <col min="4" max="4" width="32.85546875" customWidth="1"/>
    <col min="5" max="5" width="21.7109375" customWidth="1"/>
    <col min="6" max="6" width="10.85546875" bestFit="1" customWidth="1"/>
  </cols>
  <sheetData>
    <row r="1" spans="1:5">
      <c r="A1" s="53"/>
      <c r="B1" s="53"/>
      <c r="C1" s="53"/>
      <c r="D1" s="53"/>
    </row>
    <row r="2" spans="1:5">
      <c r="A2" s="51"/>
      <c r="B2" s="51"/>
      <c r="C2" s="51"/>
      <c r="D2" s="52"/>
    </row>
    <row r="3" spans="1:5">
      <c r="A3" s="51"/>
      <c r="B3" s="51"/>
      <c r="C3" s="51"/>
      <c r="D3" s="52"/>
    </row>
    <row r="4" spans="1:5">
      <c r="A4" s="51"/>
      <c r="B4" s="51"/>
      <c r="C4" s="51"/>
      <c r="D4" s="52"/>
    </row>
    <row r="5" spans="1:5">
      <c r="A5" s="51"/>
      <c r="B5" s="51"/>
      <c r="C5" s="51"/>
      <c r="D5" s="52"/>
    </row>
    <row r="6" spans="1:5">
      <c r="A6" s="51"/>
      <c r="B6" s="51"/>
      <c r="C6" s="51"/>
      <c r="D6" s="52"/>
    </row>
    <row r="9" spans="1:5">
      <c r="B9" s="54"/>
      <c r="C9" s="54"/>
    </row>
    <row r="10" spans="1:5">
      <c r="B10" s="54"/>
      <c r="C10" s="54"/>
    </row>
    <row r="14" spans="1:5" ht="18.75">
      <c r="C14" s="241" t="s">
        <v>667</v>
      </c>
      <c r="D14" s="241"/>
      <c r="E14" s="241"/>
    </row>
    <row r="17" spans="2:9">
      <c r="B17" s="184" t="s">
        <v>668</v>
      </c>
      <c r="C17" s="184" t="s">
        <v>669</v>
      </c>
      <c r="D17" s="184" t="s">
        <v>670</v>
      </c>
      <c r="E17" s="184" t="s">
        <v>671</v>
      </c>
      <c r="F17" s="184" t="s">
        <v>672</v>
      </c>
    </row>
    <row r="18" spans="2:9">
      <c r="B18" s="179" t="s">
        <v>673</v>
      </c>
      <c r="C18" s="180">
        <v>80</v>
      </c>
      <c r="D18" s="180">
        <v>160</v>
      </c>
      <c r="E18" s="180">
        <v>80</v>
      </c>
      <c r="F18" s="181">
        <v>1</v>
      </c>
    </row>
    <row r="19" spans="2:9">
      <c r="B19" s="179" t="s">
        <v>674</v>
      </c>
      <c r="C19" s="180" t="s">
        <v>675</v>
      </c>
      <c r="D19" s="180" t="s">
        <v>676</v>
      </c>
      <c r="E19" s="182" t="s">
        <v>677</v>
      </c>
      <c r="F19" s="179" t="s">
        <v>678</v>
      </c>
    </row>
    <row r="20" spans="2:9">
      <c r="B20" s="179" t="s">
        <v>679</v>
      </c>
      <c r="C20" s="180" t="s">
        <v>680</v>
      </c>
      <c r="D20" s="180">
        <v>0</v>
      </c>
      <c r="E20" s="182" t="s">
        <v>681</v>
      </c>
      <c r="F20" s="181">
        <v>1</v>
      </c>
    </row>
    <row r="21" spans="2:9">
      <c r="B21" s="179" t="s">
        <v>682</v>
      </c>
      <c r="C21" s="183">
        <v>0.55000000000000004</v>
      </c>
      <c r="D21" s="183">
        <v>0.85</v>
      </c>
      <c r="E21" s="183">
        <v>0.3</v>
      </c>
      <c r="F21" s="179" t="s">
        <v>683</v>
      </c>
    </row>
    <row r="22" spans="2:9">
      <c r="B22" s="179" t="s">
        <v>684</v>
      </c>
      <c r="C22" s="183">
        <v>0.6</v>
      </c>
      <c r="D22" s="183">
        <v>0.92</v>
      </c>
      <c r="E22" s="183">
        <v>0.32</v>
      </c>
      <c r="F22" s="179" t="s">
        <v>685</v>
      </c>
    </row>
    <row r="23" spans="2:9">
      <c r="B23" s="179" t="s">
        <v>686</v>
      </c>
      <c r="C23" s="180">
        <v>5</v>
      </c>
      <c r="D23" s="180">
        <v>9</v>
      </c>
      <c r="E23" s="180">
        <v>4</v>
      </c>
      <c r="F23" s="181">
        <v>0.8</v>
      </c>
    </row>
    <row r="26" spans="2:9">
      <c r="C26" s="360" t="s">
        <v>687</v>
      </c>
      <c r="D26" s="361"/>
    </row>
    <row r="27" spans="2:9">
      <c r="C27" s="361"/>
      <c r="D27" s="361"/>
    </row>
    <row r="29" spans="2:9">
      <c r="B29" s="385" t="s">
        <v>688</v>
      </c>
      <c r="C29" s="385" t="s">
        <v>689</v>
      </c>
      <c r="D29" s="388" t="s">
        <v>690</v>
      </c>
      <c r="E29" s="390" t="s">
        <v>691</v>
      </c>
      <c r="F29" s="390"/>
      <c r="G29" s="391"/>
      <c r="H29" s="390" t="s">
        <v>692</v>
      </c>
      <c r="I29" s="391"/>
    </row>
    <row r="30" spans="2:9">
      <c r="B30" s="386"/>
      <c r="C30" s="387"/>
      <c r="D30" s="389"/>
      <c r="E30" s="392"/>
      <c r="F30" s="392"/>
      <c r="G30" s="393"/>
      <c r="H30" s="392"/>
      <c r="I30" s="393"/>
    </row>
    <row r="31" spans="2:9">
      <c r="B31" s="235" t="s">
        <v>693</v>
      </c>
      <c r="C31" s="236" t="s">
        <v>694</v>
      </c>
      <c r="D31" s="383" t="s">
        <v>695</v>
      </c>
      <c r="E31" s="377" t="s">
        <v>696</v>
      </c>
      <c r="F31" s="378"/>
      <c r="G31" s="379"/>
      <c r="H31" s="384" t="s">
        <v>697</v>
      </c>
      <c r="I31" s="382"/>
    </row>
    <row r="32" spans="2:9">
      <c r="B32" s="235" t="s">
        <v>698</v>
      </c>
      <c r="C32" s="237" t="s">
        <v>699</v>
      </c>
      <c r="D32" s="383"/>
      <c r="E32" s="377"/>
      <c r="F32" s="378"/>
      <c r="G32" s="379"/>
      <c r="H32" s="381" t="s">
        <v>700</v>
      </c>
      <c r="I32" s="382"/>
    </row>
    <row r="33" spans="2:9">
      <c r="B33" s="235" t="s">
        <v>701</v>
      </c>
      <c r="C33" s="237" t="s">
        <v>702</v>
      </c>
      <c r="D33" s="383"/>
      <c r="E33" s="365"/>
      <c r="F33" s="275"/>
      <c r="G33" s="258"/>
      <c r="H33" s="381" t="s">
        <v>703</v>
      </c>
      <c r="I33" s="382"/>
    </row>
    <row r="34" spans="2:9">
      <c r="B34" s="377" t="s">
        <v>704</v>
      </c>
      <c r="C34" s="237" t="s">
        <v>705</v>
      </c>
      <c r="D34" s="376" t="s">
        <v>706</v>
      </c>
      <c r="E34" s="365"/>
      <c r="F34" s="275"/>
      <c r="G34" s="258"/>
      <c r="H34" s="381"/>
      <c r="I34" s="382"/>
    </row>
    <row r="35" spans="2:9">
      <c r="B35" s="377"/>
      <c r="C35" s="237" t="s">
        <v>707</v>
      </c>
      <c r="D35" s="376"/>
      <c r="E35" s="365"/>
      <c r="F35" s="275"/>
      <c r="G35" s="258"/>
      <c r="H35" s="381"/>
      <c r="I35" s="382"/>
    </row>
    <row r="36" spans="2:9" ht="18.75">
      <c r="B36" s="235"/>
      <c r="C36" s="238" t="s">
        <v>708</v>
      </c>
      <c r="D36" s="375" t="s">
        <v>709</v>
      </c>
      <c r="E36" s="369" t="s">
        <v>710</v>
      </c>
      <c r="F36" s="370"/>
      <c r="G36" s="371"/>
      <c r="H36" s="275"/>
      <c r="I36" s="366"/>
    </row>
    <row r="37" spans="2:9">
      <c r="B37" s="235"/>
      <c r="C37" s="236" t="s">
        <v>711</v>
      </c>
      <c r="D37" s="376"/>
      <c r="E37" s="377" t="s">
        <v>712</v>
      </c>
      <c r="F37" s="378"/>
      <c r="G37" s="379"/>
      <c r="H37" s="365"/>
      <c r="I37" s="366"/>
    </row>
    <row r="38" spans="2:9">
      <c r="B38" s="235"/>
      <c r="C38" s="237" t="s">
        <v>713</v>
      </c>
      <c r="D38" s="380"/>
      <c r="E38" s="377"/>
      <c r="F38" s="378"/>
      <c r="G38" s="379"/>
      <c r="H38" s="365"/>
      <c r="I38" s="366"/>
    </row>
    <row r="39" spans="2:9">
      <c r="B39" s="235"/>
      <c r="C39" s="237" t="s">
        <v>714</v>
      </c>
      <c r="D39" s="380"/>
      <c r="E39" s="377" t="s">
        <v>715</v>
      </c>
      <c r="F39" s="378"/>
      <c r="G39" s="379"/>
      <c r="H39" s="365"/>
      <c r="I39" s="366"/>
    </row>
    <row r="40" spans="2:9">
      <c r="B40" s="235"/>
      <c r="C40" s="237" t="s">
        <v>716</v>
      </c>
      <c r="E40" s="377"/>
      <c r="F40" s="378"/>
      <c r="G40" s="379"/>
      <c r="H40" s="365"/>
      <c r="I40" s="366"/>
    </row>
    <row r="41" spans="2:9">
      <c r="B41" s="235"/>
      <c r="C41" s="239"/>
      <c r="E41" s="365"/>
      <c r="F41" s="275"/>
      <c r="G41" s="366"/>
      <c r="H41" s="365"/>
      <c r="I41" s="366"/>
    </row>
    <row r="42" spans="2:9" ht="18.75">
      <c r="B42" s="367" t="s">
        <v>717</v>
      </c>
      <c r="C42" s="368"/>
      <c r="D42" s="369" t="s">
        <v>718</v>
      </c>
      <c r="E42" s="370"/>
      <c r="F42" s="370"/>
      <c r="G42" s="370"/>
      <c r="H42" s="370"/>
      <c r="I42" s="371"/>
    </row>
    <row r="43" spans="2:9">
      <c r="B43" s="372" t="s">
        <v>719</v>
      </c>
      <c r="C43" s="373"/>
      <c r="D43" s="372" t="s">
        <v>720</v>
      </c>
      <c r="E43" s="374"/>
      <c r="F43" s="374"/>
      <c r="G43" s="374"/>
      <c r="H43" s="374"/>
      <c r="I43" s="373"/>
    </row>
    <row r="44" spans="2:9">
      <c r="B44" s="362" t="s">
        <v>721</v>
      </c>
      <c r="C44" s="363"/>
      <c r="D44" s="362" t="s">
        <v>722</v>
      </c>
      <c r="E44" s="364"/>
      <c r="F44" s="364"/>
      <c r="G44" s="364"/>
      <c r="H44" s="364"/>
      <c r="I44" s="363"/>
    </row>
    <row r="45" spans="2:9">
      <c r="B45" s="362" t="s">
        <v>723</v>
      </c>
      <c r="C45" s="363"/>
      <c r="D45" s="362" t="s">
        <v>724</v>
      </c>
      <c r="E45" s="364"/>
      <c r="F45" s="364"/>
      <c r="G45" s="364"/>
      <c r="H45" s="364"/>
      <c r="I45" s="363"/>
    </row>
    <row r="46" spans="2:9">
      <c r="B46" s="362" t="s">
        <v>725</v>
      </c>
      <c r="C46" s="363"/>
      <c r="D46" s="240"/>
      <c r="E46" s="240"/>
      <c r="F46" s="240"/>
      <c r="G46" s="240"/>
      <c r="H46" s="240"/>
      <c r="I46" s="240"/>
    </row>
    <row r="47" spans="2:9">
      <c r="B47" s="365"/>
      <c r="C47" s="366"/>
      <c r="D47" s="365"/>
      <c r="E47" s="275"/>
      <c r="F47" s="275"/>
      <c r="G47" s="275"/>
      <c r="H47" s="275"/>
      <c r="I47" s="366"/>
    </row>
    <row r="48" spans="2:9">
      <c r="B48" s="357"/>
      <c r="C48" s="358"/>
      <c r="D48" s="357"/>
      <c r="E48" s="359"/>
      <c r="F48" s="359"/>
      <c r="G48" s="359"/>
      <c r="H48" s="359"/>
      <c r="I48" s="358"/>
    </row>
  </sheetData>
  <mergeCells count="43">
    <mergeCell ref="B29:B30"/>
    <mergeCell ref="C29:C30"/>
    <mergeCell ref="D29:D30"/>
    <mergeCell ref="E29:G30"/>
    <mergeCell ref="H29:I30"/>
    <mergeCell ref="H33:I33"/>
    <mergeCell ref="B34:B35"/>
    <mergeCell ref="D34:D35"/>
    <mergeCell ref="E34:F34"/>
    <mergeCell ref="H34:I34"/>
    <mergeCell ref="E35:F35"/>
    <mergeCell ref="H35:I35"/>
    <mergeCell ref="D31:D33"/>
    <mergeCell ref="E31:G32"/>
    <mergeCell ref="H31:I31"/>
    <mergeCell ref="H32:I32"/>
    <mergeCell ref="E33:F33"/>
    <mergeCell ref="D36:D37"/>
    <mergeCell ref="E36:G36"/>
    <mergeCell ref="H36:I36"/>
    <mergeCell ref="E37:G38"/>
    <mergeCell ref="H37:I37"/>
    <mergeCell ref="D38:D39"/>
    <mergeCell ref="H38:I38"/>
    <mergeCell ref="E39:G40"/>
    <mergeCell ref="H39:I39"/>
    <mergeCell ref="H40:I40"/>
    <mergeCell ref="B48:C48"/>
    <mergeCell ref="D48:I48"/>
    <mergeCell ref="C26:D27"/>
    <mergeCell ref="B44:C44"/>
    <mergeCell ref="D44:I44"/>
    <mergeCell ref="B45:C45"/>
    <mergeCell ref="D45:I45"/>
    <mergeCell ref="B46:C46"/>
    <mergeCell ref="B47:C47"/>
    <mergeCell ref="D47:I47"/>
    <mergeCell ref="E41:G41"/>
    <mergeCell ref="H41:I41"/>
    <mergeCell ref="B42:C42"/>
    <mergeCell ref="D42:I42"/>
    <mergeCell ref="B43:C43"/>
    <mergeCell ref="D43:I43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08243-7A27-4CF1-A63F-80603506DB4B}">
  <dimension ref="C5:K30"/>
  <sheetViews>
    <sheetView topLeftCell="A10" workbookViewId="0">
      <selection activeCell="F27" sqref="F27"/>
    </sheetView>
  </sheetViews>
  <sheetFormatPr defaultRowHeight="15"/>
  <cols>
    <col min="3" max="3" width="58.28515625" customWidth="1"/>
    <col min="4" max="4" width="30.140625" customWidth="1"/>
    <col min="5" max="5" width="19.42578125" customWidth="1"/>
    <col min="6" max="6" width="23.5703125" customWidth="1"/>
    <col min="10" max="10" width="29.28515625" customWidth="1"/>
    <col min="11" max="11" width="36.5703125" bestFit="1" customWidth="1"/>
  </cols>
  <sheetData>
    <row r="5" spans="3:11">
      <c r="C5" s="19"/>
      <c r="E5" s="20"/>
      <c r="F5" s="20"/>
    </row>
    <row r="6" spans="3:11">
      <c r="C6" s="394" t="s">
        <v>726</v>
      </c>
      <c r="D6" s="395"/>
      <c r="E6" s="395"/>
      <c r="F6" s="395"/>
    </row>
    <row r="7" spans="3:11">
      <c r="C7" s="394" t="s">
        <v>727</v>
      </c>
      <c r="D7" s="395"/>
      <c r="E7" s="395"/>
      <c r="F7" s="395"/>
    </row>
    <row r="8" spans="3:11">
      <c r="C8" s="396" t="s">
        <v>728</v>
      </c>
      <c r="D8" s="397"/>
      <c r="E8" s="397"/>
      <c r="F8" s="397"/>
    </row>
    <row r="9" spans="3:11">
      <c r="C9" s="398"/>
      <c r="D9" s="399"/>
      <c r="E9" s="399"/>
      <c r="F9" s="399"/>
    </row>
    <row r="10" spans="3:11">
      <c r="C10" s="262"/>
      <c r="D10" s="263"/>
      <c r="E10" s="162"/>
      <c r="F10" s="263"/>
    </row>
    <row r="11" spans="3:11" ht="15.75">
      <c r="C11" s="170" t="s">
        <v>729</v>
      </c>
      <c r="D11" s="170" t="s">
        <v>192</v>
      </c>
      <c r="E11" s="170" t="s">
        <v>730</v>
      </c>
      <c r="F11" s="170" t="s">
        <v>731</v>
      </c>
      <c r="J11" s="171" t="s">
        <v>732</v>
      </c>
      <c r="K11" s="172" t="s">
        <v>186</v>
      </c>
    </row>
    <row r="12" spans="3:11" ht="16.5">
      <c r="C12" s="154" t="s">
        <v>733</v>
      </c>
      <c r="D12" s="154">
        <v>600</v>
      </c>
      <c r="E12" s="155">
        <v>9</v>
      </c>
      <c r="F12" s="155">
        <v>5400</v>
      </c>
      <c r="J12" s="158" t="s">
        <v>213</v>
      </c>
      <c r="K12" s="242" t="s">
        <v>734</v>
      </c>
    </row>
    <row r="13" spans="3:11" ht="16.5">
      <c r="C13" s="154" t="s">
        <v>735</v>
      </c>
      <c r="D13" s="154">
        <v>12</v>
      </c>
      <c r="E13" s="155">
        <v>140</v>
      </c>
      <c r="F13" s="155">
        <v>1680</v>
      </c>
      <c r="J13" s="158" t="s">
        <v>215</v>
      </c>
      <c r="K13" s="242" t="s">
        <v>736</v>
      </c>
    </row>
    <row r="14" spans="3:11" ht="30.75">
      <c r="C14" s="154" t="s">
        <v>737</v>
      </c>
      <c r="D14" s="154">
        <v>2</v>
      </c>
      <c r="E14" s="155">
        <v>190</v>
      </c>
      <c r="F14" s="155">
        <v>380</v>
      </c>
      <c r="J14" s="158" t="s">
        <v>738</v>
      </c>
      <c r="K14" s="243" t="s">
        <v>739</v>
      </c>
    </row>
    <row r="15" spans="3:11" ht="30.75">
      <c r="C15" s="154" t="s">
        <v>740</v>
      </c>
      <c r="D15" s="154">
        <v>8</v>
      </c>
      <c r="E15" s="155">
        <v>110</v>
      </c>
      <c r="F15" s="155">
        <v>880</v>
      </c>
      <c r="J15" s="158" t="s">
        <v>741</v>
      </c>
      <c r="K15" s="243" t="s">
        <v>742</v>
      </c>
    </row>
    <row r="16" spans="3:11" ht="15.75">
      <c r="C16" s="154" t="s">
        <v>743</v>
      </c>
      <c r="D16" s="154">
        <v>2</v>
      </c>
      <c r="E16" s="155">
        <v>480</v>
      </c>
      <c r="F16" s="155">
        <v>960</v>
      </c>
      <c r="J16" s="158" t="s">
        <v>744</v>
      </c>
      <c r="K16" s="243" t="s">
        <v>745</v>
      </c>
    </row>
    <row r="17" spans="3:11" ht="15.75">
      <c r="C17" s="154" t="s">
        <v>746</v>
      </c>
      <c r="D17" s="154">
        <v>1</v>
      </c>
      <c r="E17" s="155">
        <v>1400</v>
      </c>
      <c r="F17" s="155">
        <v>1400</v>
      </c>
      <c r="K17" s="51"/>
    </row>
    <row r="18" spans="3:11" ht="15.75">
      <c r="C18" s="160" t="s">
        <v>747</v>
      </c>
      <c r="D18" s="156" t="s">
        <v>237</v>
      </c>
      <c r="E18" s="156" t="s">
        <v>237</v>
      </c>
      <c r="F18" s="157">
        <f>SUM(F12:G17)</f>
        <v>10700</v>
      </c>
    </row>
    <row r="19" spans="3:11" ht="15.75">
      <c r="C19" s="160" t="s">
        <v>748</v>
      </c>
      <c r="D19" s="156" t="s">
        <v>237</v>
      </c>
      <c r="E19" s="156" t="s">
        <v>237</v>
      </c>
      <c r="F19" s="157">
        <v>9400</v>
      </c>
    </row>
    <row r="20" spans="3:11" ht="15.75">
      <c r="C20" s="160"/>
      <c r="D20" s="156"/>
      <c r="E20" s="156"/>
      <c r="F20" s="157"/>
    </row>
    <row r="21" spans="3:11" ht="15.75">
      <c r="C21" s="160"/>
      <c r="D21" s="156"/>
      <c r="E21" s="156"/>
      <c r="F21" s="157"/>
    </row>
    <row r="22" spans="3:11" ht="15.75">
      <c r="C22" s="160"/>
      <c r="D22" s="156"/>
      <c r="E22" s="156"/>
      <c r="F22" s="157"/>
    </row>
    <row r="24" spans="3:11">
      <c r="C24" s="169" t="s">
        <v>749</v>
      </c>
      <c r="D24" s="163" t="s">
        <v>750</v>
      </c>
    </row>
    <row r="25" spans="3:11" ht="30.75">
      <c r="C25" s="164" t="s">
        <v>751</v>
      </c>
      <c r="D25" s="165">
        <v>6000</v>
      </c>
    </row>
    <row r="26" spans="3:11">
      <c r="C26" s="164" t="s">
        <v>752</v>
      </c>
      <c r="D26" s="165">
        <v>2400</v>
      </c>
    </row>
    <row r="27" spans="3:11" ht="30.75">
      <c r="C27" s="164" t="s">
        <v>753</v>
      </c>
      <c r="D27" s="165">
        <v>1000</v>
      </c>
    </row>
    <row r="28" spans="3:11">
      <c r="C28" s="166" t="s">
        <v>754</v>
      </c>
      <c r="D28" s="165">
        <v>9400</v>
      </c>
    </row>
    <row r="29" spans="3:11">
      <c r="C29" s="168" t="s">
        <v>755</v>
      </c>
      <c r="D29" s="158" t="s">
        <v>756</v>
      </c>
    </row>
    <row r="30" spans="3:11">
      <c r="C30" s="168" t="s">
        <v>757</v>
      </c>
      <c r="D30" s="167" t="s">
        <v>758</v>
      </c>
    </row>
  </sheetData>
  <mergeCells count="4">
    <mergeCell ref="C6:F6"/>
    <mergeCell ref="C7:F7"/>
    <mergeCell ref="C8:F8"/>
    <mergeCell ref="C9:F9"/>
  </mergeCells>
  <pageMargins left="0.7" right="0.7" top="0.75" bottom="0.75" header="0.3" footer="0.3"/>
  <legacy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2025-09-13T16:22:16Z</dcterms:created>
  <dcterms:modified xsi:type="dcterms:W3CDTF">2025-10-17T07:40:59Z</dcterms:modified>
  <cp:category/>
  <cp:contentStatus/>
</cp:coreProperties>
</file>