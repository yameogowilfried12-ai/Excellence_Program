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1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omments2.xml" ContentType="application/vnd.openxmlformats-officedocument.spreadsheetml.comments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6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L3_BIT\Bachelor\infineon\MADIEGA_S\template_MADIEGA_files\"/>
    </mc:Choice>
  </mc:AlternateContent>
  <xr:revisionPtr revIDLastSave="0" documentId="13_ncr:1_{A7DBEF72-0CA7-4DD7-BB9F-6884734A8C0C}" xr6:coauthVersionLast="47" xr6:coauthVersionMax="47" xr10:uidLastSave="{00000000-0000-0000-0000-000000000000}"/>
  <bookViews>
    <workbookView xWindow="-108" yWindow="-108" windowWidth="23256" windowHeight="13176" firstSheet="1" activeTab="4" xr2:uid="{00000000-000D-0000-FFFF-FFFF00000000}"/>
  </bookViews>
  <sheets>
    <sheet name="Solar PV power plant" sheetId="6" r:id="rId1"/>
    <sheet name="Solar &amp; Energy Systems" sheetId="7" r:id="rId2"/>
    <sheet name="Energy Systems" sheetId="9" r:id="rId3"/>
    <sheet name="ENERGY SYSTEM SUMMARY" sheetId="11" r:id="rId4"/>
    <sheet name="TEAM SUMMARY — Energy System" sheetId="12" r:id="rId5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6" i="7" l="1"/>
  <c r="H61" i="7"/>
  <c r="H60" i="7"/>
  <c r="H63" i="7" s="1"/>
  <c r="H49" i="7"/>
  <c r="H48" i="7"/>
  <c r="H43" i="7"/>
  <c r="H69" i="7" s="1"/>
  <c r="H95" i="7" s="1"/>
  <c r="H97" i="7" l="1"/>
  <c r="H62" i="7"/>
  <c r="H64" i="7" s="1"/>
  <c r="H71" i="7"/>
  <c r="H74" i="7" s="1"/>
  <c r="H75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tc={2057BC50-2FB4-4737-A9F7-799BCFC0BEE7}</author>
    <author>tc={C6353A66-E392-49DB-BFDF-8484511A7CC8}</author>
    <author>tc={FD2D9EAE-BDCF-46E7-B61F-ABFAA18D7E3A}</author>
    <author>tc={FA25FB5E-137C-4583-81C6-699DC5C8F135}</author>
    <author>tc={976A7DD3-3766-4FAD-8D8E-E1D7EB52E343}</author>
    <author>tc={8A2FF993-3F77-4D6C-831C-0BC82BCA3533}</author>
  </authors>
  <commentList>
    <comment ref="C4" authorId="0" shapeId="0" xr:uid="{2057BC50-2FB4-4737-A9F7-799BCFC0BEE7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 this a small pump? would it be enough for the farm?
Reply:
    Just for the scenario</t>
        </r>
      </text>
    </comment>
    <comment ref="C5" authorId="1" shapeId="0" xr:uid="{C6353A66-E392-49DB-BFDF-8484511A7CC8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why did you assume that the pump is needed only for 4 hours?</t>
        </r>
      </text>
    </comment>
    <comment ref="B8" authorId="2" shapeId="0" xr:uid="{FD2D9EAE-BDCF-46E7-B61F-ABFAA18D7E3A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what is meant by Misc??
Reply:
    used for Miscellaneous load </t>
        </r>
      </text>
    </comment>
    <comment ref="B12" authorId="3" shapeId="0" xr:uid="{FA25FB5E-137C-4583-81C6-699DC5C8F135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what does PSH stands for? could you explain?
Reply:
    Peak Sun Hours: equivalent full-power sunlight hours</t>
        </r>
      </text>
    </comment>
    <comment ref="B15" authorId="4" shapeId="0" xr:uid="{976A7DD3-3766-4FAD-8D8E-E1D7EB52E343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what is meant by Derate?
Reply:
    Overall PV system losses (heat, dust, cables)</t>
        </r>
      </text>
    </comment>
    <comment ref="B33" authorId="5" shapeId="0" xr:uid="{8A2FF993-3F77-4D6C-831C-0BC82BCA3533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please add the costs calculations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tc={8A2FF993-3F77-4D6C-831C-0BC82BCA3533}</author>
  </authors>
  <commentList>
    <comment ref="B44" authorId="0" shapeId="0" xr:uid="{D9A46BAF-EA3D-4EC9-96E2-3AB99099B561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please add the costs calculations</t>
        </r>
      </text>
    </comment>
  </commentList>
</comments>
</file>

<file path=xl/sharedStrings.xml><?xml version="1.0" encoding="utf-8"?>
<sst xmlns="http://schemas.openxmlformats.org/spreadsheetml/2006/main" count="986" uniqueCount="511">
  <si>
    <t>Years</t>
  </si>
  <si>
    <t xml:space="preserve">  </t>
  </si>
  <si>
    <t>Description</t>
  </si>
  <si>
    <t>Item</t>
  </si>
  <si>
    <t>Total</t>
  </si>
  <si>
    <t>Dryer</t>
  </si>
  <si>
    <t>Value</t>
  </si>
  <si>
    <t>Term / Abbreviation</t>
  </si>
  <si>
    <t>Definition</t>
  </si>
  <si>
    <t>Parameter</t>
  </si>
  <si>
    <t>Energy (kWh/day)</t>
  </si>
  <si>
    <t>ha</t>
  </si>
  <si>
    <t>P_h [kW]</t>
  </si>
  <si>
    <t>P_e [kW]</t>
  </si>
  <si>
    <t>%</t>
  </si>
  <si>
    <t>Source</t>
  </si>
  <si>
    <t>PV [kWp]</t>
  </si>
  <si>
    <t>MPPT</t>
  </si>
  <si>
    <t>Smart add-ons</t>
  </si>
  <si>
    <t>Comment</t>
  </si>
  <si>
    <t>Notes</t>
  </si>
  <si>
    <t>€/year</t>
  </si>
  <si>
    <t>€</t>
  </si>
  <si>
    <t>kWh/day</t>
  </si>
  <si>
    <t>kWh/year</t>
  </si>
  <si>
    <t>—</t>
  </si>
  <si>
    <t>Formula</t>
  </si>
  <si>
    <t>Maintenance</t>
  </si>
  <si>
    <t>kWh</t>
  </si>
  <si>
    <t>kW</t>
  </si>
  <si>
    <t>TECHNICAL DEFINITIONS</t>
  </si>
  <si>
    <t>Irrigation &amp; Miscellaneous Loads</t>
  </si>
  <si>
    <t>ENERGY CONSUMPTION (kWh/day)</t>
  </si>
  <si>
    <t>Scenario</t>
  </si>
  <si>
    <t>Pump</t>
  </si>
  <si>
    <t>Misc. loads</t>
  </si>
  <si>
    <t>TOTAL (kWh/day)</t>
  </si>
  <si>
    <t>Hectare (10,000 m²)</t>
  </si>
  <si>
    <t>Pump power</t>
  </si>
  <si>
    <t>1.5 kW</t>
  </si>
  <si>
    <t>1.5 HP Pump</t>
  </si>
  <si>
    <t>Base</t>
  </si>
  <si>
    <t>PSH</t>
  </si>
  <si>
    <t>Peak Sun Hours: equivalent full-power sunlight hours</t>
  </si>
  <si>
    <t>Pump operating time</t>
  </si>
  <si>
    <t>4 h</t>
  </si>
  <si>
    <t>Agricultural estimate</t>
  </si>
  <si>
    <t>50 kg/day</t>
  </si>
  <si>
    <t>Derate Factor</t>
  </si>
  <si>
    <t>Overall PV system losses (heat, dust, cables)</t>
  </si>
  <si>
    <t>Miscellaneous loads</t>
  </si>
  <si>
    <t>3 kW</t>
  </si>
  <si>
    <t>Various equipment</t>
  </si>
  <si>
    <t>200 kg/day</t>
  </si>
  <si>
    <t>Hydraulic power required by the pump</t>
  </si>
  <si>
    <t>Miscellaneous load duration</t>
  </si>
  <si>
    <t>5 h</t>
  </si>
  <si>
    <t>Standard farm</t>
  </si>
  <si>
    <t>1,000 kg/day</t>
  </si>
  <si>
    <t>Electrical power required by the pump</t>
  </si>
  <si>
    <t>Peak power of the photovoltaic system</t>
  </si>
  <si>
    <t>Mango Drying</t>
  </si>
  <si>
    <t>Maximum Power Point Tracking – PV efficiency optimization</t>
  </si>
  <si>
    <t>Sensors, IoT, PLCs, GSM/Wi-Fi monitoring</t>
  </si>
  <si>
    <t>Energy efficiency of drying</t>
  </si>
  <si>
    <t>3 kWh/kg of fresh mango</t>
  </si>
  <si>
    <t>DoD</t>
  </si>
  <si>
    <t>Depth of Discharge – battery discharge depth</t>
  </si>
  <si>
    <t>Production Scenario 1</t>
  </si>
  <si>
    <t>BOS</t>
  </si>
  <si>
    <t>Balance of System – structure, cables, protections</t>
  </si>
  <si>
    <t>Production Scenario 2</t>
  </si>
  <si>
    <t>LCOE</t>
  </si>
  <si>
    <t>Levelized Cost of Energy – real energy cost</t>
  </si>
  <si>
    <t>Production Scenario 3</t>
  </si>
  <si>
    <t>Solar Parameters</t>
  </si>
  <si>
    <t>Battery Parameters</t>
  </si>
  <si>
    <t>PSH Burkina Faso</t>
  </si>
  <si>
    <t>5.5 h</t>
  </si>
  <si>
    <t>Battery type</t>
  </si>
  <si>
    <t>Lithium-ion</t>
  </si>
  <si>
    <t>Tracker gain</t>
  </si>
  <si>
    <t>Effective PSH</t>
  </si>
  <si>
    <t>6.6 h</t>
  </si>
  <si>
    <t>Inverter efficiency</t>
  </si>
  <si>
    <t>Loss factor</t>
  </si>
  <si>
    <t>Desired autonomy</t>
  </si>
  <si>
    <t>8 h</t>
  </si>
  <si>
    <t>Derate factor</t>
  </si>
  <si>
    <t>Average area per kWp</t>
  </si>
  <si>
    <t>8.5 m²</t>
  </si>
  <si>
    <t>Trackers</t>
  </si>
  <si>
    <t>Complete PV System</t>
  </si>
  <si>
    <t>PV required (kWp)</t>
  </si>
  <si>
    <t>No. of 400W panels</t>
  </si>
  <si>
    <t>Area m²</t>
  </si>
  <si>
    <t>Area ha</t>
  </si>
  <si>
    <t>Required PV = Energy / (PSH × Derate)</t>
  </si>
  <si>
    <t>PV = kWh / 4.95</t>
  </si>
  <si>
    <t>BATTERY SIZING</t>
  </si>
  <si>
    <t>Energy / 8h (kWh)</t>
  </si>
  <si>
    <t>With losses (kWh)</t>
  </si>
  <si>
    <t>Nominal capacity (kWh)</t>
  </si>
  <si>
    <t>Energy 8h = (kWh/day ÷ 24) × 8</t>
  </si>
  <si>
    <t>Usable energy</t>
  </si>
  <si>
    <t>Energy with losses = usable ÷ 0.9</t>
  </si>
  <si>
    <t>Actual required energy</t>
  </si>
  <si>
    <t>Total capacity = actual ÷ DoD</t>
  </si>
  <si>
    <t>Final battery capacity (kWh)</t>
  </si>
  <si>
    <t>COSTS (CAPEX)</t>
  </si>
  <si>
    <t>Component</t>
  </si>
  <si>
    <t>Price</t>
  </si>
  <si>
    <t>PV cost ($)</t>
  </si>
  <si>
    <t>Battery ($)</t>
  </si>
  <si>
    <t>Inverter ($)</t>
  </si>
  <si>
    <t>Total CAPEX ($)</t>
  </si>
  <si>
    <t>PV + BOS</t>
  </si>
  <si>
    <t>$1.20/W</t>
  </si>
  <si>
    <t>Li-Ion Battery</t>
  </si>
  <si>
    <t>$400/kWh</t>
  </si>
  <si>
    <t>Inverter</t>
  </si>
  <si>
    <t>$1,000/kW</t>
  </si>
  <si>
    <t>ROI (Return on Investment)</t>
  </si>
  <si>
    <t>Savings/day ($)</t>
  </si>
  <si>
    <t>Savings/year ($)</t>
  </si>
  <si>
    <t>Maintenance ($)</t>
  </si>
  <si>
    <t>Net savings/year ($)</t>
  </si>
  <si>
    <t>Payback (yrs)</t>
  </si>
  <si>
    <t>Diesel LCOE</t>
  </si>
  <si>
    <t>$0.40/kWh</t>
  </si>
  <si>
    <t>Days/year</t>
  </si>
  <si>
    <t>2% of CAPEX</t>
  </si>
  <si>
    <t>Daily Energy (kWh/day)</t>
  </si>
  <si>
    <t>Required PV Array (kWp)</t>
  </si>
  <si>
    <t>Number of 400 W Panels</t>
  </si>
  <si>
    <t>Required Battery (usable kWh)</t>
  </si>
  <si>
    <t>Inverter Size (kW, nominal)</t>
  </si>
  <si>
    <t>Small farm (≈2 ha)</t>
  </si>
  <si>
    <t>Metric</t>
  </si>
  <si>
    <t>Fixed base</t>
  </si>
  <si>
    <t>Daily Energy</t>
  </si>
  <si>
    <t>Total daily consumption</t>
  </si>
  <si>
    <t>Required PV Array</t>
  </si>
  <si>
    <t>kWp</t>
  </si>
  <si>
    <t>Fixed-tilt system</t>
  </si>
  <si>
    <t>With tracking</t>
  </si>
  <si>
    <t>400 W Panels</t>
  </si>
  <si>
    <t>Units</t>
  </si>
  <si>
    <t>Fixed-tilt</t>
  </si>
  <si>
    <t>Tracking</t>
  </si>
  <si>
    <t>Battery</t>
  </si>
  <si>
    <t>Usable kWh</t>
  </si>
  <si>
    <t>Storage requirement</t>
  </si>
  <si>
    <t>Inverter Size</t>
  </si>
  <si>
    <t>Nominal rating</t>
  </si>
  <si>
    <t>Same for both systems</t>
  </si>
  <si>
    <t>PV Power (Fixed-Tilt)</t>
  </si>
  <si>
    <t>Baseline</t>
  </si>
  <si>
    <t>PV Power (Tracking)</t>
  </si>
  <si>
    <t>20% reduction</t>
  </si>
  <si>
    <t>Panels (Fixed-Tilt)</t>
  </si>
  <si>
    <t>0.4 kW each</t>
  </si>
  <si>
    <t>Panels (Tracking)</t>
  </si>
  <si>
    <t>0.4 KW each</t>
  </si>
  <si>
    <t>System Cost (Fixed-Tilt)</t>
  </si>
  <si>
    <t>Total system cost</t>
  </si>
  <si>
    <t>System Cost (Tracking)</t>
  </si>
  <si>
    <t>Lower due to fewer panels</t>
  </si>
  <si>
    <t>Payback Period (Fixed-Tilt)</t>
  </si>
  <si>
    <t>=Cost/Savings</t>
  </si>
  <si>
    <t>Payback Period (Tracking)</t>
  </si>
  <si>
    <t>Annual Savings</t>
  </si>
  <si>
    <t>=Annual production×rate</t>
  </si>
  <si>
    <t>Irrigation</t>
  </si>
  <si>
    <t>Efficient pumps</t>
  </si>
  <si>
    <t>Ventilation/Greenhouses</t>
  </si>
  <si>
    <t>Climate control</t>
  </si>
  <si>
    <t>Storage/Cooling</t>
  </si>
  <si>
    <t>Refrigeration</t>
  </si>
  <si>
    <t>Tools/Machinery</t>
  </si>
  <si>
    <t>Farm tools</t>
  </si>
  <si>
    <t>Electric Fences</t>
  </si>
  <si>
    <t>Protection system</t>
  </si>
  <si>
    <t>Office/Management</t>
  </si>
  <si>
    <t>Monitoring</t>
  </si>
  <si>
    <t>Optimized consumption</t>
  </si>
  <si>
    <t>PV Size (Fixed-Tilt)</t>
  </si>
  <si>
    <t>19 panels × 0.4 kW</t>
  </si>
  <si>
    <t>PV Size (Tracking)</t>
  </si>
  <si>
    <t>15 panels × 0.4 kW</t>
  </si>
  <si>
    <t>Tracking Gain</t>
  </si>
  <si>
    <t>Higher solar yield</t>
  </si>
  <si>
    <t>Panel Reduction</t>
  </si>
  <si>
    <t>Fewer panels needed</t>
  </si>
  <si>
    <t>PV Panels (Fixed-Tilt)</t>
  </si>
  <si>
    <t>Unit price: 1200 €/kWp</t>
  </si>
  <si>
    <t>PV Panels (Tracking)</t>
  </si>
  <si>
    <t>Tracking Hardware</t>
  </si>
  <si>
    <t>Only for tracking</t>
  </si>
  <si>
    <t>Mounting/Installation (Fixed-Tilt)</t>
  </si>
  <si>
    <t>Estimated total</t>
  </si>
  <si>
    <t>Mounting/Installation (Tracking)</t>
  </si>
  <si>
    <t xml:space="preserve">52 kWh usable with 400€/KWh </t>
  </si>
  <si>
    <t>6.3 kW nominal with 500€/KW</t>
  </si>
  <si>
    <t>Total Cost (Fixed-Tilt)</t>
  </si>
  <si>
    <t>System total</t>
  </si>
  <si>
    <t>Total Cost (Tracking)</t>
  </si>
  <si>
    <t>Cost Difference</t>
  </si>
  <si>
    <t>Tracking cheaper overall</t>
  </si>
  <si>
    <t>Annual Production</t>
  </si>
  <si>
    <t>Formula: 37 × 365</t>
  </si>
  <si>
    <t>Electricity Price</t>
  </si>
  <si>
    <t>€/kWh</t>
  </si>
  <si>
    <t>Agricultural tariff</t>
  </si>
  <si>
    <t>Production × rate</t>
  </si>
  <si>
    <t>Reference cost table</t>
  </si>
  <si>
    <t>Payback (Fixed-Tilt)</t>
  </si>
  <si>
    <t>Cost ÷ savings</t>
  </si>
  <si>
    <t>Payback (Tracking)</t>
  </si>
  <si>
    <t>value</t>
  </si>
  <si>
    <t>Irrigation Shift</t>
  </si>
  <si>
    <t>%Daytime</t>
  </si>
  <si>
    <t>Reduces battery need</t>
  </si>
  <si>
    <t>New Battery Size</t>
  </si>
  <si>
    <t>Updated storage requirement</t>
  </si>
  <si>
    <t>New Payback</t>
  </si>
  <si>
    <t>Lower CAPEX</t>
  </si>
  <si>
    <t>Data Alignment</t>
  </si>
  <si>
    <t>Consistent</t>
  </si>
  <si>
    <t>Same 37 kWh/day used in all tables</t>
  </si>
  <si>
    <t>Energy Need Definition</t>
  </si>
  <si>
    <t>Basis for sizing PV and battery</t>
  </si>
  <si>
    <t xml:space="preserve">Panel Selection:monocrystalline or polycrystalline </t>
  </si>
  <si>
    <t>W</t>
  </si>
  <si>
    <r>
      <rPr>
        <b/>
        <sz val="14"/>
        <color rgb="FF000000"/>
        <rFont val="Times New Roman"/>
      </rPr>
      <t>Monocrystalline:</t>
    </r>
    <r>
      <rPr>
        <sz val="14"/>
        <color rgb="FF000000"/>
        <rFont val="Times New Roman"/>
      </rPr>
      <t xml:space="preserve"> best efficiency ideal in moderate temperatures or well-ventilated areas. </t>
    </r>
    <r>
      <rPr>
        <b/>
        <sz val="14"/>
        <color rgb="FF000000"/>
        <rFont val="Times New Roman"/>
      </rPr>
      <t>Polycrystalline:</t>
    </r>
    <r>
      <rPr>
        <sz val="14"/>
        <color rgb="FF000000"/>
        <rFont val="Times New Roman"/>
      </rPr>
      <t xml:space="preserve"> better thermal tolerance, recommended for  hot climates like in the Sahel.</t>
    </r>
  </si>
  <si>
    <t>PV Configuration(Tracking)</t>
  </si>
  <si>
    <t>20% fewer panels, same output</t>
  </si>
  <si>
    <t>Battery Optimization</t>
  </si>
  <si>
    <t>Shift 50% irrigation to daytime to reduce capacity</t>
  </si>
  <si>
    <t>Estimated carbon factor</t>
  </si>
  <si>
    <t>kg CO₂/kWh</t>
  </si>
  <si>
    <t>Average life-cycle emissions of PV panels</t>
  </si>
  <si>
    <t>Carbon Footprint</t>
  </si>
  <si>
    <t>kg CO₂/year</t>
  </si>
  <si>
    <t>Life-cycle emissions from PV generation</t>
  </si>
  <si>
    <t>Grid Emission Comparison</t>
  </si>
  <si>
    <t>Conventional power equivalent (0.5 kg CO₂/kWh)</t>
  </si>
  <si>
    <t>Emission Reduction</t>
  </si>
  <si>
    <t>Compared to grid-based electricity</t>
  </si>
  <si>
    <t>Monitoring System</t>
  </si>
  <si>
    <t>IoT-based</t>
  </si>
  <si>
    <t>Recommended</t>
  </si>
  <si>
    <t>Enables tracking of energy use and CO₂ savings</t>
  </si>
  <si>
    <t>Overall Recommendation</t>
  </si>
  <si>
    <t>no metric</t>
  </si>
  <si>
    <t>Adopt tracking PV with reduced battery</t>
  </si>
  <si>
    <t>Improves efficiency, lowers CAPEX and emissions</t>
  </si>
  <si>
    <t>TABLE 8: Recommendations and Data Alignment</t>
  </si>
  <si>
    <t xml:space="preserve">                                                                 TABLE 9: Generator Backup Sizing</t>
  </si>
  <si>
    <t>TABLE 7 : Optimization Tip</t>
  </si>
  <si>
    <t>TABLE 6 : ROI Calculation</t>
  </si>
  <si>
    <t>TABLE 5 : Cost Breakdown</t>
  </si>
  <si>
    <t>TABLE 4 :System Size and Explanation</t>
  </si>
  <si>
    <t>TABLE 3: Energy Breakdown (37 kWh/day)</t>
  </si>
  <si>
    <t>TABLE 2 : Calculation Summary</t>
  </si>
  <si>
    <t>TABLE1: Farm Scenario</t>
  </si>
  <si>
    <t xml:space="preserve">                                            Parameter</t>
  </si>
  <si>
    <t>Critical loads to be supplied</t>
  </si>
  <si>
    <t>Storage/Cooling + Fences + Office/Monitoring</t>
  </si>
  <si>
    <t>Generator Size</t>
  </si>
  <si>
    <t>Covers full farm, aligned with 6.3 kW inverter</t>
  </si>
  <si>
    <t>Diesel Cost</t>
  </si>
  <si>
    <t>Same assumption as Abdoul's LCOE</t>
  </si>
  <si>
    <t>Annual Usage Hours</t>
  </si>
  <si>
    <t>h/year</t>
  </si>
  <si>
    <t>~5 outages/month × 3h estimate</t>
  </si>
  <si>
    <t>Annual Energy from Generator</t>
  </si>
  <si>
    <t>8 kW × 180 h</t>
  </si>
  <si>
    <t>Annual Generator Cost</t>
  </si>
  <si>
    <t>1 440 kWh × 0,40 €/kWh</t>
  </si>
  <si>
    <t>Generator Emission Factor</t>
  </si>
  <si>
    <t>Standard diesel generator factor</t>
  </si>
  <si>
    <t>Generator Annual Emissions</t>
  </si>
  <si>
    <t>1 440 kWh × 0,75</t>
  </si>
  <si>
    <t>Generator CAPEX (8 kW)</t>
  </si>
  <si>
    <t>Estimate at ~500 €/kW installed</t>
  </si>
  <si>
    <t>Generator Payback vs. full diesel</t>
  </si>
  <si>
    <t>0.40</t>
  </si>
  <si>
    <t>0.75</t>
  </si>
  <si>
    <t xml:space="preserve">                      </t>
  </si>
  <si>
    <t>App Screen</t>
  </si>
  <si>
    <t>Content</t>
  </si>
  <si>
    <t>Dashboard</t>
  </si>
  <si>
    <t>Daily solar energy production (kWh), self-consumption rate (%)</t>
  </si>
  <si>
    <t>Consumption</t>
  </si>
  <si>
    <t>Real-time energy consumption breakdown by load category (based on Table 3)</t>
  </si>
  <si>
    <t>Generator</t>
  </si>
  <si>
    <t>Generator status, cumulative operating hours, fuel level</t>
  </si>
  <si>
    <t>Carbon</t>
  </si>
  <si>
    <t>Cumulative CO₂ emissions avoided (updated from Table 8)</t>
  </si>
  <si>
    <t>Alerts</t>
  </si>
  <si>
    <t>Faulty panel, low battery level, grid power outage</t>
  </si>
  <si>
    <t xml:space="preserve">                                                    TABLE 10: Solar Panel Monitoring</t>
  </si>
  <si>
    <t>Extended Load Inventory</t>
  </si>
  <si>
    <t>8 kWh/day</t>
  </si>
  <si>
    <t>Lighting</t>
  </si>
  <si>
    <t>2 kWh/day</t>
  </si>
  <si>
    <t>Security (fencing/cameras)</t>
  </si>
  <si>
    <t>1 kWh/day</t>
  </si>
  <si>
    <t>Monitoring/IoT</t>
  </si>
  <si>
    <t>0.5 kWh/day</t>
  </si>
  <si>
    <t>Crop storage refrigeration</t>
  </si>
  <si>
    <t>Buildings + night security</t>
  </si>
  <si>
    <t>Perimeter monitoring</t>
  </si>
  <si>
    <t>Sensors, GSM/Wi-Fi</t>
  </si>
  <si>
    <t>TOTAL additional load</t>
  </si>
  <si>
    <t>11.5 kWh/day</t>
  </si>
  <si>
    <t>Revised ENERGY CONSUMPTION (kWh/day)</t>
  </si>
  <si>
    <t>Original Total (Abdoul)</t>
  </si>
  <si>
    <t>+ Extended Load</t>
  </si>
  <si>
    <t>New TOTAL</t>
  </si>
  <si>
    <t>Revised PV Sizing</t>
  </si>
  <si>
    <t>Area (m²)</t>
  </si>
  <si>
    <t>Area (ha)</t>
  </si>
  <si>
    <t>Revised BATTERY SIZING</t>
  </si>
  <si>
    <t>Energy/8h (kWh)</t>
  </si>
  <si>
    <t>Revised CAPEX (PV + Battery)</t>
  </si>
  <si>
    <t>Subtotal (excl. inverter)</t>
  </si>
  <si>
    <t>Carbon Footprint Calculator</t>
  </si>
  <si>
    <t>PV Lifecycle Emission Factor</t>
  </si>
  <si>
    <t>0,05 kg CO₂/kWh</t>
  </si>
  <si>
    <t>Average lifecycle emissions of PV</t>
  </si>
  <si>
    <t>Grid Emission Factor</t>
  </si>
  <si>
    <t>0,5 kg CO₂/kWh</t>
  </si>
  <si>
    <t>Conventional grid equivalent</t>
  </si>
  <si>
    <t>0,75 kg CO₂/kWh</t>
  </si>
  <si>
    <t>From Section 6</t>
  </si>
  <si>
    <t>Annual Production (kWh/yr)</t>
  </si>
  <si>
    <t>PV Emissions (kg CO₂/yr)</t>
  </si>
  <si>
    <t>Grid Equivalent (kg CO₂/yr)</t>
  </si>
  <si>
    <t>+ Generator (kg CO₂/yr)</t>
  </si>
  <si>
    <t>Total System Emissions</t>
  </si>
  <si>
    <t>Reduction vs Grid</t>
  </si>
  <si>
    <t>Monitoring Specifications</t>
  </si>
  <si>
    <t>Screen</t>
  </si>
  <si>
    <t>Production solaire du jour (kWh), % autoconsommation</t>
  </si>
  <si>
    <t>Répartition temps réel par poste (pompe, divers, stockage, éclairage, sécurité, séchoir)</t>
  </si>
  <si>
    <t>Statut, heures cumulées, niveau fuel, coût cumulé</t>
  </si>
  <si>
    <t>CO₂ évité cumulé (repris de la Section 7)</t>
  </si>
  <si>
    <t>Panneau défaillant, batterie faible, activation générateur, coupure réseau</t>
  </si>
  <si>
    <t>Technical Definitions</t>
  </si>
  <si>
    <t>TOTAL extended load</t>
  </si>
  <si>
    <t>Base Load Inventory (Abdoul )</t>
  </si>
  <si>
    <t>Extended Load Inventory (Aida )</t>
  </si>
  <si>
    <t>Mango Drying (Abdoul)</t>
  </si>
  <si>
    <t>Solar Parameters ( Abdoul)</t>
  </si>
  <si>
    <t xml:space="preserve">Battery Parameters(Abdoul) </t>
  </si>
  <si>
    <t>TRACKING COMPARISON REVISED( Base Narcisse)</t>
  </si>
  <si>
    <t>Fixed-Tilt</t>
  </si>
  <si>
    <t>PV Power</t>
  </si>
  <si>
    <t>7,6 kWp</t>
  </si>
  <si>
    <t>6,0 kWp</t>
  </si>
  <si>
    <t>20% reduction (valeur unifiée)</t>
  </si>
  <si>
    <t>Panels</t>
  </si>
  <si>
    <t>System Cost</t>
  </si>
  <si>
    <t>Panel type recommended</t>
  </si>
  <si>
    <t>Polycrystalline</t>
  </si>
  <si>
    <t>Better thermal tolerance for Sahel climate</t>
  </si>
  <si>
    <t>GENERATOR BACKUP SIZING</t>
  </si>
  <si>
    <t>Critical Load</t>
  </si>
  <si>
    <t>9,5 kWh/day</t>
  </si>
  <si>
    <t>Storage/Cooling + Security + Monitoring</t>
  </si>
  <si>
    <t>8 kW</t>
  </si>
  <si>
    <t>Covers critical loads + margin</t>
  </si>
  <si>
    <t>0,40 $/kWh</t>
  </si>
  <si>
    <t>Same as Abdoul's LCOE assumption</t>
  </si>
  <si>
    <t>180 h/year</t>
  </si>
  <si>
    <t>Estimated backup usage</t>
  </si>
  <si>
    <t>1 440 kWh/year</t>
  </si>
  <si>
    <t>576 $/year</t>
  </si>
  <si>
    <t>1 440 × 0,40</t>
  </si>
  <si>
    <t>Standard diesel generator</t>
  </si>
  <si>
    <t>1 080 kg CO₂/year</t>
  </si>
  <si>
    <t>1 440 × 0,75</t>
  </si>
  <si>
    <t>Generator CAPEX</t>
  </si>
  <si>
    <t>4 000 $</t>
  </si>
  <si>
    <t>Estimate at $500/kW installed</t>
  </si>
  <si>
    <t>CARBON FOOTPRINT CALCULATOR</t>
  </si>
  <si>
    <t>MONITORING APP SPECIFICATION</t>
  </si>
  <si>
    <t>Details</t>
  </si>
  <si>
    <t>ASSUMPTIONS</t>
  </si>
  <si>
    <t xml:space="preserve">	Diesel Cost (LCOE)</t>
  </si>
  <si>
    <t xml:space="preserve">	Grid Emission Factor</t>
  </si>
  <si>
    <t>6.6 hours (actual, with tracking)</t>
  </si>
  <si>
    <t xml:space="preserve">	0,5 kg CO₂/kWh</t>
  </si>
  <si>
    <t>ANNUAL BENEFITS — SCENARIO "50 kg/day"</t>
  </si>
  <si>
    <t>Benefit type</t>
  </si>
  <si>
    <t>Amount</t>
  </si>
  <si>
    <t>24 966 $/an</t>
  </si>
  <si>
    <t>− 2 063 $/an</t>
  </si>
  <si>
    <t>− 576 $/an</t>
  </si>
  <si>
    <t>NET SAVINGS</t>
  </si>
  <si>
    <t>22 327 $/an</t>
  </si>
  <si>
    <t>~4,7 ans</t>
  </si>
  <si>
    <t>Diesel savings avoided (solar)</t>
  </si>
  <si>
    <t>Maintenance cost</t>
  </si>
  <si>
    <t>Generator backup cost</t>
  </si>
  <si>
    <t>Estimated payback</t>
  </si>
  <si>
    <t>vs. Equivalent diesel generation</t>
  </si>
  <si>
    <t>2% of  CAPEX</t>
  </si>
  <si>
    <t xml:space="preserve">180h/an of estimated  backup </t>
  </si>
  <si>
    <t>Based on avoided diesel costs</t>
  </si>
  <si>
    <t>CARBON IMPACT — SCENARIO "50 kg/day"</t>
  </si>
  <si>
    <t>Emissions avoided vs. grid</t>
  </si>
  <si>
    <t>Residual emissions (PV + generator)</t>
  </si>
  <si>
    <t>NET REDUCTION</t>
  </si>
  <si>
    <t>Solar vs. equivalent conventional grid</t>
  </si>
  <si>
    <t>PV lifecycle + diesel backup</t>
  </si>
  <si>
    <t>Compared to 100% grid/diesel power</t>
  </si>
  <si>
    <t>33 306 kg CO₂/year</t>
  </si>
  <si>
    <t>4 411 kg CO₂/year</t>
  </si>
  <si>
    <t>Daily solar production (kWh), % self-consumption</t>
  </si>
  <si>
    <t>Real-time breakdown by system (pump, miscellaneous, storage, lighting, security, dryer)</t>
  </si>
  <si>
    <t>Status, cumulative hours, fuel level, cumulative cost</t>
  </si>
  <si>
    <t>Cumulative CO₂ avoided (from Section 7)</t>
  </si>
  <si>
    <t>Panel failure, low battery, generator activation, grid outage</t>
  </si>
  <si>
    <t>Abdoul (base)</t>
  </si>
  <si>
    <t>3 kW × 5h</t>
  </si>
  <si>
    <t>Aida (new)</t>
  </si>
  <si>
    <t>Water Supply 2026 ,  validated by real data (20 m³/day ÷ 4 m³/h)</t>
  </si>
  <si>
    <t>Energy Consumption (Revised)</t>
  </si>
  <si>
    <t>Misc.</t>
  </si>
  <si>
    <t>Extended (Aida)</t>
  </si>
  <si>
    <t>7.5</t>
  </si>
  <si>
    <t>11.5</t>
  </si>
  <si>
    <t>34.0</t>
  </si>
  <si>
    <t>184.0</t>
  </si>
  <si>
    <t>634.0</t>
  </si>
  <si>
    <t>3,034.0</t>
  </si>
  <si>
    <t>PV Sizing (Revised)</t>
  </si>
  <si>
    <t>6.87</t>
  </si>
  <si>
    <t>58.4</t>
  </si>
  <si>
    <t>0.0058</t>
  </si>
  <si>
    <t>37.17</t>
  </si>
  <si>
    <t>316.0</t>
  </si>
  <si>
    <t>0.0316</t>
  </si>
  <si>
    <t>128.08</t>
  </si>
  <si>
    <t>1,088.7</t>
  </si>
  <si>
    <t>0.1089</t>
  </si>
  <si>
    <t>613.13</t>
  </si>
  <si>
    <t>5,211.6</t>
  </si>
  <si>
    <t>0.5212</t>
  </si>
  <si>
    <t>Battery Sizing (Revised)</t>
  </si>
  <si>
    <t>11.33</t>
  </si>
  <si>
    <t>12.59</t>
  </si>
  <si>
    <t>15.74</t>
  </si>
  <si>
    <t>61.33</t>
  </si>
  <si>
    <t>68.15</t>
  </si>
  <si>
    <t>85.19</t>
  </si>
  <si>
    <t>211.33</t>
  </si>
  <si>
    <t>234.81</t>
  </si>
  <si>
    <t>293.52</t>
  </si>
  <si>
    <t>1,011.33</t>
  </si>
  <si>
    <t>1,123.70</t>
  </si>
  <si>
    <t>1,404.63</t>
  </si>
  <si>
    <t>CAPEX (Revised)</t>
  </si>
  <si>
    <t>1,297,608</t>
  </si>
  <si>
    <t>Tracking Comparison (Revised)</t>
  </si>
  <si>
    <t>6.98 kWp</t>
  </si>
  <si>
    <t>5.51 kWp</t>
  </si>
  <si>
    <t>20% fewer panels</t>
  </si>
  <si>
    <t>~40,275</t>
  </si>
  <si>
    <t>~39,380</t>
  </si>
  <si>
    <t>Tracking remains cheaper</t>
  </si>
  <si>
    <t>12,410 kWh/yr</t>
  </si>
  <si>
    <t>Base 34 kWh/day × 365</t>
  </si>
  <si>
    <t>Annual Savings (at 0.40 $/kWh)</t>
  </si>
  <si>
    <t>4,964 $/yr</t>
  </si>
  <si>
    <t>Payback</t>
  </si>
  <si>
    <t>~8.1 years</t>
  </si>
  <si>
    <t>~7.9 years</t>
  </si>
  <si>
    <t>Consistent with overall ROI calculation</t>
  </si>
  <si>
    <t>9.5 kWh/day</t>
  </si>
  <si>
    <t>Annual Usage</t>
  </si>
  <si>
    <t>Annual Cost</t>
  </si>
  <si>
    <t>Annual Emissions</t>
  </si>
  <si>
    <t>1,080 kg CO₂/year</t>
  </si>
  <si>
    <t>+ Generator</t>
  </si>
  <si>
    <t>Total Emissions</t>
  </si>
  <si>
    <t>620.5</t>
  </si>
  <si>
    <t>1,700.5</t>
  </si>
  <si>
    <t>86.8%</t>
  </si>
  <si>
    <t>11,570.5</t>
  </si>
  <si>
    <t>12,650.5</t>
  </si>
  <si>
    <t>89.1%</t>
  </si>
  <si>
    <t>1,107,410</t>
  </si>
  <si>
    <t>55,370.5</t>
  </si>
  <si>
    <t>56,450.5</t>
  </si>
  <si>
    <t>89.</t>
  </si>
  <si>
    <t>Dried Output (kg/day)</t>
  </si>
  <si>
    <t>CO₂/kg dried mango</t>
  </si>
  <si>
    <t>16.5</t>
  </si>
  <si>
    <t>0.737</t>
  </si>
  <si>
    <t>0.525</t>
  </si>
  <si>
    <t>0.469</t>
  </si>
  <si>
    <r>
      <t>5 h</t>
    </r>
    <r>
      <rPr>
        <sz val="14"/>
        <color theme="1"/>
        <rFont val="Times New Roman"/>
        <family val="1"/>
      </rPr>
      <t xml:space="preserve"> </t>
    </r>
    <r>
      <rPr>
        <i/>
        <sz val="14"/>
        <color theme="1"/>
        <rFont val="Times New Roman"/>
        <family val="1"/>
      </rPr>
      <t>(corrected, was 4h)</t>
    </r>
  </si>
  <si>
    <r>
      <t xml:space="preserve">Pump </t>
    </r>
    <r>
      <rPr>
        <b/>
        <i/>
        <sz val="14"/>
        <color theme="1"/>
        <rFont val="Times New Roman"/>
        <family val="1"/>
      </rPr>
      <t>(corrected)</t>
    </r>
  </si>
  <si>
    <r>
      <t xml:space="preserve">Generator Backup Sizing </t>
    </r>
    <r>
      <rPr>
        <i/>
        <sz val="14"/>
        <color theme="1"/>
        <rFont val="Times New Roman"/>
        <family val="1"/>
      </rPr>
      <t>(added)</t>
    </r>
  </si>
  <si>
    <r>
      <t xml:space="preserve">Carbon Footprint Calculator </t>
    </r>
    <r>
      <rPr>
        <i/>
        <sz val="14"/>
        <color theme="1"/>
        <rFont val="Times New Roman"/>
        <family val="1"/>
      </rPr>
      <t>(added)</t>
    </r>
  </si>
  <si>
    <r>
      <t>72.6%</t>
    </r>
    <r>
      <rPr>
        <sz val="14"/>
        <color theme="1"/>
        <rFont val="Times New Roman"/>
        <family val="1"/>
      </rPr>
      <t xml:space="preserve"> </t>
    </r>
    <r>
      <rPr>
        <i/>
        <sz val="14"/>
        <color theme="1"/>
        <rFont val="Times New Roman"/>
        <family val="1"/>
      </rPr>
      <t>(vs 71.8% before)</t>
    </r>
  </si>
  <si>
    <r>
      <t>CO₂ per kg dried mango</t>
    </r>
    <r>
      <rPr>
        <sz val="14"/>
        <color theme="1"/>
        <rFont val="Times New Roman"/>
        <family val="1"/>
      </rPr>
      <t xml:space="preserve"> </t>
    </r>
    <r>
      <rPr>
        <i/>
        <sz val="14"/>
        <color theme="1"/>
        <rFont val="Times New Roman"/>
        <family val="1"/>
      </rPr>
      <t>(for connection SANON — Product Transformation)</t>
    </r>
    <r>
      <rPr>
        <sz val="14"/>
        <color theme="1"/>
        <rFont val="Times New Roman"/>
        <family val="1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</si>
</sst>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164" formatCode="&quot;$&quot;#,##0_);[Red]\(&quot;$&quot;#,##0\)"/>
  </numFmts>
  <fonts count="48" x14ac:knownFonts="1">
    <font>
      <sz val="11"/>
      <color theme="1"/>
      <name val="Aptos Narrow"/>
      <family val="2"/>
      <scheme val="minor"/>
    </font>
    <font>
      <b/>
      <sz val="14"/>
      <color rgb="FF000000"/>
      <name val="Times New Roman"/>
      <family val="1"/>
    </font>
    <font>
      <sz val="16"/>
      <color theme="1"/>
      <name val="Aptos Narrow"/>
      <family val="2"/>
      <scheme val="minor"/>
    </font>
    <font>
      <b/>
      <sz val="14"/>
      <color rgb="FF000000"/>
      <name val="Times New Roman"/>
    </font>
    <font>
      <sz val="14"/>
      <color rgb="FF000000"/>
      <name val="Times New Roman"/>
    </font>
    <font>
      <u/>
      <sz val="11"/>
      <color theme="10"/>
      <name val="Aptos Narrow"/>
      <family val="2"/>
      <scheme val="minor"/>
    </font>
    <font>
      <b/>
      <sz val="14"/>
      <color theme="1"/>
      <name val="Times New Roman"/>
    </font>
    <font>
      <b/>
      <sz val="13.5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rgb="FF000000"/>
      <name val="Times New Roman"/>
    </font>
    <font>
      <sz val="14"/>
      <color rgb="FF000000"/>
      <name val="Times New Roman"/>
      <charset val="1"/>
    </font>
    <font>
      <sz val="14"/>
      <color theme="1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b/>
      <sz val="12"/>
      <color rgb="FFFF0000"/>
      <name val="Times New Roman"/>
    </font>
    <font>
      <sz val="12"/>
      <color rgb="FFFF0000"/>
      <name val="Times New Roman"/>
    </font>
    <font>
      <b/>
      <sz val="12"/>
      <color rgb="FFFFC000"/>
      <name val="Times New Roman"/>
    </font>
    <font>
      <sz val="12"/>
      <color rgb="FFFFC000"/>
      <name val="Times New Roman"/>
    </font>
    <font>
      <b/>
      <sz val="12"/>
      <color theme="4"/>
      <name val="Times New Roman"/>
    </font>
    <font>
      <sz val="12"/>
      <color theme="4"/>
      <name val="Times New Roman"/>
    </font>
    <font>
      <i/>
      <sz val="12"/>
      <color theme="4"/>
      <name val="Times New Roman"/>
    </font>
    <font>
      <b/>
      <sz val="12"/>
      <color rgb="FF07524C"/>
      <name val="Times New Roman"/>
    </font>
    <font>
      <sz val="12"/>
      <color rgb="FF07524C"/>
      <name val="Times New Roman"/>
    </font>
    <font>
      <i/>
      <sz val="12"/>
      <color rgb="FF07524C"/>
      <name val="Times New Roman"/>
    </font>
    <font>
      <i/>
      <sz val="12"/>
      <color theme="1"/>
      <name val="Times New Roman"/>
    </font>
    <font>
      <b/>
      <sz val="12"/>
      <color rgb="FF369971"/>
      <name val="Times New Roman"/>
    </font>
    <font>
      <b/>
      <sz val="12"/>
      <color theme="5" tint="0.39997558519241921"/>
      <name val="Times New Roman"/>
    </font>
    <font>
      <b/>
      <sz val="12"/>
      <color rgb="FF0070C0"/>
      <name val="Times New Roman"/>
    </font>
    <font>
      <b/>
      <sz val="12"/>
      <color rgb="FF00B0F0"/>
      <name val="Times New Roman"/>
    </font>
    <font>
      <b/>
      <sz val="12"/>
      <color theme="5"/>
      <name val="Times New Roman"/>
    </font>
    <font>
      <b/>
      <sz val="12"/>
      <color theme="6" tint="0.39997558519241921"/>
      <name val="Times New Roman"/>
    </font>
    <font>
      <b/>
      <sz val="12"/>
      <color rgb="FF7030A0"/>
      <name val="Times New Roman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8" tint="-0.249977111117893"/>
      <name val="Times New Roman"/>
      <family val="1"/>
    </font>
    <font>
      <b/>
      <sz val="12"/>
      <color theme="4" tint="-0.249977111117893"/>
      <name val="Times New Roman"/>
      <family val="1"/>
    </font>
    <font>
      <b/>
      <sz val="12"/>
      <color theme="5" tint="0.39997558519241921"/>
      <name val="Times New Roman"/>
      <family val="1"/>
    </font>
    <font>
      <b/>
      <sz val="12"/>
      <color theme="5"/>
      <name val="Times New Roman"/>
      <family val="1"/>
    </font>
    <font>
      <b/>
      <sz val="12"/>
      <name val="Times New Roman"/>
      <family val="1"/>
    </font>
    <font>
      <b/>
      <sz val="12"/>
      <color theme="9"/>
      <name val="Times New Roman"/>
      <family val="1"/>
    </font>
    <font>
      <b/>
      <sz val="12"/>
      <color theme="3" tint="0.499984740745262"/>
      <name val="Times New Roman"/>
      <family val="1"/>
    </font>
    <font>
      <sz val="14"/>
      <color rgb="FF0F1115"/>
      <name val="Times New Roman"/>
      <family val="1"/>
    </font>
    <font>
      <b/>
      <sz val="14"/>
      <color rgb="FF0F1115"/>
      <name val="Times New Roman"/>
      <family val="1"/>
    </font>
    <font>
      <sz val="14"/>
      <color rgb="FF000000"/>
      <name val="Times New Roman"/>
      <family val="1"/>
    </font>
    <font>
      <i/>
      <sz val="14"/>
      <color theme="1"/>
      <name val="Times New Roman"/>
      <family val="1"/>
    </font>
    <font>
      <b/>
      <i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0">
    <xf numFmtId="0" fontId="0" fillId="0" borderId="0" xfId="0"/>
    <xf numFmtId="0" fontId="2" fillId="0" borderId="0" xfId="0" quotePrefix="1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9" fillId="0" borderId="0" xfId="0" applyFont="1" applyAlignment="1">
      <alignment wrapText="1"/>
    </xf>
    <xf numFmtId="0" fontId="11" fillId="0" borderId="0" xfId="0" applyFont="1"/>
    <xf numFmtId="0" fontId="11" fillId="0" borderId="0" xfId="0" applyFont="1" applyAlignment="1">
      <alignment horizontal="center"/>
    </xf>
    <xf numFmtId="0" fontId="6" fillId="0" borderId="0" xfId="0" applyFont="1"/>
    <xf numFmtId="3" fontId="2" fillId="0" borderId="0" xfId="0" applyNumberFormat="1" applyFont="1" applyAlignment="1">
      <alignment horizontal="center"/>
    </xf>
    <xf numFmtId="0" fontId="7" fillId="0" borderId="0" xfId="0" applyFont="1"/>
    <xf numFmtId="0" fontId="11" fillId="0" borderId="0" xfId="0" quotePrefix="1" applyFont="1" applyAlignment="1">
      <alignment horizontal="center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1" fillId="0" borderId="2" xfId="0" applyFont="1" applyBorder="1" applyAlignment="1">
      <alignment horizontal="center"/>
    </xf>
    <xf numFmtId="0" fontId="3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12" fillId="0" borderId="0" xfId="0" applyFont="1"/>
    <xf numFmtId="0" fontId="12" fillId="0" borderId="0" xfId="0" applyFont="1" applyAlignment="1">
      <alignment horizontal="center"/>
    </xf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13" fillId="0" borderId="0" xfId="0" applyFont="1"/>
    <xf numFmtId="0" fontId="12" fillId="0" borderId="1" xfId="0" applyFont="1" applyBorder="1"/>
    <xf numFmtId="0" fontId="12" fillId="0" borderId="0" xfId="0" applyFont="1" applyAlignment="1">
      <alignment readingOrder="1"/>
    </xf>
    <xf numFmtId="0" fontId="12" fillId="0" borderId="0" xfId="0" applyFont="1" applyAlignment="1">
      <alignment wrapText="1" readingOrder="1"/>
    </xf>
    <xf numFmtId="0" fontId="12" fillId="0" borderId="1" xfId="0" applyFont="1" applyBorder="1" applyAlignment="1">
      <alignment wrapText="1"/>
    </xf>
    <xf numFmtId="3" fontId="12" fillId="0" borderId="1" xfId="0" applyNumberFormat="1" applyFont="1" applyBorder="1"/>
    <xf numFmtId="3" fontId="13" fillId="0" borderId="1" xfId="0" applyNumberFormat="1" applyFont="1" applyBorder="1"/>
    <xf numFmtId="0" fontId="12" fillId="0" borderId="0" xfId="0" applyFont="1" applyAlignment="1">
      <alignment wrapText="1"/>
    </xf>
    <xf numFmtId="9" fontId="12" fillId="0" borderId="0" xfId="0" applyNumberFormat="1" applyFont="1"/>
    <xf numFmtId="9" fontId="12" fillId="0" borderId="0" xfId="0" applyNumberFormat="1" applyFont="1" applyAlignment="1">
      <alignment readingOrder="1"/>
    </xf>
    <xf numFmtId="0" fontId="9" fillId="0" borderId="0" xfId="0" quotePrefix="1" applyFont="1" applyAlignment="1">
      <alignment horizontal="center" wrapText="1"/>
    </xf>
    <xf numFmtId="0" fontId="9" fillId="0" borderId="0" xfId="0" quotePrefix="1" applyFont="1" applyAlignment="1">
      <alignment wrapText="1"/>
    </xf>
    <xf numFmtId="0" fontId="9" fillId="0" borderId="0" xfId="0" applyFont="1" applyAlignment="1">
      <alignment horizontal="center" wrapText="1"/>
    </xf>
    <xf numFmtId="0" fontId="12" fillId="0" borderId="0" xfId="0" quotePrefix="1" applyFont="1" applyAlignment="1">
      <alignment wrapText="1" readingOrder="1"/>
    </xf>
    <xf numFmtId="0" fontId="13" fillId="0" borderId="0" xfId="0" applyFont="1" applyAlignment="1">
      <alignment wrapText="1"/>
    </xf>
    <xf numFmtId="4" fontId="12" fillId="0" borderId="0" xfId="0" applyNumberFormat="1" applyFont="1"/>
    <xf numFmtId="3" fontId="12" fillId="0" borderId="0" xfId="0" applyNumberFormat="1" applyFont="1"/>
    <xf numFmtId="0" fontId="14" fillId="0" borderId="0" xfId="0" applyFont="1" applyAlignment="1">
      <alignment readingOrder="1"/>
    </xf>
    <xf numFmtId="0" fontId="15" fillId="0" borderId="0" xfId="0" applyFont="1" applyAlignment="1">
      <alignment readingOrder="1"/>
    </xf>
    <xf numFmtId="164" fontId="12" fillId="0" borderId="0" xfId="0" applyNumberFormat="1" applyFont="1"/>
    <xf numFmtId="0" fontId="15" fillId="0" borderId="0" xfId="0" applyFont="1" applyAlignment="1">
      <alignment wrapText="1" readingOrder="1"/>
    </xf>
    <xf numFmtId="0" fontId="16" fillId="0" borderId="0" xfId="0" applyFont="1" applyAlignment="1">
      <alignment readingOrder="1"/>
    </xf>
    <xf numFmtId="0" fontId="16" fillId="0" borderId="0" xfId="0" applyFont="1" applyAlignment="1">
      <alignment wrapText="1" readingOrder="1"/>
    </xf>
    <xf numFmtId="0" fontId="17" fillId="0" borderId="0" xfId="0" applyFont="1" applyAlignment="1">
      <alignment readingOrder="1"/>
    </xf>
    <xf numFmtId="0" fontId="17" fillId="0" borderId="0" xfId="0" applyFont="1" applyAlignment="1">
      <alignment wrapText="1" readingOrder="1"/>
    </xf>
    <xf numFmtId="9" fontId="17" fillId="0" borderId="0" xfId="0" applyNumberFormat="1" applyFont="1" applyAlignment="1">
      <alignment readingOrder="1"/>
    </xf>
    <xf numFmtId="0" fontId="18" fillId="0" borderId="0" xfId="0" applyFont="1" applyAlignment="1">
      <alignment readingOrder="1"/>
    </xf>
    <xf numFmtId="0" fontId="18" fillId="0" borderId="0" xfId="0" applyFont="1" applyAlignment="1">
      <alignment wrapText="1" readingOrder="1"/>
    </xf>
    <xf numFmtId="0" fontId="19" fillId="0" borderId="0" xfId="0" applyFont="1" applyAlignment="1">
      <alignment readingOrder="1"/>
    </xf>
    <xf numFmtId="0" fontId="19" fillId="0" borderId="0" xfId="0" applyFont="1" applyAlignment="1">
      <alignment wrapText="1" readingOrder="1"/>
    </xf>
    <xf numFmtId="0" fontId="20" fillId="0" borderId="0" xfId="0" applyFont="1" applyAlignment="1">
      <alignment readingOrder="1"/>
    </xf>
    <xf numFmtId="3" fontId="18" fillId="0" borderId="0" xfId="0" applyNumberFormat="1" applyFont="1" applyAlignment="1">
      <alignment readingOrder="1"/>
    </xf>
    <xf numFmtId="0" fontId="21" fillId="0" borderId="0" xfId="0" applyFont="1" applyAlignment="1">
      <alignment readingOrder="1"/>
    </xf>
    <xf numFmtId="0" fontId="21" fillId="0" borderId="0" xfId="0" applyFont="1" applyAlignment="1">
      <alignment wrapText="1" readingOrder="1"/>
    </xf>
    <xf numFmtId="0" fontId="22" fillId="0" borderId="0" xfId="0" applyFont="1" applyAlignment="1">
      <alignment readingOrder="1"/>
    </xf>
    <xf numFmtId="0" fontId="22" fillId="0" borderId="0" xfId="0" applyFont="1" applyAlignment="1">
      <alignment wrapText="1" readingOrder="1"/>
    </xf>
    <xf numFmtId="0" fontId="23" fillId="0" borderId="0" xfId="0" applyFont="1" applyAlignment="1">
      <alignment readingOrder="1"/>
    </xf>
    <xf numFmtId="4" fontId="22" fillId="0" borderId="0" xfId="0" applyNumberFormat="1" applyFont="1" applyAlignment="1">
      <alignment readingOrder="1"/>
    </xf>
    <xf numFmtId="3" fontId="21" fillId="0" borderId="0" xfId="0" applyNumberFormat="1" applyFont="1" applyAlignment="1">
      <alignment readingOrder="1"/>
    </xf>
    <xf numFmtId="0" fontId="15" fillId="0" borderId="0" xfId="0" quotePrefix="1" applyFont="1" applyAlignment="1">
      <alignment readingOrder="1"/>
    </xf>
    <xf numFmtId="0" fontId="13" fillId="0" borderId="0" xfId="0" applyFont="1" applyAlignment="1">
      <alignment readingOrder="1"/>
    </xf>
    <xf numFmtId="0" fontId="12" fillId="0" borderId="0" xfId="0" quotePrefix="1" applyFont="1" applyAlignment="1">
      <alignment readingOrder="1"/>
    </xf>
    <xf numFmtId="0" fontId="24" fillId="0" borderId="0" xfId="0" applyFont="1" applyAlignment="1">
      <alignment readingOrder="1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4" fontId="12" fillId="0" borderId="1" xfId="0" applyNumberFormat="1" applyFont="1" applyBorder="1"/>
    <xf numFmtId="0" fontId="12" fillId="0" borderId="4" xfId="0" applyFont="1" applyBorder="1"/>
    <xf numFmtId="3" fontId="12" fillId="0" borderId="4" xfId="0" applyNumberFormat="1" applyFont="1" applyBorder="1"/>
    <xf numFmtId="4" fontId="13" fillId="0" borderId="1" xfId="0" applyNumberFormat="1" applyFont="1" applyBorder="1"/>
    <xf numFmtId="9" fontId="12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readingOrder="1"/>
    </xf>
    <xf numFmtId="0" fontId="13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center" vertical="center" wrapText="1"/>
    </xf>
    <xf numFmtId="0" fontId="32" fillId="0" borderId="0" xfId="0" applyFont="1" applyAlignment="1">
      <alignment vertical="center" wrapText="1"/>
    </xf>
    <xf numFmtId="0" fontId="32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0" fontId="34" fillId="0" borderId="0" xfId="0" applyFont="1" applyAlignment="1">
      <alignment vertical="center" wrapText="1"/>
    </xf>
    <xf numFmtId="0" fontId="35" fillId="0" borderId="0" xfId="0" applyFont="1"/>
    <xf numFmtId="0" fontId="35" fillId="0" borderId="1" xfId="0" applyFont="1" applyBorder="1" applyAlignment="1">
      <alignment horizontal="center"/>
    </xf>
    <xf numFmtId="3" fontId="35" fillId="0" borderId="0" xfId="0" applyNumberFormat="1" applyFont="1" applyAlignment="1">
      <alignment vertical="center" wrapText="1"/>
    </xf>
    <xf numFmtId="4" fontId="34" fillId="0" borderId="0" xfId="0" applyNumberFormat="1" applyFont="1" applyAlignment="1">
      <alignment vertical="center" wrapText="1"/>
    </xf>
    <xf numFmtId="4" fontId="35" fillId="0" borderId="0" xfId="0" applyNumberFormat="1" applyFont="1" applyAlignment="1">
      <alignment vertical="center" wrapText="1"/>
    </xf>
    <xf numFmtId="0" fontId="34" fillId="0" borderId="0" xfId="0" applyFont="1"/>
    <xf numFmtId="10" fontId="34" fillId="0" borderId="0" xfId="0" applyNumberFormat="1" applyFont="1" applyAlignment="1">
      <alignment vertical="center" wrapText="1"/>
    </xf>
    <xf numFmtId="6" fontId="35" fillId="0" borderId="0" xfId="0" applyNumberFormat="1" applyFont="1" applyAlignment="1">
      <alignment vertical="center" wrapText="1"/>
    </xf>
    <xf numFmtId="0" fontId="32" fillId="0" borderId="0" xfId="0" applyFont="1"/>
    <xf numFmtId="0" fontId="43" fillId="2" borderId="0" xfId="0" applyFont="1" applyFill="1" applyAlignment="1">
      <alignment wrapText="1"/>
    </xf>
    <xf numFmtId="6" fontId="43" fillId="2" borderId="0" xfId="0" applyNumberFormat="1" applyFont="1" applyFill="1" applyAlignment="1">
      <alignment wrapText="1"/>
    </xf>
    <xf numFmtId="0" fontId="44" fillId="2" borderId="0" xfId="0" applyFont="1" applyFill="1" applyAlignment="1">
      <alignment wrapText="1"/>
    </xf>
    <xf numFmtId="0" fontId="43" fillId="0" borderId="0" xfId="0" applyFont="1"/>
    <xf numFmtId="0" fontId="45" fillId="0" borderId="0" xfId="0" applyFont="1"/>
    <xf numFmtId="9" fontId="44" fillId="2" borderId="0" xfId="0" applyNumberFormat="1" applyFont="1" applyFill="1" applyAlignment="1">
      <alignment wrapText="1"/>
    </xf>
    <xf numFmtId="0" fontId="32" fillId="0" borderId="0" xfId="0" applyFont="1" applyAlignment="1">
      <alignment wrapText="1"/>
    </xf>
    <xf numFmtId="0" fontId="33" fillId="0" borderId="0" xfId="0" applyFont="1" applyAlignment="1">
      <alignment vertical="center" wrapText="1"/>
    </xf>
    <xf numFmtId="0" fontId="32" fillId="0" borderId="0" xfId="0" applyFont="1" applyAlignment="1">
      <alignment horizontal="left" vertical="center" wrapText="1"/>
    </xf>
    <xf numFmtId="10" fontId="33" fillId="0" borderId="0" xfId="0" applyNumberFormat="1" applyFont="1" applyAlignment="1">
      <alignment horizontal="left" vertical="center" wrapText="1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21" fillId="0" borderId="0" xfId="0" applyFont="1" applyAlignment="1">
      <alignment horizontal="center" wrapText="1" readingOrder="1"/>
    </xf>
    <xf numFmtId="0" fontId="3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9" fontId="28" fillId="0" borderId="1" xfId="0" applyNumberFormat="1" applyFont="1" applyBorder="1" applyAlignment="1">
      <alignment horizontal="center" readingOrder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2" xfId="0" quotePrefix="1" applyFont="1" applyBorder="1" applyAlignment="1">
      <alignment horizontal="center"/>
    </xf>
    <xf numFmtId="0" fontId="11" fillId="0" borderId="2" xfId="0" quotePrefix="1" applyFont="1" applyBorder="1" applyAlignment="1">
      <alignment horizontal="center"/>
    </xf>
    <xf numFmtId="0" fontId="33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2" fillId="0" borderId="12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8" fillId="0" borderId="4" xfId="0" applyFont="1" applyBorder="1" applyAlignment="1">
      <alignment horizontal="center" vertical="center" wrapText="1"/>
    </xf>
    <xf numFmtId="0" fontId="32" fillId="0" borderId="0" xfId="0" applyFont="1" applyAlignment="1">
      <alignment horizontal="right" vertical="center" wrapText="1"/>
    </xf>
    <xf numFmtId="0" fontId="33" fillId="0" borderId="0" xfId="0" applyFont="1" applyAlignment="1">
      <alignment horizontal="right" vertical="center" wrapText="1"/>
    </xf>
    <xf numFmtId="0" fontId="33" fillId="0" borderId="0" xfId="0" applyFont="1" applyAlignment="1">
      <alignment horizontal="left" vertical="center" wrapText="1"/>
    </xf>
  </cellXfs>
  <cellStyles count="2">
    <cellStyle name="Hyperlink" xfId="1" xr:uid="{00000000-000B-0000-0000-000008000000}"/>
    <cellStyle name="Normal" xfId="0" builtinId="0"/>
  </cellStyles>
  <dxfs count="19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4" formatCode="#,##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" formatCode="#,##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4" formatCode="#,##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4" formatCode="#,##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4" formatCode="#,##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" formatCode="#,##0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" formatCode="#,##0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" formatCode="#,##0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4" formatCode="#,##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" formatCode="#,##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4" formatCode="#,##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4" formatCode="#,##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4" formatCode="#,##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" formatCode="#,##0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" formatCode="#,##0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" formatCode="#,##0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colors>
    <mruColors>
      <color rgb="FF078276"/>
      <color rgb="FF07524C"/>
      <color rgb="FF1B6B4B"/>
      <color rgb="FF369971"/>
      <color rgb="FF277A59"/>
      <color rgb="FF526E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est User" id="{02E52B62-B1FB-48C7-92A0-239BF5515333}" userId="" providerId="Windows Live"/>
  <person displayName="Utilisateur invité" id="{4D9BE69F-A665-4781-85A1-D80CE12975BE}" userId="" providerId="Windows Live"/>
  <person displayName="Bénéwendé Arcus Marie ZOUNGRANA" id="{8B06D484-4323-44DE-8D2D-5F7F6535D9C7}" userId="647fc5cb643b48aa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C580F5-1ABC-41E0-8B0A-CB73A01DD91E}" name="Table4" displayName="Table4" ref="H10:J15" totalsRowShown="0" headerRowDxfId="161" dataDxfId="160">
  <autoFilter ref="H10:J15" xr:uid="{9DC580F5-1ABC-41E0-8B0A-CB73A01DD91E}"/>
  <tableColumns count="3">
    <tableColumn id="1" xr3:uid="{B8E2BFC1-4365-44A7-B0ED-19B68A88E45F}" name="Parameter" dataDxfId="159"/>
    <tableColumn id="2" xr3:uid="{B0480422-1F14-44CC-B337-6BF7542943CB}" name="Value" dataDxfId="158"/>
    <tableColumn id="3" xr3:uid="{B8F2FB03-C6E8-4B7C-BA40-B1442FF77348}" name="Source" dataDxfId="15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C190AF-C450-412C-A708-8EF4A2550042}" name="Table5" displayName="Table5" ref="P3:S7" totalsRowShown="0" headerRowDxfId="156" dataDxfId="155">
  <autoFilter ref="P3:S7" xr:uid="{E2C190AF-C450-412C-A708-8EF4A2550042}"/>
  <tableColumns count="4">
    <tableColumn id="1" xr3:uid="{2C1FFB2F-AF3F-4A27-8F50-7C75FFC47273}" name="Scenario" dataDxfId="154"/>
    <tableColumn id="2" xr3:uid="{0A9753BB-E417-4E7A-B6B1-B43D2AC56C0D}" name="Original Total (Abdoul)" dataDxfId="153"/>
    <tableColumn id="3" xr3:uid="{7A31C4ED-8DC7-4547-A50A-2BB3BB98FE95}" name="+ Extended Load" dataDxfId="152"/>
    <tableColumn id="4" xr3:uid="{D80A5B79-3343-4BAC-A3FD-035C50525C20}" name="New TOTAL" dataDxfId="151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D45D2F0-98F4-43ED-A805-64E5D5307069}" name="Table6" displayName="Table6" ref="L26:Q30" totalsRowShown="0" headerRowDxfId="150" dataDxfId="149">
  <autoFilter ref="L26:Q30" xr:uid="{4D45D2F0-98F4-43ED-A805-64E5D5307069}"/>
  <tableColumns count="6">
    <tableColumn id="1" xr3:uid="{E184F488-E664-46EF-91BF-1BC45B8B521A}" name="Scenario" dataDxfId="148"/>
    <tableColumn id="2" xr3:uid="{B98B6222-D44D-4BBF-B218-11D109C7445F}" name="Energy (kWh/day)" dataDxfId="147"/>
    <tableColumn id="3" xr3:uid="{E5549AC5-ED05-4C8C-A6FA-381DDB3E6E9E}" name="PV required (kWp)" dataDxfId="146"/>
    <tableColumn id="4" xr3:uid="{5DD47101-34B8-42BD-87ED-B1FB30E61E47}" name="No. of 400W panels" dataDxfId="145"/>
    <tableColumn id="5" xr3:uid="{CFDEC47C-1CEF-47DC-8027-918F81A316DC}" name="Area (m²)" dataDxfId="144"/>
    <tableColumn id="6" xr3:uid="{37A46260-E702-4679-BC93-FC760C77D1B8}" name="Area (ha)" dataDxfId="143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8951DC-D781-4A08-BE25-5788ACE67500}" name="Table7" displayName="Table7" ref="L35:O39" totalsRowShown="0" headerRowDxfId="142" dataDxfId="141">
  <autoFilter ref="L35:O39" xr:uid="{448951DC-D781-4A08-BE25-5788ACE67500}"/>
  <tableColumns count="4">
    <tableColumn id="1" xr3:uid="{CD52C4E9-B061-4BC5-A1DB-9E5A4566A20C}" name="Scenario" dataDxfId="140"/>
    <tableColumn id="2" xr3:uid="{C1A391E4-82E9-4B72-9009-5695DAE59118}" name="Energy/8h (kWh)" dataDxfId="139"/>
    <tableColumn id="3" xr3:uid="{9CCF14E0-CA70-437A-9899-D47049433BE4}" name="With losses (kWh)" dataDxfId="138"/>
    <tableColumn id="4" xr3:uid="{69FD8837-6441-4A3D-B0F7-A9468E6E3ECE}" name="Nominal capacity (kWh)" dataDxfId="137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A932467-02D2-4F2E-BE70-0C330E4A881D}" name="Table8" displayName="Table8" ref="L42:O46" totalsRowShown="0" headerRowDxfId="136" dataDxfId="135">
  <autoFilter ref="L42:O46" xr:uid="{6A932467-02D2-4F2E-BE70-0C330E4A881D}"/>
  <tableColumns count="4">
    <tableColumn id="1" xr3:uid="{552D60E0-A25F-4E46-B279-FA5A28AA1063}" name="Scenario" dataDxfId="134"/>
    <tableColumn id="2" xr3:uid="{642CE88C-057A-47CF-BF68-7A12CB200E13}" name="PV cost ($)" dataDxfId="133"/>
    <tableColumn id="3" xr3:uid="{55087205-96A0-46B0-AC16-9EE825F3BD71}" name="Battery ($)" dataDxfId="132"/>
    <tableColumn id="4" xr3:uid="{320CA687-C402-4CB2-8BF7-28D6D04E674B}" name="Subtotal (excl. inverter)" dataDxfId="131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0B49E62-8AA3-411B-B54C-2EE3F44D3D48}" name="Table9" displayName="Table9" ref="B68:C73" totalsRowShown="0" headerRowDxfId="130" dataDxfId="129">
  <autoFilter ref="B68:C73" xr:uid="{10B49E62-8AA3-411B-B54C-2EE3F44D3D48}"/>
  <tableColumns count="2">
    <tableColumn id="1" xr3:uid="{495A2024-60F6-42F7-981D-0EC286727055}" name="Screen" dataDxfId="128"/>
    <tableColumn id="2" xr3:uid="{755049E7-3EEE-4DC5-B6B6-45D208956CBD}" name="Content" dataDxfId="127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52F911D-F100-47D8-8FC3-5D3E0BD19D70}" name="Table10" displayName="Table10" ref="B58:D61" totalsRowShown="0" headerRowDxfId="126" dataDxfId="125">
  <autoFilter ref="B58:D61" xr:uid="{D52F911D-F100-47D8-8FC3-5D3E0BD19D70}"/>
  <tableColumns count="3">
    <tableColumn id="1" xr3:uid="{CDDAE4F4-647F-46AB-8209-4530B35DD1FD}" name="Parameter" dataDxfId="124"/>
    <tableColumn id="2" xr3:uid="{606BCBD9-AD3B-4A61-A962-F406C4A9C9E7}" name="Value" dataDxfId="123"/>
    <tableColumn id="3" xr3:uid="{111B7450-F2A0-4F67-82FA-3C6C4767503A}" name="Comment" dataDxfId="122"/>
  </tableColumns>
  <tableStyleInfo name="TableStyleLight1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644C370-D105-445A-8279-9ECADCBE6A9E}" name="Table11" displayName="Table11" ref="F58:L62" totalsRowShown="0" headerRowDxfId="121" dataDxfId="120">
  <autoFilter ref="F58:L62" xr:uid="{7644C370-D105-445A-8279-9ECADCBE6A9E}"/>
  <tableColumns count="7">
    <tableColumn id="1" xr3:uid="{61CB783B-62C3-4E8F-8575-BC96FEDAF728}" name="Scenario" dataDxfId="119"/>
    <tableColumn id="2" xr3:uid="{79394F7B-B735-4C81-8FBE-1486C4434AC3}" name="Annual Production (kWh/yr)" dataDxfId="118"/>
    <tableColumn id="3" xr3:uid="{18962A85-CC51-4E5E-83E0-8A13A08C4E62}" name="PV Emissions (kg CO₂/yr)" dataDxfId="117"/>
    <tableColumn id="4" xr3:uid="{865B7B3E-A775-4B4B-8663-EC6EC3DABC68}" name="Grid Equivalent (kg CO₂/yr)" dataDxfId="116"/>
    <tableColumn id="5" xr3:uid="{C4FB733B-8D99-459A-A5AF-2972523D20CC}" name="+ Generator (kg CO₂/yr)" dataDxfId="115"/>
    <tableColumn id="6" xr3:uid="{516A31C3-73B9-4402-AD5F-F059B6FC291A}" name="Total System Emissions" dataDxfId="114"/>
    <tableColumn id="7" xr3:uid="{9791C282-DAF0-47EE-8AA7-3236043798C0}" name="Reduction vs Grid" dataDxfId="113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3B5BED7-8BB6-49C3-B05F-F5D5322B309C}" name="Table12" displayName="Table12" ref="B5:C16" totalsRowShown="0" headerRowDxfId="112" dataDxfId="111">
  <autoFilter ref="B5:C16" xr:uid="{B3B5BED7-8BB6-49C3-B05F-F5D5322B309C}"/>
  <tableColumns count="2">
    <tableColumn id="1" xr3:uid="{0CC8CD02-1550-4F7E-B71E-A56A49340243}" name="Term / Abbreviation" dataDxfId="110"/>
    <tableColumn id="2" xr3:uid="{97DCE0BE-9ACE-4F27-8A8B-7240E5BB77F3}" name="Definition" dataDxfId="109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DE741E4-62D0-47ED-8551-F326AAEF0FB1}" name="Table13" displayName="Table13" ref="L8:N12" totalsRowShown="0" headerRowDxfId="108" dataDxfId="107">
  <autoFilter ref="L8:N12" xr:uid="{EDE741E4-62D0-47ED-8551-F326AAEF0FB1}"/>
  <tableColumns count="3">
    <tableColumn id="1" xr3:uid="{6E3284C9-6692-4728-9AF9-7E8BF4D6F4BA}" name="Parameter" dataDxfId="106"/>
    <tableColumn id="2" xr3:uid="{2FA1ACCE-702A-4041-BEF5-98EE436367CA}" name="Value" dataDxfId="105"/>
    <tableColumn id="3" xr3:uid="{5AD9B4EB-8369-4D93-AE2E-8BE158293515}" name="Source" dataDxfId="104"/>
  </tableColumns>
  <tableStyleInfo name="TableStyleLight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7FCF354-D5F8-41BF-82BB-CE15410B69BF}" name="Table14" displayName="Table14" ref="R8:T13" totalsRowShown="0" headerRowDxfId="103" dataDxfId="102">
  <autoFilter ref="R8:T13" xr:uid="{B7FCF354-D5F8-41BF-82BB-CE15410B69BF}"/>
  <tableColumns count="3">
    <tableColumn id="1" xr3:uid="{6B4F370E-8917-4DD6-A0A9-8DAB27AD166F}" name="Parameter" dataDxfId="101"/>
    <tableColumn id="2" xr3:uid="{41245AEB-AE5B-4C79-AC34-E756B56FB9F5}" name="Value" dataDxfId="100"/>
    <tableColumn id="3" xr3:uid="{86765024-F6E8-4CA8-B17A-DD71F18EB5E0}" name="Source" dataDxfId="99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9491EAD-8F3A-4365-A4D1-1004A562ECDD}" name="Table516" displayName="Table516" ref="X8:AA12" totalsRowShown="0" headerRowDxfId="98" dataDxfId="97">
  <autoFilter ref="X8:AA12" xr:uid="{F9491EAD-8F3A-4365-A4D1-1004A562ECDD}"/>
  <tableColumns count="4">
    <tableColumn id="1" xr3:uid="{3A42ACD2-4734-4B9A-94A0-C80983D67309}" name="Scenario" dataDxfId="96"/>
    <tableColumn id="2" xr3:uid="{8F8D7EE1-39A0-4FC4-8461-3F528B815119}" name="Original Total (Abdoul)" dataDxfId="95"/>
    <tableColumn id="3" xr3:uid="{66BB0B2A-040B-45C2-9C28-4214DC283B19}" name="+ Extended Load" dataDxfId="94"/>
    <tableColumn id="4" xr3:uid="{56589B10-F911-4E8A-B1CA-504335936EC8}" name="New TOTAL" dataDxfId="93"/>
  </tableColumns>
  <tableStyleInfo name="TableStyleLight1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31F287-FA05-4C48-822B-D9810C165457}" name="Table62" displayName="Table62" ref="E36:J40" totalsRowShown="0" headerRowDxfId="92" dataDxfId="91">
  <autoFilter ref="E36:J40" xr:uid="{FD31F287-FA05-4C48-822B-D9810C165457}"/>
  <tableColumns count="6">
    <tableColumn id="1" xr3:uid="{6BBC6055-379C-4BBA-BB3F-9D56898B2B69}" name="Scenario" dataDxfId="90"/>
    <tableColumn id="2" xr3:uid="{FEF3E7B0-C50E-4078-8876-D007376BE2D2}" name="Energy (kWh/day)" dataDxfId="89"/>
    <tableColumn id="3" xr3:uid="{00C6F3C3-9275-4EF1-A0D5-2D458360C194}" name="PV required (kWp)" dataDxfId="88"/>
    <tableColumn id="4" xr3:uid="{DF78E3C6-03E9-4978-9D33-EC5D975D0152}" name="No. of 400W panels" dataDxfId="87"/>
    <tableColumn id="5" xr3:uid="{E1A0656B-BA9B-43FA-BA75-61BC4B4FDCBA}" name="Area (m²)" dataDxfId="86"/>
    <tableColumn id="6" xr3:uid="{3DF14469-183B-4F24-B281-5700B21CE8C5}" name="Area (ha)" dataDxfId="85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0DA6B4-1904-4E4B-A18F-B6BC9A0CC6C2}" name="Table73" displayName="Table73" ref="F47:I51" totalsRowShown="0" headerRowDxfId="84" dataDxfId="83">
  <autoFilter ref="F47:I51" xr:uid="{360DA6B4-1904-4E4B-A18F-B6BC9A0CC6C2}"/>
  <tableColumns count="4">
    <tableColumn id="1" xr3:uid="{93E65EBA-3C9A-48BF-9B9C-6E0E5A6C9F80}" name="Scenario" dataDxfId="82"/>
    <tableColumn id="2" xr3:uid="{3005B769-2A1A-43B9-A1B0-36C96C0369A3}" name="Energy/8h (kWh)" dataDxfId="81"/>
    <tableColumn id="3" xr3:uid="{879BCFE5-4855-4794-8E4C-54D2EDDBF609}" name="With losses (kWh)" dataDxfId="80"/>
    <tableColumn id="4" xr3:uid="{03853E53-FEB8-4B01-B0E0-F6F37F191246}" name="Nominal capacity (kWh)" dataDxfId="79"/>
  </tableColumns>
  <tableStyleInfo name="TableStyleLight1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8B3987-75F4-4183-9401-BF164DD53776}" name="Table84" displayName="Table84" ref="F58:I62" totalsRowShown="0" headerRowDxfId="78" dataDxfId="77">
  <autoFilter ref="F58:I62" xr:uid="{6A8B3987-75F4-4183-9401-BF164DD53776}"/>
  <tableColumns count="4">
    <tableColumn id="1" xr3:uid="{8A7F1C9B-2D31-41DE-B0F5-4D77E06EDC53}" name="Scenario" dataDxfId="76"/>
    <tableColumn id="2" xr3:uid="{D3103AFF-309C-4D14-AA6A-9DC1E0AAA856}" name="PV cost ($)" dataDxfId="75"/>
    <tableColumn id="3" xr3:uid="{1F2780AA-1518-451E-ACE9-07D4AB068DA9}" name="Battery ($)" dataDxfId="74"/>
    <tableColumn id="4" xr3:uid="{10ABABA8-316E-4FCB-8E78-903E7B910CF5}" name="Subtotal (excl. inverter)" dataDxfId="73"/>
  </tableColumns>
  <tableStyleInfo name="TableStyleLight1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F1CAA6F-D84A-4725-9C33-E68157DCC17C}" name="Table16" displayName="Table16" ref="B69:E73" totalsRowShown="0" headerRowDxfId="72" dataDxfId="71">
  <autoFilter ref="B69:E73" xr:uid="{8F1CAA6F-D84A-4725-9C33-E68157DCC17C}"/>
  <tableColumns count="4">
    <tableColumn id="1" xr3:uid="{D1B0ADE3-9E63-4869-AF65-8B5CE13F763A}" name="Parameter" dataDxfId="70"/>
    <tableColumn id="2" xr3:uid="{1CD0E490-FEF6-42EC-8E97-8B1C4E841698}" name="Fixed-Tilt" dataDxfId="69"/>
    <tableColumn id="3" xr3:uid="{EB3CD6E1-4606-456B-B452-3474CAA5B5FF}" name="Tracking" dataDxfId="68"/>
    <tableColumn id="4" xr3:uid="{F0AC3825-0CE1-4987-883F-C363BA0B6528}" name="Comment" dataDxfId="67"/>
  </tableColumns>
  <tableStyleInfo name="TableStyleLight1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E18C287-09E0-4184-B089-3C4DD91C2D12}" name="Table17" displayName="Table17" ref="B78:D87" totalsRowShown="0" headerRowDxfId="66" dataDxfId="65">
  <autoFilter ref="B78:D87" xr:uid="{CE18C287-09E0-4184-B089-3C4DD91C2D12}"/>
  <tableColumns count="3">
    <tableColumn id="1" xr3:uid="{B082F0D0-CC72-4606-ACAB-426F9469051A}" name="Parameter" dataDxfId="64"/>
    <tableColumn id="2" xr3:uid="{358A5A4C-ACE2-473A-A823-EA225FD507BB}" name="Value" dataDxfId="63"/>
    <tableColumn id="3" xr3:uid="{1DC3F3EF-EC1E-4AAA-AE27-227457BAFF5C}" name="Comment" dataDxfId="62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5F53602-6FB0-400A-89F8-4715114100C6}" name="Table1019" displayName="Table1019" ref="B92:D95" totalsRowShown="0" headerRowDxfId="61" dataDxfId="60">
  <autoFilter ref="B92:D95" xr:uid="{B5F53602-6FB0-400A-89F8-4715114100C6}"/>
  <tableColumns count="3">
    <tableColumn id="1" xr3:uid="{155709BB-DC21-4C44-92A3-AE254DE9161B}" name="Parameter" dataDxfId="59"/>
    <tableColumn id="2" xr3:uid="{EDEA325A-F1BA-442E-9A16-9811338C546D}" name="Value" dataDxfId="58"/>
    <tableColumn id="3" xr3:uid="{F8584D6F-CDD7-47CF-8DD6-625B8AD3C323}" name="Comment" dataDxfId="57"/>
  </tableColumns>
  <tableStyleInfo name="TableStyleLight1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B511EB4-3A20-4056-AD40-F77DE9142A5D}" name="Table1123" displayName="Table1123" ref="F92:L96" totalsRowShown="0" headerRowDxfId="56" dataDxfId="55">
  <autoFilter ref="F92:L96" xr:uid="{6B511EB4-3A20-4056-AD40-F77DE9142A5D}"/>
  <tableColumns count="7">
    <tableColumn id="1" xr3:uid="{B85A3D86-7257-4ABF-A3CA-29CB58A9671B}" name="Scenario" dataDxfId="54"/>
    <tableColumn id="2" xr3:uid="{21BE9CAE-B2F9-4FC7-84FF-F6194455FBF3}" name="Annual Production (kWh/yr)" dataDxfId="53"/>
    <tableColumn id="3" xr3:uid="{543D5FE1-4BE3-4EC8-BEA6-969B01549EC2}" name="PV Emissions (kg CO₂/yr)" dataDxfId="52"/>
    <tableColumn id="4" xr3:uid="{553ED81B-4207-4DA8-A747-09B1C30F7E62}" name="Grid Equivalent (kg CO₂/yr)" dataDxfId="51"/>
    <tableColumn id="5" xr3:uid="{79398174-75C3-4B1D-8C7A-2ADF3EDB1D51}" name="+ Generator (kg CO₂/yr)" dataDxfId="50"/>
    <tableColumn id="6" xr3:uid="{F6020B91-A020-4324-A7AE-D648CD863DB9}" name="Total System Emissions" dataDxfId="49"/>
    <tableColumn id="7" xr3:uid="{ACFB10EC-4DA6-4F85-BCDA-714D1961EA83}" name="Reduction vs Grid" dataDxfId="48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7FE031A-1963-4B47-BEF7-83E334D3D081}" name="Table924" displayName="Table924" ref="B101:C106" totalsRowShown="0" headerRowDxfId="47" dataDxfId="46">
  <autoFilter ref="B101:C106" xr:uid="{97FE031A-1963-4B47-BEF7-83E334D3D081}"/>
  <tableColumns count="2">
    <tableColumn id="1" xr3:uid="{1DC614B9-B28F-4C7E-AB73-A6A06D252743}" name="Screen" dataDxfId="45"/>
    <tableColumn id="2" xr3:uid="{F5155985-C3D6-43DC-A9BA-7ABF77D8A2BB}" name="Content" dataDxfId="44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465D94C-DF8A-41D4-AE8E-1D443070FBA6}" name="Tableau730" displayName="Tableau730" ref="A12:C18" totalsRowShown="0" headerRowDxfId="43" dataDxfId="42">
  <autoFilter ref="A12:C18" xr:uid="{F9B6E3D6-4642-474A-BF1B-75555B5FB5E2}"/>
  <tableColumns count="3">
    <tableColumn id="1" xr3:uid="{E70E637A-B135-4C05-9E37-8F59C5334F3F}" name="Benefit type" dataDxfId="41"/>
    <tableColumn id="2" xr3:uid="{2C4F2AA3-1D7F-4D8D-9CC5-EE38E2406D17}" name="Amount" dataDxfId="40"/>
    <tableColumn id="3" xr3:uid="{EBCC3121-CD73-4F5F-A831-498CDC42DCE6}" name="Details" dataDxfId="39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94C271E-C976-4F7F-9940-CA8F0ED709CB}" name="Tableau1434" displayName="Tableau1434" ref="A3:C8" totalsRowShown="0" headerRowDxfId="38" dataDxfId="37">
  <autoFilter ref="A3:C8" xr:uid="{349C2764-B7C0-4860-B179-CA39241CFC68}"/>
  <tableColumns count="3">
    <tableColumn id="1" xr3:uid="{8118D967-DD74-4ECE-9511-CF5E94FCDF24}" name="PSH Burkina Faso" dataDxfId="36"/>
    <tableColumn id="2" xr3:uid="{E3AE2409-C96C-448C-9BB7-5F6E7AC835FD}" name="_x0009_Diesel Cost (LCOE)" dataDxfId="35"/>
    <tableColumn id="3" xr3:uid="{396EBA3D-219C-4408-B208-797C91AB1F7B}" name="_x0009_Grid Emission Factor" dataDxfId="34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1E764C27-A7D2-4E0E-AF6E-98984748B96C}" name="Tableau1131" displayName="Tableau1131" ref="A22:C25" totalsRowShown="0" headerRowDxfId="33" dataDxfId="32">
  <autoFilter ref="A22:C25" xr:uid="{CED7CCD6-34C5-40BD-9E6D-857D4B0EDC6C}"/>
  <tableColumns count="3">
    <tableColumn id="1" xr3:uid="{18D2097C-E6D3-4DA5-8D37-0FF753B15D00}" name="Benefit type" dataDxfId="31"/>
    <tableColumn id="2" xr3:uid="{DBB759C5-F518-4E44-AF11-F4776C098EFB}" name="Amount" dataDxfId="30"/>
    <tableColumn id="3" xr3:uid="{DB1CFD03-19DA-463E-8021-3A466300A71E}" name="Details" dataDxfId="29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5116A30-0309-4BAF-8924-BDD017D62B49}" name="Table19" displayName="Table19" ref="A6:C14" totalsRowShown="0" headerRowDxfId="190" dataDxfId="189">
  <autoFilter ref="A6:C14" xr:uid="{85116A30-0309-4BAF-8924-BDD017D62B49}"/>
  <tableColumns count="3">
    <tableColumn id="1" xr3:uid="{DEB26626-8261-4F5A-A443-7D866F1D0938}" name="Parameter" dataDxfId="188"/>
    <tableColumn id="2" xr3:uid="{39EFBE4A-9EFB-4CE8-BF1C-AEAC61E15A41}" name="Value" dataDxfId="187"/>
    <tableColumn id="3" xr3:uid="{DC5FA7A1-A914-4FC1-8917-07FE7DE18DBA}" name="Source" dataDxfId="186"/>
  </tableColumns>
  <tableStyleInfo name="TableStyleLight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220334E-603D-4753-B2EE-7AFDDC30B6C2}" name="Table20" displayName="Table20" ref="A21:F25" totalsRowShown="0" headerRowDxfId="185" dataDxfId="0">
  <autoFilter ref="A21:F25" xr:uid="{C220334E-603D-4753-B2EE-7AFDDC30B6C2}"/>
  <tableColumns count="6">
    <tableColumn id="1" xr3:uid="{7500FC79-9A77-4C8E-AF57-3BA27141CB47}" name="Scenario" dataDxfId="6"/>
    <tableColumn id="2" xr3:uid="{BE3720ED-FE73-4092-BE3F-A5D903EF58A7}" name="Pump (corrected)" dataDxfId="5"/>
    <tableColumn id="3" xr3:uid="{A663DFC8-DB81-4878-B9A8-131F6170187D}" name="Misc." dataDxfId="4"/>
    <tableColumn id="4" xr3:uid="{12722B78-C79F-4A50-B338-75D392C4BE71}" name="Extended (Aida)" dataDxfId="3"/>
    <tableColumn id="5" xr3:uid="{2CD79A6F-F158-4E02-9A45-9C1AB21FC227}" name="Dryer" dataDxfId="2"/>
    <tableColumn id="6" xr3:uid="{A84D8320-BE7E-4451-9647-8B339706B44A}" name="TOTAL (kWh/day)" dataDxfId="1"/>
  </tableColumns>
  <tableStyleInfo name="TableStyleLight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C6B92B9-47D8-49E1-AC47-78F5BBABBD66}" name="Table21" displayName="Table21" ref="A31:F35" totalsRowShown="0" headerRowDxfId="184" dataDxfId="183">
  <autoFilter ref="A31:F35" xr:uid="{BC6B92B9-47D8-49E1-AC47-78F5BBABBD66}"/>
  <tableColumns count="6">
    <tableColumn id="1" xr3:uid="{7D157030-B22C-4784-90A8-BA438D3C8811}" name="Scenario" dataDxfId="182"/>
    <tableColumn id="2" xr3:uid="{3EBB14ED-A33C-4147-BEF1-A134A36EC264}" name="Energy (kWh/day)" dataDxfId="181"/>
    <tableColumn id="3" xr3:uid="{0C3B211E-F279-417D-9C96-A60F192DB1B4}" name="PV required (kWp)" dataDxfId="180"/>
    <tableColumn id="4" xr3:uid="{CFCB5658-EFB6-456B-BD54-994060C8AB3D}" name="No. of 400W panels" dataDxfId="179"/>
    <tableColumn id="5" xr3:uid="{825B4CBD-A7EE-4484-9C58-FCD1AC3E9657}" name="Area (m²)" dataDxfId="178"/>
    <tableColumn id="6" xr3:uid="{E00C9E3B-1E8E-4712-BA24-1EC8724903C8}" name="Area (ha)" dataDxfId="177"/>
  </tableColumns>
  <tableStyleInfo name="TableStyleLight1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BC8D30F-BA7E-4D9F-AD98-9FDECF2BE00D}" name="Table24" displayName="Table24" ref="A40:D44" totalsRowShown="0" headerRowDxfId="176" dataDxfId="175">
  <autoFilter ref="A40:D44" xr:uid="{6BC8D30F-BA7E-4D9F-AD98-9FDECF2BE00D}"/>
  <tableColumns count="4">
    <tableColumn id="1" xr3:uid="{95820E70-2839-4F38-B53F-D94EC6301DEF}" name="Scenario" dataDxfId="174"/>
    <tableColumn id="2" xr3:uid="{96D3DC96-003C-4528-94E0-F493541A33A0}" name="Energy/8h (kWh)" dataDxfId="173"/>
    <tableColumn id="3" xr3:uid="{675AD0AB-0540-4AA7-A28F-00112F40F97E}" name="With losses (kWh)" dataDxfId="172"/>
    <tableColumn id="4" xr3:uid="{9D871537-E9CE-4692-9453-B87E1F626969}" name="Nominal capacity (kWh)" dataDxfId="171"/>
  </tableColumns>
  <tableStyleInfo name="TableStyleLight1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658F326-1A8F-4288-8B51-916A9592A7A3}" name="Table25" displayName="Table25" ref="A49:D53" totalsRowShown="0" headerRowDxfId="170" dataDxfId="7">
  <autoFilter ref="A49:D53" xr:uid="{1658F326-1A8F-4288-8B51-916A9592A7A3}"/>
  <tableColumns count="4">
    <tableColumn id="1" xr3:uid="{DFC44D2D-0577-4254-AC1E-2D257AE34515}" name="Scenario" dataDxfId="11"/>
    <tableColumn id="2" xr3:uid="{D4EF2D05-833B-4958-AA7D-6EB222C04391}" name="PV cost ($)" dataDxfId="10"/>
    <tableColumn id="3" xr3:uid="{17D5F8E1-89E0-4D52-ABD8-4D1C6D90A6C1}" name="Battery ($)" dataDxfId="9"/>
    <tableColumn id="4" xr3:uid="{DB36AD43-0470-4B09-9243-78682D9A83F0}" name="Subtotal (excl. inverter)" dataDxfId="8"/>
  </tableColumns>
  <tableStyleInfo name="TableStyleLight13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55CC7A6-D36C-4A5D-B23E-7CBB83FACBA8}" name="Table26" displayName="Table26" ref="A58:D64" totalsRowShown="0" headerRowDxfId="169" dataDxfId="12">
  <autoFilter ref="A58:D64" xr:uid="{355CC7A6-D36C-4A5D-B23E-7CBB83FACBA8}"/>
  <tableColumns count="4">
    <tableColumn id="1" xr3:uid="{A7B5702B-0434-446E-AE76-4FC9CC9828CF}" name="Parameter" dataDxfId="16"/>
    <tableColumn id="2" xr3:uid="{9C68EE5C-4FB0-4C77-8E09-36E708F2CEC7}" name="Fixed-Tilt" dataDxfId="15"/>
    <tableColumn id="3" xr3:uid="{4A1FF7AA-E765-46CB-B309-B03E0210B3F5}" name="Tracking" dataDxfId="14"/>
    <tableColumn id="4" xr3:uid="{B8273E41-3F1F-433A-B04B-FA596B4E5891}" name="Comment" dataDxfId="13"/>
  </tableColumns>
  <tableStyleInfo name="TableStyleLight14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B08037B-52C5-49C0-8F6F-E6FE9C72F12C}" name="Table27" displayName="Table27" ref="A69:C74" totalsRowShown="0" headerRowDxfId="168" dataDxfId="167">
  <autoFilter ref="A69:C74" xr:uid="{6B08037B-52C5-49C0-8F6F-E6FE9C72F12C}"/>
  <tableColumns count="3">
    <tableColumn id="1" xr3:uid="{37EF3812-ED85-4471-929C-0656BEFA852C}" name="Parameter" dataDxfId="166"/>
    <tableColumn id="2" xr3:uid="{72DC59F3-7E8C-42D2-84A0-2A1471D3149A}" name="Value" dataDxfId="165"/>
    <tableColumn id="3" xr3:uid="{3303A46E-8F97-42BC-AD15-F490BA867D57}" name="Comment" dataDxfId="164"/>
  </tableColumns>
  <tableStyleInfo name="TableStyleLight1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2D9C37A-6F72-49CE-898D-FC5F0CE19A37}" name="Table28" displayName="Table28" ref="A80:G84" totalsRowShown="0" headerRowDxfId="163" dataDxfId="21">
  <autoFilter ref="A80:G84" xr:uid="{D2D9C37A-6F72-49CE-898D-FC5F0CE19A37}"/>
  <tableColumns count="7">
    <tableColumn id="1" xr3:uid="{9B3BEAEB-38C2-41A1-88D5-145AE326479A}" name="Scenario" dataDxfId="28"/>
    <tableColumn id="2" xr3:uid="{0A98C849-12D8-4FDA-9203-BF47220E7E98}" name="Annual Production (kWh/yr)" dataDxfId="27"/>
    <tableColumn id="3" xr3:uid="{85F1816A-B173-44DE-8A1B-532118C47CC5}" name="PV Emissions (kg CO₂/yr)" dataDxfId="26"/>
    <tableColumn id="4" xr3:uid="{D32CEF7F-479A-43F0-9832-5B6AC0562890}" name="Grid Equivalent (kg CO₂/yr)" dataDxfId="25"/>
    <tableColumn id="5" xr3:uid="{27D5E875-5C7D-4F91-B51B-F6FF4D788E0B}" name="+ Generator" dataDxfId="24"/>
    <tableColumn id="6" xr3:uid="{65796C6B-76F1-4087-B6E2-5019CBD5BB85}" name="Total Emissions" dataDxfId="23"/>
    <tableColumn id="7" xr3:uid="{F2CE2B69-5242-4E63-AFD1-3DAA0F33EF68}" name="Reduction vs Grid" dataDxfId="22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EE5F8D9-9F91-4123-9998-AD4F706B1F95}" name="Table29" displayName="Table29" ref="A89:C92" totalsRowShown="0" headerRowDxfId="162" dataDxfId="17">
  <autoFilter ref="A89:C92" xr:uid="{AEE5F8D9-9F91-4123-9998-AD4F706B1F95}"/>
  <tableColumns count="3">
    <tableColumn id="1" xr3:uid="{2ACDB6DF-C6C7-4D7B-A320-9FCBEA6A25B4}" name="Scenario" dataDxfId="20"/>
    <tableColumn id="2" xr3:uid="{A326671F-F24E-4774-9DFF-B4100958271C}" name="Dried Output (kg/day)" dataDxfId="19"/>
    <tableColumn id="3" xr3:uid="{ECD55F17-1929-4E9B-A30E-D38045028B0E}" name="CO₂/kg dried mango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C4" dT="2025-10-01T16:07:44.22" personId="{02E52B62-B1FB-48C7-92A0-239BF5515333}" id="{2057BC50-2FB4-4737-A9F7-799BCFC0BEE7}">
    <text>is this a small pump? would it be enough for the farm?</text>
  </threadedComment>
  <threadedComment ref="C4" dT="2025-11-28T09:30:19.99" personId="{4D9BE69F-A665-4781-85A1-D80CE12975BE}" id="{F0BF2B4D-4AC8-48FF-AF56-2393D17E2604}" parentId="{2057BC50-2FB4-4737-A9F7-799BCFC0BEE7}">
    <text>Just for the scenario</text>
  </threadedComment>
  <threadedComment ref="C5" dT="2025-10-01T16:08:05.67" personId="{02E52B62-B1FB-48C7-92A0-239BF5515333}" id="{C6353A66-E392-49DB-BFDF-8484511A7CC8}">
    <text>why did you assume that the pump is needed only for 4 hours?</text>
  </threadedComment>
  <threadedComment ref="B8" dT="2025-10-01T16:08:23.67" personId="{02E52B62-B1FB-48C7-92A0-239BF5515333}" id="{FD2D9EAE-BDCF-46E7-B61F-ABFAA18D7E3A}">
    <text>what is meant by Misc??</text>
  </threadedComment>
  <threadedComment ref="B8" dT="2025-11-28T09:29:32.75" personId="{4D9BE69F-A665-4781-85A1-D80CE12975BE}" id="{05031911-7FE0-4A93-B88D-E252FD4EE15A}" parentId="{FD2D9EAE-BDCF-46E7-B61F-ABFAA18D7E3A}">
    <text xml:space="preserve">used for Miscellaneous load </text>
  </threadedComment>
  <threadedComment ref="B12" dT="2025-10-01T16:08:52.58" personId="{02E52B62-B1FB-48C7-92A0-239BF5515333}" id="{FA25FB5E-137C-4583-81C6-699DC5C8F135}">
    <text>what does PSH stands for? could you explain?</text>
  </threadedComment>
  <threadedComment ref="B12" dT="2025-11-28T09:28:38.70" personId="{4D9BE69F-A665-4781-85A1-D80CE12975BE}" id="{D6623E76-D1F7-474D-B3BC-227468AC4BAF}" parentId="{FA25FB5E-137C-4583-81C6-699DC5C8F135}">
    <text>Peak Sun Hours: equivalent full-power sunlight hours</text>
  </threadedComment>
  <threadedComment ref="B15" dT="2025-10-01T16:09:38.99" personId="{02E52B62-B1FB-48C7-92A0-239BF5515333}" id="{976A7DD3-3766-4FAD-8D8E-E1D7EB52E343}">
    <text>what is meant by Derate?</text>
  </threadedComment>
  <threadedComment ref="B15" dT="2025-11-28T09:28:58.74" personId="{4D9BE69F-A665-4781-85A1-D80CE12975BE}" id="{97B27553-A705-4A93-94C3-287F96B98731}" parentId="{976A7DD3-3766-4FAD-8D8E-E1D7EB52E343}">
    <text>Overall PV system losses (heat, dust, cables)</text>
  </threadedComment>
  <threadedComment ref="B33" dT="2025-10-01T16:10:56.33" personId="{02E52B62-B1FB-48C7-92A0-239BF5515333}" id="{8A2FF993-3F77-4D6C-831C-0BC82BCA3533}">
    <text>please add the costs calculations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Relationship Id="rId11" Type="http://schemas.microsoft.com/office/2017/10/relationships/threadedComment" Target="../threadedComments/threadedComment6.xml"/><Relationship Id="rId5" Type="http://schemas.openxmlformats.org/officeDocument/2006/relationships/table" Target="../tables/table4.xml"/><Relationship Id="rId10" Type="http://schemas.openxmlformats.org/officeDocument/2006/relationships/comments" Target="../comments1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.xml"/><Relationship Id="rId13" Type="http://schemas.openxmlformats.org/officeDocument/2006/relationships/table" Target="../tables/table20.xml"/><Relationship Id="rId3" Type="http://schemas.openxmlformats.org/officeDocument/2006/relationships/table" Target="../tables/table10.xml"/><Relationship Id="rId7" Type="http://schemas.openxmlformats.org/officeDocument/2006/relationships/table" Target="../tables/table14.xml"/><Relationship Id="rId12" Type="http://schemas.openxmlformats.org/officeDocument/2006/relationships/table" Target="../tables/table19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2.vml"/><Relationship Id="rId6" Type="http://schemas.openxmlformats.org/officeDocument/2006/relationships/table" Target="../tables/table13.xml"/><Relationship Id="rId11" Type="http://schemas.openxmlformats.org/officeDocument/2006/relationships/table" Target="../tables/table18.xml"/><Relationship Id="rId5" Type="http://schemas.openxmlformats.org/officeDocument/2006/relationships/table" Target="../tables/table12.xml"/><Relationship Id="rId10" Type="http://schemas.openxmlformats.org/officeDocument/2006/relationships/table" Target="../tables/table17.xml"/><Relationship Id="rId4" Type="http://schemas.openxmlformats.org/officeDocument/2006/relationships/table" Target="../tables/table11.xml"/><Relationship Id="rId9" Type="http://schemas.openxmlformats.org/officeDocument/2006/relationships/table" Target="../tables/table16.xml"/><Relationship Id="rId1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1.xml"/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Relationship Id="rId9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5F9DD-CC96-4F39-ACC3-FD9DE8D7D975}">
  <dimension ref="B1:S75"/>
  <sheetViews>
    <sheetView topLeftCell="D3" workbookViewId="0">
      <selection activeCell="J15" sqref="H10:J15"/>
    </sheetView>
  </sheetViews>
  <sheetFormatPr defaultColWidth="9.109375" defaultRowHeight="15.6" x14ac:dyDescent="0.3"/>
  <cols>
    <col min="1" max="1" width="9.109375" style="25"/>
    <col min="2" max="2" width="34.33203125" style="25" customWidth="1"/>
    <col min="3" max="3" width="42.44140625" style="25" customWidth="1"/>
    <col min="4" max="4" width="40.33203125" style="25" customWidth="1"/>
    <col min="5" max="5" width="26.6640625" style="25" bestFit="1" customWidth="1"/>
    <col min="6" max="6" width="28.109375" style="25" customWidth="1"/>
    <col min="7" max="7" width="37.6640625" style="25" bestFit="1" customWidth="1"/>
    <col min="8" max="8" width="39" style="25" customWidth="1"/>
    <col min="9" max="9" width="32.6640625" style="25" bestFit="1" customWidth="1"/>
    <col min="10" max="10" width="26.21875" style="25" customWidth="1"/>
    <col min="11" max="11" width="24.88671875" style="25" customWidth="1"/>
    <col min="12" max="12" width="31.6640625" style="25" customWidth="1"/>
    <col min="13" max="13" width="20" style="25" bestFit="1" customWidth="1"/>
    <col min="14" max="14" width="18" style="25" customWidth="1"/>
    <col min="15" max="15" width="22.88671875" style="25" customWidth="1"/>
    <col min="16" max="16" width="30.88671875" style="25" bestFit="1" customWidth="1"/>
    <col min="17" max="17" width="21.44140625" style="25" customWidth="1"/>
    <col min="18" max="18" width="16.33203125" style="25" customWidth="1"/>
    <col min="19" max="19" width="15.6640625" style="25" customWidth="1"/>
    <col min="20" max="16384" width="9.109375" style="25"/>
  </cols>
  <sheetData>
    <row r="1" spans="2:19" x14ac:dyDescent="0.3">
      <c r="C1" s="26"/>
      <c r="G1" s="26"/>
      <c r="K1" s="26"/>
    </row>
    <row r="2" spans="2:19" ht="30.75" customHeight="1" x14ac:dyDescent="0.3">
      <c r="B2" s="130" t="s">
        <v>30</v>
      </c>
      <c r="C2" s="131"/>
      <c r="D2" s="29"/>
      <c r="E2" s="132" t="s">
        <v>31</v>
      </c>
      <c r="F2" s="133"/>
      <c r="G2" s="134"/>
      <c r="H2" s="29"/>
      <c r="I2" s="137" t="s">
        <v>32</v>
      </c>
      <c r="J2" s="138"/>
      <c r="K2" s="138"/>
      <c r="L2" s="138"/>
      <c r="M2" s="139"/>
      <c r="P2" s="121" t="s">
        <v>317</v>
      </c>
      <c r="Q2" s="122"/>
      <c r="R2" s="122"/>
      <c r="S2" s="122"/>
    </row>
    <row r="3" spans="2:19" ht="31.2" x14ac:dyDescent="0.3">
      <c r="B3" s="82" t="s">
        <v>7</v>
      </c>
      <c r="C3" s="82" t="s">
        <v>8</v>
      </c>
      <c r="E3" s="81" t="s">
        <v>9</v>
      </c>
      <c r="F3" s="81" t="s">
        <v>6</v>
      </c>
      <c r="G3" s="81" t="s">
        <v>15</v>
      </c>
      <c r="I3" s="79" t="s">
        <v>33</v>
      </c>
      <c r="J3" s="79" t="s">
        <v>34</v>
      </c>
      <c r="K3" s="79" t="s">
        <v>35</v>
      </c>
      <c r="L3" s="79" t="s">
        <v>5</v>
      </c>
      <c r="M3" s="79" t="s">
        <v>36</v>
      </c>
      <c r="N3" s="31"/>
      <c r="O3" s="31"/>
      <c r="P3" s="96" t="s">
        <v>33</v>
      </c>
      <c r="Q3" s="96" t="s">
        <v>318</v>
      </c>
      <c r="R3" s="96" t="s">
        <v>319</v>
      </c>
      <c r="S3" s="96" t="s">
        <v>320</v>
      </c>
    </row>
    <row r="4" spans="2:19" x14ac:dyDescent="0.3">
      <c r="B4" s="33" t="s">
        <v>11</v>
      </c>
      <c r="C4" s="33" t="s">
        <v>37</v>
      </c>
      <c r="E4" s="30" t="s">
        <v>38</v>
      </c>
      <c r="F4" s="72" t="s">
        <v>39</v>
      </c>
      <c r="G4" s="30" t="s">
        <v>40</v>
      </c>
      <c r="I4" s="28" t="s">
        <v>41</v>
      </c>
      <c r="J4" s="30">
        <v>6</v>
      </c>
      <c r="K4" s="30">
        <v>15</v>
      </c>
      <c r="L4" s="30">
        <v>0</v>
      </c>
      <c r="M4" s="28">
        <v>21</v>
      </c>
      <c r="N4" s="31"/>
      <c r="O4" s="31"/>
      <c r="P4" s="97" t="s">
        <v>41</v>
      </c>
      <c r="Q4" s="97">
        <v>21</v>
      </c>
      <c r="R4" s="97">
        <v>11.5</v>
      </c>
      <c r="S4" s="98">
        <v>32.5</v>
      </c>
    </row>
    <row r="5" spans="2:19" ht="31.2" x14ac:dyDescent="0.3">
      <c r="B5" s="33" t="s">
        <v>42</v>
      </c>
      <c r="C5" s="33" t="s">
        <v>43</v>
      </c>
      <c r="E5" s="30" t="s">
        <v>44</v>
      </c>
      <c r="F5" s="72" t="s">
        <v>45</v>
      </c>
      <c r="G5" s="30" t="s">
        <v>46</v>
      </c>
      <c r="I5" s="28" t="s">
        <v>47</v>
      </c>
      <c r="J5" s="30">
        <v>6</v>
      </c>
      <c r="K5" s="30">
        <v>15</v>
      </c>
      <c r="L5" s="30">
        <v>150</v>
      </c>
      <c r="M5" s="28">
        <v>171</v>
      </c>
      <c r="N5" s="31"/>
      <c r="O5" s="31"/>
      <c r="P5" s="97" t="s">
        <v>47</v>
      </c>
      <c r="Q5" s="97">
        <v>171</v>
      </c>
      <c r="R5" s="97">
        <v>11.5</v>
      </c>
      <c r="S5" s="98">
        <v>182.5</v>
      </c>
    </row>
    <row r="6" spans="2:19" x14ac:dyDescent="0.3">
      <c r="B6" s="33" t="s">
        <v>48</v>
      </c>
      <c r="C6" s="33" t="s">
        <v>49</v>
      </c>
      <c r="E6" s="30" t="s">
        <v>50</v>
      </c>
      <c r="F6" s="72" t="s">
        <v>51</v>
      </c>
      <c r="G6" s="30" t="s">
        <v>52</v>
      </c>
      <c r="I6" s="28" t="s">
        <v>53</v>
      </c>
      <c r="J6" s="30">
        <v>6</v>
      </c>
      <c r="K6" s="30">
        <v>15</v>
      </c>
      <c r="L6" s="30">
        <v>600</v>
      </c>
      <c r="M6" s="28">
        <v>621</v>
      </c>
      <c r="N6" s="31"/>
      <c r="O6" s="31"/>
      <c r="P6" s="97" t="s">
        <v>53</v>
      </c>
      <c r="Q6" s="97">
        <v>621</v>
      </c>
      <c r="R6" s="97">
        <v>11.5</v>
      </c>
      <c r="S6" s="98">
        <v>632.5</v>
      </c>
    </row>
    <row r="7" spans="2:19" x14ac:dyDescent="0.3">
      <c r="B7" s="33" t="s">
        <v>12</v>
      </c>
      <c r="C7" s="33" t="s">
        <v>54</v>
      </c>
      <c r="E7" s="30" t="s">
        <v>55</v>
      </c>
      <c r="F7" s="72" t="s">
        <v>56</v>
      </c>
      <c r="G7" s="30" t="s">
        <v>57</v>
      </c>
      <c r="I7" s="28" t="s">
        <v>58</v>
      </c>
      <c r="J7" s="30">
        <v>6</v>
      </c>
      <c r="K7" s="30">
        <v>15</v>
      </c>
      <c r="L7" s="34">
        <v>3000</v>
      </c>
      <c r="M7" s="35">
        <v>3021</v>
      </c>
      <c r="N7" s="31"/>
      <c r="O7" s="31"/>
      <c r="P7" s="97" t="s">
        <v>58</v>
      </c>
      <c r="Q7" s="101">
        <v>3021</v>
      </c>
      <c r="R7" s="97">
        <v>11.5</v>
      </c>
      <c r="S7" s="102">
        <v>3032.5</v>
      </c>
    </row>
    <row r="8" spans="2:19" x14ac:dyDescent="0.3">
      <c r="B8" s="33" t="s">
        <v>13</v>
      </c>
      <c r="C8" s="33" t="s">
        <v>59</v>
      </c>
      <c r="F8" s="36"/>
      <c r="G8" s="37"/>
      <c r="I8" s="38"/>
      <c r="J8" s="38"/>
      <c r="K8" s="32"/>
      <c r="L8" s="5"/>
      <c r="M8" s="32"/>
      <c r="N8" s="31"/>
      <c r="O8" s="31"/>
      <c r="P8" s="31"/>
      <c r="Q8" s="31"/>
      <c r="R8" s="32"/>
    </row>
    <row r="9" spans="2:19" ht="45.75" customHeight="1" x14ac:dyDescent="0.3">
      <c r="B9" s="33" t="s">
        <v>16</v>
      </c>
      <c r="C9" s="33" t="s">
        <v>60</v>
      </c>
      <c r="E9" s="135" t="s">
        <v>61</v>
      </c>
      <c r="F9" s="136"/>
      <c r="H9" s="124" t="s">
        <v>303</v>
      </c>
      <c r="I9" s="125"/>
      <c r="J9" s="125"/>
      <c r="K9" s="32"/>
      <c r="L9" s="5"/>
    </row>
    <row r="10" spans="2:19" ht="31.2" x14ac:dyDescent="0.3">
      <c r="B10" s="33" t="s">
        <v>17</v>
      </c>
      <c r="C10" s="33" t="s">
        <v>62</v>
      </c>
      <c r="E10" s="80" t="s">
        <v>9</v>
      </c>
      <c r="F10" s="80" t="s">
        <v>6</v>
      </c>
      <c r="H10" s="96" t="s">
        <v>9</v>
      </c>
      <c r="I10" s="96" t="s">
        <v>6</v>
      </c>
      <c r="J10" s="96" t="s">
        <v>15</v>
      </c>
      <c r="K10" s="32"/>
      <c r="L10" s="5"/>
      <c r="M10" s="32"/>
      <c r="N10" s="31"/>
      <c r="O10" s="31"/>
      <c r="P10" s="31"/>
      <c r="Q10" s="31"/>
      <c r="R10" s="32"/>
    </row>
    <row r="11" spans="2:19" x14ac:dyDescent="0.3">
      <c r="B11" s="33" t="s">
        <v>18</v>
      </c>
      <c r="C11" s="33" t="s">
        <v>63</v>
      </c>
      <c r="D11" s="39"/>
      <c r="E11" s="30" t="s">
        <v>64</v>
      </c>
      <c r="F11" s="73" t="s">
        <v>65</v>
      </c>
      <c r="G11" s="31"/>
      <c r="H11" s="97" t="s">
        <v>177</v>
      </c>
      <c r="I11" s="97" t="s">
        <v>304</v>
      </c>
      <c r="J11" s="97" t="s">
        <v>311</v>
      </c>
      <c r="K11" s="32"/>
      <c r="L11" s="40"/>
      <c r="M11" s="32"/>
      <c r="N11" s="31"/>
      <c r="O11" s="31"/>
      <c r="P11" s="31"/>
      <c r="Q11" s="31"/>
      <c r="R11" s="32"/>
    </row>
    <row r="12" spans="2:19" x14ac:dyDescent="0.3">
      <c r="B12" s="33" t="s">
        <v>66</v>
      </c>
      <c r="C12" s="33" t="s">
        <v>67</v>
      </c>
      <c r="D12" s="41"/>
      <c r="E12" s="30" t="s">
        <v>68</v>
      </c>
      <c r="F12" s="73" t="s">
        <v>47</v>
      </c>
      <c r="G12" s="31"/>
      <c r="H12" s="97" t="s">
        <v>305</v>
      </c>
      <c r="I12" s="97" t="s">
        <v>306</v>
      </c>
      <c r="J12" s="97" t="s">
        <v>312</v>
      </c>
      <c r="K12" s="32"/>
      <c r="L12" s="5"/>
      <c r="M12" s="32"/>
      <c r="N12" s="31"/>
      <c r="O12" s="31"/>
      <c r="P12" s="31"/>
      <c r="Q12" s="31"/>
      <c r="R12" s="32"/>
    </row>
    <row r="13" spans="2:19" ht="31.2" x14ac:dyDescent="0.3">
      <c r="B13" s="33" t="s">
        <v>69</v>
      </c>
      <c r="C13" s="33" t="s">
        <v>70</v>
      </c>
      <c r="D13" s="41"/>
      <c r="E13" s="30" t="s">
        <v>71</v>
      </c>
      <c r="F13" s="73" t="s">
        <v>53</v>
      </c>
      <c r="G13" s="31"/>
      <c r="H13" s="97" t="s">
        <v>307</v>
      </c>
      <c r="I13" s="97" t="s">
        <v>308</v>
      </c>
      <c r="J13" s="97" t="s">
        <v>313</v>
      </c>
    </row>
    <row r="14" spans="2:19" x14ac:dyDescent="0.3">
      <c r="B14" s="33" t="s">
        <v>72</v>
      </c>
      <c r="C14" s="33" t="s">
        <v>73</v>
      </c>
      <c r="D14" s="29"/>
      <c r="E14" s="30" t="s">
        <v>74</v>
      </c>
      <c r="F14" s="73" t="s">
        <v>58</v>
      </c>
      <c r="G14" s="29"/>
      <c r="H14" s="97" t="s">
        <v>309</v>
      </c>
      <c r="I14" s="97" t="s">
        <v>310</v>
      </c>
      <c r="J14" s="97" t="s">
        <v>314</v>
      </c>
      <c r="O14" s="31"/>
      <c r="P14" s="31"/>
      <c r="Q14" s="31"/>
      <c r="R14" s="32"/>
    </row>
    <row r="15" spans="2:19" x14ac:dyDescent="0.3">
      <c r="B15" s="36"/>
      <c r="F15" s="42"/>
      <c r="H15" s="98" t="s">
        <v>315</v>
      </c>
      <c r="I15" s="98" t="s">
        <v>316</v>
      </c>
      <c r="J15" s="99"/>
      <c r="O15" s="31"/>
      <c r="P15" s="31"/>
      <c r="Q15" s="31"/>
      <c r="R15" s="32"/>
    </row>
    <row r="16" spans="2:19" ht="30.75" customHeight="1" x14ac:dyDescent="0.3">
      <c r="B16" s="140" t="s">
        <v>75</v>
      </c>
      <c r="C16" s="140"/>
      <c r="D16" s="140"/>
      <c r="F16" s="141" t="s">
        <v>76</v>
      </c>
      <c r="G16" s="141"/>
      <c r="H16" s="37"/>
      <c r="O16" s="31"/>
      <c r="P16" s="31"/>
      <c r="Q16" s="31"/>
      <c r="R16" s="32"/>
    </row>
    <row r="17" spans="2:18" x14ac:dyDescent="0.3">
      <c r="B17" s="82" t="s">
        <v>9</v>
      </c>
      <c r="C17" s="81" t="s">
        <v>6</v>
      </c>
      <c r="D17" s="81" t="s">
        <v>20</v>
      </c>
      <c r="E17" s="26"/>
      <c r="F17" s="81" t="s">
        <v>9</v>
      </c>
      <c r="G17" s="81" t="s">
        <v>6</v>
      </c>
      <c r="O17" s="31"/>
      <c r="P17" s="31"/>
      <c r="Q17" s="31"/>
      <c r="R17" s="32"/>
    </row>
    <row r="18" spans="2:18" x14ac:dyDescent="0.3">
      <c r="B18" s="33" t="s">
        <v>77</v>
      </c>
      <c r="C18" s="72" t="s">
        <v>78</v>
      </c>
      <c r="D18" s="30"/>
      <c r="F18" s="30" t="s">
        <v>79</v>
      </c>
      <c r="G18" s="72" t="s">
        <v>80</v>
      </c>
    </row>
    <row r="19" spans="2:18" x14ac:dyDescent="0.3">
      <c r="B19" s="33" t="s">
        <v>81</v>
      </c>
      <c r="C19" s="78">
        <v>0.2</v>
      </c>
      <c r="D19" s="30"/>
      <c r="F19" s="30" t="s">
        <v>66</v>
      </c>
      <c r="G19" s="78">
        <v>0.8</v>
      </c>
      <c r="H19" s="29"/>
      <c r="I19" s="29"/>
      <c r="J19" s="36"/>
      <c r="K19" s="32"/>
      <c r="L19" s="40"/>
    </row>
    <row r="20" spans="2:18" x14ac:dyDescent="0.3">
      <c r="B20" s="33" t="s">
        <v>82</v>
      </c>
      <c r="C20" s="72" t="s">
        <v>83</v>
      </c>
      <c r="D20" s="30"/>
      <c r="F20" s="30" t="s">
        <v>84</v>
      </c>
      <c r="G20" s="78">
        <v>0.9</v>
      </c>
      <c r="L20" s="5"/>
    </row>
    <row r="21" spans="2:18" x14ac:dyDescent="0.3">
      <c r="B21" s="33" t="s">
        <v>85</v>
      </c>
      <c r="C21" s="78">
        <v>0.25</v>
      </c>
      <c r="D21" s="30"/>
      <c r="F21" s="30" t="s">
        <v>86</v>
      </c>
      <c r="G21" s="100" t="s">
        <v>87</v>
      </c>
      <c r="H21" s="31"/>
      <c r="I21" s="31"/>
      <c r="J21" s="31"/>
      <c r="K21" s="32"/>
      <c r="L21" s="5"/>
    </row>
    <row r="22" spans="2:18" x14ac:dyDescent="0.3">
      <c r="B22" s="33" t="s">
        <v>88</v>
      </c>
      <c r="C22" s="72">
        <v>0.75</v>
      </c>
      <c r="D22" s="30"/>
      <c r="F22" s="32"/>
      <c r="G22" s="31"/>
      <c r="H22" s="31"/>
      <c r="I22" s="31"/>
      <c r="J22" s="31"/>
      <c r="K22" s="32"/>
      <c r="L22" s="5"/>
    </row>
    <row r="23" spans="2:18" x14ac:dyDescent="0.3">
      <c r="B23" s="33" t="s">
        <v>89</v>
      </c>
      <c r="C23" s="72" t="s">
        <v>90</v>
      </c>
      <c r="D23" s="30" t="s">
        <v>91</v>
      </c>
      <c r="E23" s="29"/>
      <c r="F23" s="43"/>
      <c r="G23" s="31"/>
      <c r="H23" s="29"/>
      <c r="I23" s="29"/>
      <c r="J23" s="29"/>
      <c r="K23" s="29"/>
      <c r="L23" s="40"/>
    </row>
    <row r="24" spans="2:18" x14ac:dyDescent="0.3">
      <c r="C24" s="36"/>
      <c r="F24" s="43"/>
      <c r="G24" s="31"/>
      <c r="K24" s="44"/>
      <c r="L24" s="5"/>
    </row>
    <row r="25" spans="2:18" x14ac:dyDescent="0.3">
      <c r="B25" s="129" t="s">
        <v>92</v>
      </c>
      <c r="C25" s="129"/>
      <c r="D25" s="129"/>
      <c r="E25" s="129"/>
      <c r="F25" s="129"/>
      <c r="G25" s="129"/>
      <c r="H25" s="129"/>
      <c r="I25" s="129"/>
      <c r="J25" s="129"/>
      <c r="K25" s="44"/>
      <c r="L25" s="123" t="s">
        <v>321</v>
      </c>
      <c r="M25" s="123"/>
      <c r="N25" s="123"/>
      <c r="O25" s="123"/>
      <c r="P25" s="123"/>
      <c r="Q25" s="123"/>
    </row>
    <row r="26" spans="2:18" ht="31.2" x14ac:dyDescent="0.3">
      <c r="B26" s="81" t="s">
        <v>3</v>
      </c>
      <c r="C26" s="81" t="s">
        <v>6</v>
      </c>
      <c r="D26" s="83"/>
      <c r="E26" s="81" t="s">
        <v>33</v>
      </c>
      <c r="F26" s="81" t="s">
        <v>10</v>
      </c>
      <c r="G26" s="82" t="s">
        <v>93</v>
      </c>
      <c r="H26" s="81" t="s">
        <v>94</v>
      </c>
      <c r="I26" s="81" t="s">
        <v>95</v>
      </c>
      <c r="J26" s="81" t="s">
        <v>96</v>
      </c>
      <c r="K26" s="44"/>
      <c r="L26" s="96" t="s">
        <v>33</v>
      </c>
      <c r="M26" s="96" t="s">
        <v>10</v>
      </c>
      <c r="N26" s="96" t="s">
        <v>93</v>
      </c>
      <c r="O26" s="96" t="s">
        <v>94</v>
      </c>
      <c r="P26" s="96" t="s">
        <v>322</v>
      </c>
      <c r="Q26" s="96" t="s">
        <v>323</v>
      </c>
    </row>
    <row r="27" spans="2:18" x14ac:dyDescent="0.3">
      <c r="B27" s="30" t="s">
        <v>97</v>
      </c>
      <c r="C27" s="30" t="s">
        <v>98</v>
      </c>
      <c r="E27" s="28" t="s">
        <v>41</v>
      </c>
      <c r="F27" s="30">
        <v>21</v>
      </c>
      <c r="G27" s="33">
        <v>4.24</v>
      </c>
      <c r="H27" s="30">
        <v>11</v>
      </c>
      <c r="I27" s="30">
        <v>36</v>
      </c>
      <c r="J27" s="30">
        <v>4.0000000000000001E-3</v>
      </c>
      <c r="K27" s="44"/>
      <c r="L27" s="97" t="s">
        <v>41</v>
      </c>
      <c r="M27" s="97">
        <v>32.5</v>
      </c>
      <c r="N27" s="97">
        <v>6.57</v>
      </c>
      <c r="O27" s="97">
        <v>17</v>
      </c>
      <c r="P27" s="97">
        <v>55.9</v>
      </c>
      <c r="Q27" s="97">
        <v>5.5999999999999999E-3</v>
      </c>
    </row>
    <row r="28" spans="2:18" x14ac:dyDescent="0.3">
      <c r="C28" s="36"/>
      <c r="E28" s="28" t="s">
        <v>47</v>
      </c>
      <c r="F28" s="30">
        <v>171</v>
      </c>
      <c r="G28" s="33">
        <v>34.549999999999997</v>
      </c>
      <c r="H28" s="30">
        <v>87</v>
      </c>
      <c r="I28" s="30">
        <v>294</v>
      </c>
      <c r="J28" s="30">
        <v>2.9000000000000001E-2</v>
      </c>
      <c r="K28" s="44"/>
      <c r="L28" s="97" t="s">
        <v>47</v>
      </c>
      <c r="M28" s="97">
        <v>182.5</v>
      </c>
      <c r="N28" s="97">
        <v>36.869999999999997</v>
      </c>
      <c r="O28" s="97">
        <v>93</v>
      </c>
      <c r="P28" s="97">
        <v>313.39999999999998</v>
      </c>
      <c r="Q28" s="97">
        <v>3.1300000000000001E-2</v>
      </c>
    </row>
    <row r="29" spans="2:18" x14ac:dyDescent="0.3">
      <c r="C29" s="36"/>
      <c r="E29" s="28" t="s">
        <v>53</v>
      </c>
      <c r="F29" s="30">
        <v>621</v>
      </c>
      <c r="G29" s="33">
        <v>125.45</v>
      </c>
      <c r="H29" s="30">
        <v>314</v>
      </c>
      <c r="I29" s="34">
        <v>1066</v>
      </c>
      <c r="J29" s="30">
        <v>0.107</v>
      </c>
      <c r="K29" s="44"/>
      <c r="L29" s="97" t="s">
        <v>53</v>
      </c>
      <c r="M29" s="97">
        <v>632.5</v>
      </c>
      <c r="N29" s="97">
        <v>127.78</v>
      </c>
      <c r="O29" s="97">
        <v>320</v>
      </c>
      <c r="P29" s="103">
        <v>1086.0999999999999</v>
      </c>
      <c r="Q29" s="97">
        <v>0.1086</v>
      </c>
    </row>
    <row r="30" spans="2:18" x14ac:dyDescent="0.3">
      <c r="C30" s="36"/>
      <c r="E30" s="28" t="s">
        <v>58</v>
      </c>
      <c r="F30" s="34">
        <v>3021</v>
      </c>
      <c r="G30" s="33">
        <v>610.29999999999995</v>
      </c>
      <c r="H30" s="34">
        <v>1526</v>
      </c>
      <c r="I30" s="34">
        <v>5188</v>
      </c>
      <c r="J30" s="30">
        <v>0.51900000000000002</v>
      </c>
      <c r="K30" s="44"/>
      <c r="L30" s="97" t="s">
        <v>58</v>
      </c>
      <c r="M30" s="103">
        <v>3032.5</v>
      </c>
      <c r="N30" s="97">
        <v>612.63</v>
      </c>
      <c r="O30" s="101">
        <v>1532</v>
      </c>
      <c r="P30" s="103">
        <v>5207.3999999999996</v>
      </c>
      <c r="Q30" s="97">
        <v>0.52070000000000005</v>
      </c>
    </row>
    <row r="31" spans="2:18" x14ac:dyDescent="0.3">
      <c r="C31" s="36"/>
      <c r="F31" s="43"/>
      <c r="G31" s="31"/>
      <c r="K31" s="44"/>
      <c r="L31" s="5"/>
    </row>
    <row r="32" spans="2:18" x14ac:dyDescent="0.3">
      <c r="C32" s="36"/>
      <c r="F32" s="43"/>
      <c r="G32" s="31"/>
      <c r="K32" s="44"/>
      <c r="L32" s="5"/>
    </row>
    <row r="33" spans="2:15" x14ac:dyDescent="0.3">
      <c r="B33" s="126" t="s">
        <v>99</v>
      </c>
      <c r="C33" s="126"/>
      <c r="D33" s="126"/>
      <c r="E33" s="126"/>
      <c r="F33" s="126"/>
      <c r="G33" s="126"/>
      <c r="H33" s="126"/>
      <c r="J33" s="45"/>
      <c r="K33" s="45"/>
      <c r="N33"/>
    </row>
    <row r="34" spans="2:15" x14ac:dyDescent="0.3">
      <c r="B34" s="82" t="s">
        <v>9</v>
      </c>
      <c r="C34" s="82" t="s">
        <v>26</v>
      </c>
      <c r="D34" s="83"/>
      <c r="E34" s="81" t="s">
        <v>33</v>
      </c>
      <c r="F34" s="81" t="s">
        <v>100</v>
      </c>
      <c r="G34" s="81" t="s">
        <v>101</v>
      </c>
      <c r="H34" s="81" t="s">
        <v>102</v>
      </c>
      <c r="J34" s="45"/>
      <c r="K34" s="45"/>
      <c r="M34" s="104" t="s">
        <v>324</v>
      </c>
    </row>
    <row r="35" spans="2:15" ht="30" customHeight="1" x14ac:dyDescent="0.3">
      <c r="B35" s="33" t="s">
        <v>103</v>
      </c>
      <c r="C35" s="27" t="s">
        <v>104</v>
      </c>
      <c r="D35" s="46"/>
      <c r="E35" s="28" t="s">
        <v>41</v>
      </c>
      <c r="F35" s="30">
        <v>7</v>
      </c>
      <c r="G35" s="30">
        <v>7.78</v>
      </c>
      <c r="H35" s="28">
        <v>9.7200000000000006</v>
      </c>
      <c r="L35" s="96" t="s">
        <v>33</v>
      </c>
      <c r="M35" s="96" t="s">
        <v>325</v>
      </c>
      <c r="N35" s="96" t="s">
        <v>101</v>
      </c>
      <c r="O35" s="96" t="s">
        <v>102</v>
      </c>
    </row>
    <row r="36" spans="2:15" ht="31.5" customHeight="1" x14ac:dyDescent="0.3">
      <c r="B36" s="33" t="s">
        <v>105</v>
      </c>
      <c r="C36" s="27" t="s">
        <v>106</v>
      </c>
      <c r="D36" s="47"/>
      <c r="E36" s="28" t="s">
        <v>47</v>
      </c>
      <c r="F36" s="30">
        <v>57</v>
      </c>
      <c r="G36" s="30">
        <v>63.33</v>
      </c>
      <c r="H36" s="28">
        <v>79.17</v>
      </c>
      <c r="L36" s="97" t="s">
        <v>41</v>
      </c>
      <c r="M36" s="97">
        <v>10.83</v>
      </c>
      <c r="N36" s="97">
        <v>12.04</v>
      </c>
      <c r="O36" s="97">
        <v>15.05</v>
      </c>
    </row>
    <row r="37" spans="2:15" x14ac:dyDescent="0.3">
      <c r="B37" s="33" t="s">
        <v>107</v>
      </c>
      <c r="C37" s="27" t="s">
        <v>108</v>
      </c>
      <c r="D37" s="29"/>
      <c r="E37" s="28" t="s">
        <v>53</v>
      </c>
      <c r="F37" s="30">
        <v>207</v>
      </c>
      <c r="G37" s="30">
        <v>230</v>
      </c>
      <c r="H37" s="28">
        <v>287.5</v>
      </c>
      <c r="L37" s="97" t="s">
        <v>47</v>
      </c>
      <c r="M37" s="97">
        <v>60.83</v>
      </c>
      <c r="N37" s="97">
        <v>67.59</v>
      </c>
      <c r="O37" s="97">
        <v>84.49</v>
      </c>
    </row>
    <row r="38" spans="2:15" x14ac:dyDescent="0.3">
      <c r="D38" s="48"/>
      <c r="E38" s="28" t="s">
        <v>58</v>
      </c>
      <c r="F38" s="34">
        <v>1007</v>
      </c>
      <c r="G38" s="74">
        <v>1118.8900000000001</v>
      </c>
      <c r="H38" s="77">
        <v>1398.61</v>
      </c>
      <c r="L38" s="97" t="s">
        <v>53</v>
      </c>
      <c r="M38" s="97">
        <v>210.83</v>
      </c>
      <c r="N38" s="97">
        <v>234.26</v>
      </c>
      <c r="O38" s="97">
        <v>292.82</v>
      </c>
    </row>
    <row r="39" spans="2:15" x14ac:dyDescent="0.3">
      <c r="D39" s="48"/>
      <c r="E39" s="48"/>
      <c r="G39" s="47"/>
      <c r="L39" s="97" t="s">
        <v>58</v>
      </c>
      <c r="M39" s="103">
        <v>1010.83</v>
      </c>
      <c r="N39" s="103">
        <v>1123.1500000000001</v>
      </c>
      <c r="O39" s="103">
        <v>1403.94</v>
      </c>
    </row>
    <row r="40" spans="2:15" x14ac:dyDescent="0.3">
      <c r="B40" s="127" t="s">
        <v>109</v>
      </c>
      <c r="C40" s="127"/>
      <c r="D40" s="127"/>
      <c r="E40" s="127"/>
      <c r="F40" s="127"/>
      <c r="G40" s="127"/>
      <c r="H40" s="127"/>
      <c r="I40" s="127"/>
    </row>
    <row r="41" spans="2:15" x14ac:dyDescent="0.3">
      <c r="B41" s="81" t="s">
        <v>110</v>
      </c>
      <c r="C41" s="81" t="s">
        <v>111</v>
      </c>
      <c r="D41" s="84"/>
      <c r="E41" s="81" t="s">
        <v>33</v>
      </c>
      <c r="F41" s="81" t="s">
        <v>112</v>
      </c>
      <c r="G41" s="81" t="s">
        <v>113</v>
      </c>
      <c r="H41" s="81" t="s">
        <v>114</v>
      </c>
      <c r="I41" s="81" t="s">
        <v>115</v>
      </c>
      <c r="L41" s="124" t="s">
        <v>326</v>
      </c>
      <c r="M41" s="124"/>
      <c r="N41" s="124"/>
      <c r="O41" s="124"/>
    </row>
    <row r="42" spans="2:15" ht="31.2" x14ac:dyDescent="0.3">
      <c r="B42" s="30" t="s">
        <v>116</v>
      </c>
      <c r="C42" s="30" t="s">
        <v>117</v>
      </c>
      <c r="D42" s="47"/>
      <c r="E42" s="28" t="s">
        <v>41</v>
      </c>
      <c r="F42" s="34">
        <v>5088</v>
      </c>
      <c r="G42" s="34">
        <v>3888</v>
      </c>
      <c r="H42" s="34">
        <v>4500</v>
      </c>
      <c r="I42" s="35">
        <v>13476</v>
      </c>
      <c r="L42" s="96" t="s">
        <v>33</v>
      </c>
      <c r="M42" s="96" t="s">
        <v>112</v>
      </c>
      <c r="N42" s="96" t="s">
        <v>113</v>
      </c>
      <c r="O42" s="96" t="s">
        <v>327</v>
      </c>
    </row>
    <row r="43" spans="2:15" x14ac:dyDescent="0.3">
      <c r="B43" s="30" t="s">
        <v>118</v>
      </c>
      <c r="C43" s="30" t="s">
        <v>119</v>
      </c>
      <c r="D43" s="46"/>
      <c r="E43" s="28" t="s">
        <v>47</v>
      </c>
      <c r="F43" s="34">
        <v>41460</v>
      </c>
      <c r="G43" s="34">
        <v>31668</v>
      </c>
      <c r="H43" s="34">
        <v>30000</v>
      </c>
      <c r="I43" s="35">
        <v>103128</v>
      </c>
      <c r="L43" s="97" t="s">
        <v>41</v>
      </c>
      <c r="M43" s="101">
        <v>7884</v>
      </c>
      <c r="N43" s="101">
        <v>6020</v>
      </c>
      <c r="O43" s="101">
        <v>13904</v>
      </c>
    </row>
    <row r="44" spans="2:15" x14ac:dyDescent="0.3">
      <c r="B44" s="30" t="s">
        <v>120</v>
      </c>
      <c r="C44" s="30" t="s">
        <v>121</v>
      </c>
      <c r="D44" s="47"/>
      <c r="E44" s="28" t="s">
        <v>53</v>
      </c>
      <c r="F44" s="34">
        <v>150540</v>
      </c>
      <c r="G44" s="34">
        <v>115000</v>
      </c>
      <c r="H44" s="34">
        <v>110000</v>
      </c>
      <c r="I44" s="35">
        <v>375540</v>
      </c>
      <c r="L44" s="97" t="s">
        <v>47</v>
      </c>
      <c r="M44" s="101">
        <v>44244</v>
      </c>
      <c r="N44" s="101">
        <v>33796</v>
      </c>
      <c r="O44" s="101">
        <v>78040</v>
      </c>
    </row>
    <row r="45" spans="2:15" x14ac:dyDescent="0.3">
      <c r="B45" s="47"/>
      <c r="C45" s="49"/>
      <c r="D45" s="47"/>
      <c r="E45" s="28" t="s">
        <v>58</v>
      </c>
      <c r="F45" s="34">
        <v>732360</v>
      </c>
      <c r="G45" s="34">
        <v>559444</v>
      </c>
      <c r="H45" s="34">
        <v>540000</v>
      </c>
      <c r="I45" s="35">
        <v>1831804</v>
      </c>
      <c r="L45" s="97" t="s">
        <v>53</v>
      </c>
      <c r="M45" s="101">
        <v>153336</v>
      </c>
      <c r="N45" s="101">
        <v>117128</v>
      </c>
      <c r="O45" s="101">
        <v>270464</v>
      </c>
    </row>
    <row r="46" spans="2:15" x14ac:dyDescent="0.3">
      <c r="B46" s="50"/>
      <c r="C46" s="51"/>
      <c r="D46" s="52"/>
      <c r="E46" s="52"/>
      <c r="F46" s="52"/>
      <c r="G46" s="52"/>
      <c r="L46" s="97" t="s">
        <v>58</v>
      </c>
      <c r="M46" s="101">
        <v>735156</v>
      </c>
      <c r="N46" s="101">
        <v>561576</v>
      </c>
      <c r="O46" s="101">
        <v>1296732</v>
      </c>
    </row>
    <row r="47" spans="2:15" x14ac:dyDescent="0.3">
      <c r="B47" s="52"/>
      <c r="C47" s="53"/>
      <c r="D47" s="52"/>
      <c r="E47" s="54"/>
      <c r="F47" s="54"/>
      <c r="G47" s="52"/>
    </row>
    <row r="48" spans="2:15" x14ac:dyDescent="0.3">
      <c r="B48" s="128" t="s">
        <v>122</v>
      </c>
      <c r="C48" s="128"/>
      <c r="D48" s="128"/>
      <c r="E48" s="128"/>
      <c r="F48" s="128"/>
      <c r="G48" s="128"/>
      <c r="H48" s="128"/>
      <c r="I48" s="128"/>
      <c r="J48" s="128"/>
    </row>
    <row r="49" spans="2:12" x14ac:dyDescent="0.3">
      <c r="B49" s="81" t="s">
        <v>9</v>
      </c>
      <c r="C49" s="81" t="s">
        <v>6</v>
      </c>
      <c r="D49" s="85"/>
      <c r="E49" s="81" t="s">
        <v>33</v>
      </c>
      <c r="F49" s="81" t="s">
        <v>123</v>
      </c>
      <c r="G49" s="81" t="s">
        <v>124</v>
      </c>
      <c r="H49" s="86" t="s">
        <v>125</v>
      </c>
      <c r="I49" s="81" t="s">
        <v>126</v>
      </c>
      <c r="J49" s="81" t="s">
        <v>127</v>
      </c>
    </row>
    <row r="50" spans="2:12" x14ac:dyDescent="0.3">
      <c r="B50" s="30" t="s">
        <v>128</v>
      </c>
      <c r="C50" s="30" t="s">
        <v>129</v>
      </c>
      <c r="D50" s="50"/>
      <c r="E50" s="28" t="s">
        <v>41</v>
      </c>
      <c r="F50" s="30">
        <v>8.4</v>
      </c>
      <c r="G50" s="34">
        <v>3066</v>
      </c>
      <c r="H50" s="75">
        <v>270</v>
      </c>
      <c r="I50" s="34">
        <v>2796</v>
      </c>
      <c r="J50" s="28">
        <v>4.82</v>
      </c>
    </row>
    <row r="51" spans="2:12" x14ac:dyDescent="0.3">
      <c r="B51" s="30" t="s">
        <v>130</v>
      </c>
      <c r="C51" s="30">
        <v>365</v>
      </c>
      <c r="D51" s="50"/>
      <c r="E51" s="28" t="s">
        <v>47</v>
      </c>
      <c r="F51" s="30">
        <v>68.400000000000006</v>
      </c>
      <c r="G51" s="34">
        <v>24966</v>
      </c>
      <c r="H51" s="76">
        <v>2063</v>
      </c>
      <c r="I51" s="34">
        <v>22903</v>
      </c>
      <c r="J51" s="28">
        <v>4.5</v>
      </c>
    </row>
    <row r="52" spans="2:12" x14ac:dyDescent="0.3">
      <c r="B52" s="30" t="s">
        <v>27</v>
      </c>
      <c r="C52" s="30" t="s">
        <v>131</v>
      </c>
      <c r="E52" s="28" t="s">
        <v>53</v>
      </c>
      <c r="F52" s="30">
        <v>248.4</v>
      </c>
      <c r="G52" s="34">
        <v>90666</v>
      </c>
      <c r="H52" s="76">
        <v>7511</v>
      </c>
      <c r="I52" s="34">
        <v>83155</v>
      </c>
      <c r="J52" s="28">
        <v>4.5199999999999996</v>
      </c>
    </row>
    <row r="53" spans="2:12" x14ac:dyDescent="0.3">
      <c r="B53" s="55"/>
      <c r="C53" s="56"/>
      <c r="D53" s="57"/>
      <c r="E53" s="28" t="s">
        <v>58</v>
      </c>
      <c r="F53" s="74">
        <v>1208.4000000000001</v>
      </c>
      <c r="G53" s="34">
        <v>441066</v>
      </c>
      <c r="H53" s="76">
        <v>36636</v>
      </c>
      <c r="I53" s="34">
        <v>404430</v>
      </c>
      <c r="J53" s="28">
        <v>4.53</v>
      </c>
    </row>
    <row r="54" spans="2:12" x14ac:dyDescent="0.3">
      <c r="B54" s="57"/>
      <c r="C54" s="58"/>
      <c r="D54" s="57"/>
      <c r="E54" s="57"/>
      <c r="F54" s="55"/>
      <c r="G54" s="59"/>
    </row>
    <row r="55" spans="2:12" x14ac:dyDescent="0.3">
      <c r="B55" s="57"/>
      <c r="C55" s="58"/>
      <c r="D55" s="57"/>
      <c r="E55" s="57"/>
      <c r="F55" s="57"/>
      <c r="G55" s="57"/>
    </row>
    <row r="56" spans="2:12" x14ac:dyDescent="0.3">
      <c r="B56" s="124" t="s">
        <v>328</v>
      </c>
      <c r="C56" s="125"/>
      <c r="D56" s="125"/>
      <c r="E56" s="125"/>
      <c r="F56" s="125"/>
      <c r="G56" s="125"/>
      <c r="H56" s="125"/>
      <c r="I56" s="125"/>
      <c r="J56" s="125"/>
      <c r="K56" s="125"/>
      <c r="L56" s="125"/>
    </row>
    <row r="57" spans="2:12" x14ac:dyDescent="0.3">
      <c r="B57" s="57"/>
      <c r="C57" s="56"/>
      <c r="D57" s="55"/>
      <c r="E57" s="60"/>
      <c r="F57" s="60"/>
      <c r="G57" s="57"/>
    </row>
    <row r="58" spans="2:12" x14ac:dyDescent="0.3">
      <c r="B58" s="96" t="s">
        <v>9</v>
      </c>
      <c r="C58" s="96" t="s">
        <v>6</v>
      </c>
      <c r="D58" s="96" t="s">
        <v>19</v>
      </c>
      <c r="E58" s="55"/>
      <c r="F58" s="96" t="s">
        <v>33</v>
      </c>
      <c r="G58" s="96" t="s">
        <v>337</v>
      </c>
      <c r="H58" s="96" t="s">
        <v>338</v>
      </c>
      <c r="I58" s="96" t="s">
        <v>339</v>
      </c>
      <c r="J58" s="96" t="s">
        <v>340</v>
      </c>
      <c r="K58" s="96" t="s">
        <v>341</v>
      </c>
      <c r="L58" s="96" t="s">
        <v>342</v>
      </c>
    </row>
    <row r="59" spans="2:12" x14ac:dyDescent="0.3">
      <c r="B59" s="97" t="s">
        <v>329</v>
      </c>
      <c r="C59" s="97" t="s">
        <v>330</v>
      </c>
      <c r="D59" s="97" t="s">
        <v>331</v>
      </c>
      <c r="F59" s="97" t="s">
        <v>41</v>
      </c>
      <c r="G59" s="103">
        <v>11862.5</v>
      </c>
      <c r="H59" s="97">
        <v>593.1</v>
      </c>
      <c r="I59" s="103">
        <v>5931.3</v>
      </c>
      <c r="J59" s="101">
        <v>1080</v>
      </c>
      <c r="K59" s="103">
        <v>1673.1</v>
      </c>
      <c r="L59" s="105">
        <v>0.71799999999999997</v>
      </c>
    </row>
    <row r="60" spans="2:12" x14ac:dyDescent="0.3">
      <c r="B60" s="97" t="s">
        <v>332</v>
      </c>
      <c r="C60" s="97" t="s">
        <v>333</v>
      </c>
      <c r="D60" s="97" t="s">
        <v>334</v>
      </c>
      <c r="E60" s="63"/>
      <c r="F60" s="97" t="s">
        <v>47</v>
      </c>
      <c r="G60" s="103">
        <v>66612.5</v>
      </c>
      <c r="H60" s="103">
        <v>3330.6</v>
      </c>
      <c r="I60" s="103">
        <v>33306.300000000003</v>
      </c>
      <c r="J60" s="101">
        <v>1080</v>
      </c>
      <c r="K60" s="103">
        <v>4410.6000000000004</v>
      </c>
      <c r="L60" s="105">
        <v>0.86799999999999999</v>
      </c>
    </row>
    <row r="61" spans="2:12" x14ac:dyDescent="0.3">
      <c r="B61" s="97" t="s">
        <v>280</v>
      </c>
      <c r="C61" s="97" t="s">
        <v>335</v>
      </c>
      <c r="D61" s="97" t="s">
        <v>336</v>
      </c>
      <c r="E61" s="63"/>
      <c r="F61" s="97" t="s">
        <v>53</v>
      </c>
      <c r="G61" s="103">
        <v>230862.5</v>
      </c>
      <c r="H61" s="103">
        <v>11543.1</v>
      </c>
      <c r="I61" s="103">
        <v>115431.3</v>
      </c>
      <c r="J61" s="101">
        <v>1080</v>
      </c>
      <c r="K61" s="103">
        <v>12623.1</v>
      </c>
      <c r="L61" s="105">
        <v>0.89100000000000001</v>
      </c>
    </row>
    <row r="62" spans="2:12" x14ac:dyDescent="0.3">
      <c r="B62" s="63"/>
      <c r="C62" s="64"/>
      <c r="D62" s="63"/>
      <c r="E62" s="63"/>
      <c r="F62" s="97" t="s">
        <v>58</v>
      </c>
      <c r="G62" s="103">
        <v>1106862.5</v>
      </c>
      <c r="H62" s="103">
        <v>55343.1</v>
      </c>
      <c r="I62" s="103">
        <v>553431.30000000005</v>
      </c>
      <c r="J62" s="101">
        <v>1080</v>
      </c>
      <c r="K62" s="103">
        <v>56423.1</v>
      </c>
      <c r="L62" s="105">
        <v>0.89800000000000002</v>
      </c>
    </row>
    <row r="63" spans="2:12" x14ac:dyDescent="0.3">
      <c r="B63" s="63"/>
      <c r="C63" s="64"/>
      <c r="D63" s="63"/>
      <c r="E63" s="66"/>
      <c r="F63" s="66"/>
      <c r="G63" s="63"/>
    </row>
    <row r="64" spans="2:12" x14ac:dyDescent="0.3">
      <c r="B64" s="61"/>
      <c r="C64" s="62"/>
      <c r="D64" s="61"/>
      <c r="E64" s="67"/>
      <c r="F64" s="67"/>
      <c r="G64" s="63"/>
    </row>
    <row r="65" spans="2:8" x14ac:dyDescent="0.3">
      <c r="B65" s="61"/>
      <c r="C65" s="62"/>
      <c r="D65" s="61"/>
      <c r="E65" s="67"/>
      <c r="F65" s="67"/>
      <c r="G65" s="65"/>
    </row>
    <row r="66" spans="2:8" x14ac:dyDescent="0.3">
      <c r="B66" s="120" t="s">
        <v>343</v>
      </c>
      <c r="C66" s="120"/>
      <c r="D66"/>
      <c r="E66" s="67"/>
      <c r="F66" s="67"/>
      <c r="G66" s="63"/>
    </row>
    <row r="67" spans="2:8" x14ac:dyDescent="0.3">
      <c r="B67" s="61"/>
      <c r="C67" s="62"/>
      <c r="D67" s="61"/>
      <c r="E67" s="67"/>
      <c r="F67" s="67"/>
      <c r="G67" s="63"/>
      <c r="H67" s="68"/>
    </row>
    <row r="68" spans="2:8" x14ac:dyDescent="0.3">
      <c r="B68" s="96" t="s">
        <v>344</v>
      </c>
      <c r="C68" s="96" t="s">
        <v>291</v>
      </c>
    </row>
    <row r="69" spans="2:8" ht="31.2" x14ac:dyDescent="0.3">
      <c r="B69" s="97" t="s">
        <v>292</v>
      </c>
      <c r="C69" s="97" t="s">
        <v>345</v>
      </c>
      <c r="D69" s="31"/>
      <c r="E69" s="31"/>
      <c r="F69" s="31"/>
      <c r="G69" s="31"/>
    </row>
    <row r="70" spans="2:8" ht="31.2" x14ac:dyDescent="0.3">
      <c r="B70" s="97" t="s">
        <v>294</v>
      </c>
      <c r="C70" s="97" t="s">
        <v>346</v>
      </c>
      <c r="D70" s="31"/>
      <c r="E70" s="31"/>
      <c r="F70" s="31"/>
      <c r="G70" s="31"/>
    </row>
    <row r="71" spans="2:8" ht="31.2" x14ac:dyDescent="0.3">
      <c r="B71" s="97" t="s">
        <v>296</v>
      </c>
      <c r="C71" s="97" t="s">
        <v>347</v>
      </c>
      <c r="D71" s="70"/>
      <c r="E71" s="31"/>
      <c r="F71" s="31"/>
      <c r="G71" s="31"/>
    </row>
    <row r="72" spans="2:8" x14ac:dyDescent="0.3">
      <c r="B72" s="97" t="s">
        <v>298</v>
      </c>
      <c r="C72" s="97" t="s">
        <v>348</v>
      </c>
      <c r="D72" s="69"/>
      <c r="E72" s="69"/>
      <c r="F72" s="69"/>
      <c r="G72" s="71"/>
    </row>
    <row r="73" spans="2:8" ht="31.2" x14ac:dyDescent="0.3">
      <c r="B73" s="97" t="s">
        <v>300</v>
      </c>
      <c r="C73" s="97" t="s">
        <v>349</v>
      </c>
      <c r="D73" s="31"/>
      <c r="E73" s="31"/>
      <c r="F73" s="31"/>
      <c r="G73" s="31"/>
    </row>
    <row r="74" spans="2:8" x14ac:dyDescent="0.3">
      <c r="B74" s="31"/>
      <c r="C74" s="32"/>
      <c r="D74" s="31"/>
      <c r="E74" s="31"/>
      <c r="F74" s="31"/>
      <c r="G74" s="31"/>
    </row>
    <row r="75" spans="2:8" x14ac:dyDescent="0.3">
      <c r="B75" s="31"/>
      <c r="C75" s="32"/>
      <c r="D75" s="31"/>
      <c r="E75" s="31"/>
      <c r="F75" s="31"/>
      <c r="G75" s="71"/>
    </row>
  </sheetData>
  <mergeCells count="16">
    <mergeCell ref="B66:C66"/>
    <mergeCell ref="P2:S2"/>
    <mergeCell ref="L25:Q25"/>
    <mergeCell ref="L41:O41"/>
    <mergeCell ref="B56:L56"/>
    <mergeCell ref="B33:H33"/>
    <mergeCell ref="B40:I40"/>
    <mergeCell ref="B48:J48"/>
    <mergeCell ref="B25:J25"/>
    <mergeCell ref="B2:C2"/>
    <mergeCell ref="E2:G2"/>
    <mergeCell ref="E9:F9"/>
    <mergeCell ref="I2:M2"/>
    <mergeCell ref="B16:D16"/>
    <mergeCell ref="F16:G16"/>
    <mergeCell ref="H9:J9"/>
  </mergeCells>
  <pageMargins left="0.7" right="0.7" top="0.75" bottom="0.75" header="0.3" footer="0.3"/>
  <legacy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D1EB9-DCF8-4E0D-A2D2-EFBE00CED3CD}">
  <dimension ref="F4:K126"/>
  <sheetViews>
    <sheetView topLeftCell="D4" workbookViewId="0">
      <selection activeCell="F14" sqref="F14"/>
    </sheetView>
  </sheetViews>
  <sheetFormatPr defaultRowHeight="14.4" x14ac:dyDescent="0.3"/>
  <cols>
    <col min="6" max="6" width="74.44140625" customWidth="1"/>
    <col min="7" max="7" width="58.77734375" style="17" customWidth="1"/>
    <col min="8" max="8" width="46.88671875" customWidth="1"/>
    <col min="9" max="9" width="127.33203125" customWidth="1"/>
    <col min="10" max="10" width="36.33203125" customWidth="1"/>
    <col min="11" max="11" width="36.6640625" customWidth="1"/>
  </cols>
  <sheetData>
    <row r="4" spans="6:11" ht="18" x14ac:dyDescent="0.35">
      <c r="F4" s="12" t="s">
        <v>33</v>
      </c>
      <c r="G4" s="13" t="s">
        <v>132</v>
      </c>
      <c r="H4" s="13" t="s">
        <v>133</v>
      </c>
      <c r="I4" s="13" t="s">
        <v>134</v>
      </c>
      <c r="J4" s="13" t="s">
        <v>135</v>
      </c>
      <c r="K4" s="16" t="s">
        <v>136</v>
      </c>
    </row>
    <row r="5" spans="6:11" ht="18" x14ac:dyDescent="0.35">
      <c r="F5" s="14" t="s">
        <v>137</v>
      </c>
      <c r="G5" s="15">
        <v>37</v>
      </c>
      <c r="H5" s="15">
        <v>7.5</v>
      </c>
      <c r="I5" s="15">
        <v>19</v>
      </c>
      <c r="J5" s="15">
        <v>52</v>
      </c>
      <c r="K5" s="15">
        <v>6.3</v>
      </c>
    </row>
    <row r="6" spans="6:11" x14ac:dyDescent="0.3">
      <c r="H6" t="s">
        <v>1</v>
      </c>
    </row>
    <row r="7" spans="6:11" ht="18" x14ac:dyDescent="0.35">
      <c r="F7" s="88"/>
      <c r="G7" s="119" t="s">
        <v>265</v>
      </c>
      <c r="H7" s="144"/>
      <c r="I7" s="6"/>
    </row>
    <row r="8" spans="6:11" ht="17.399999999999999" x14ac:dyDescent="0.3">
      <c r="F8" s="88" t="s">
        <v>9</v>
      </c>
      <c r="G8" s="88" t="s">
        <v>138</v>
      </c>
      <c r="H8" s="88" t="s">
        <v>6</v>
      </c>
      <c r="I8" s="88" t="s">
        <v>19</v>
      </c>
    </row>
    <row r="9" spans="6:11" ht="18" x14ac:dyDescent="0.35">
      <c r="F9" s="7" t="s">
        <v>33</v>
      </c>
      <c r="G9" s="7" t="s">
        <v>2</v>
      </c>
      <c r="H9" s="7" t="s">
        <v>137</v>
      </c>
      <c r="I9" s="7" t="s">
        <v>139</v>
      </c>
    </row>
    <row r="10" spans="6:11" ht="18" x14ac:dyDescent="0.35">
      <c r="F10" s="7" t="s">
        <v>140</v>
      </c>
      <c r="G10" s="7" t="s">
        <v>23</v>
      </c>
      <c r="H10" s="7">
        <v>37</v>
      </c>
      <c r="I10" s="7" t="s">
        <v>141</v>
      </c>
    </row>
    <row r="11" spans="6:11" ht="18" x14ac:dyDescent="0.35">
      <c r="F11" s="7" t="s">
        <v>142</v>
      </c>
      <c r="G11" s="7" t="s">
        <v>143</v>
      </c>
      <c r="H11" s="7">
        <v>7.5</v>
      </c>
      <c r="I11" s="7" t="s">
        <v>144</v>
      </c>
    </row>
    <row r="12" spans="6:11" ht="18" x14ac:dyDescent="0.35">
      <c r="F12" s="7" t="s">
        <v>142</v>
      </c>
      <c r="G12" s="7" t="s">
        <v>143</v>
      </c>
      <c r="H12" s="7">
        <v>6</v>
      </c>
      <c r="I12" s="7" t="s">
        <v>145</v>
      </c>
    </row>
    <row r="13" spans="6:11" ht="18" x14ac:dyDescent="0.35">
      <c r="F13" s="7" t="s">
        <v>146</v>
      </c>
      <c r="G13" s="7" t="s">
        <v>147</v>
      </c>
      <c r="H13" s="7">
        <v>19</v>
      </c>
      <c r="I13" s="7" t="s">
        <v>148</v>
      </c>
    </row>
    <row r="14" spans="6:11" ht="18" x14ac:dyDescent="0.35">
      <c r="F14" s="7" t="s">
        <v>146</v>
      </c>
      <c r="G14" s="7" t="s">
        <v>147</v>
      </c>
      <c r="H14" s="7">
        <v>15</v>
      </c>
      <c r="I14" s="7" t="s">
        <v>149</v>
      </c>
    </row>
    <row r="15" spans="6:11" ht="18" x14ac:dyDescent="0.35">
      <c r="F15" s="7" t="s">
        <v>150</v>
      </c>
      <c r="G15" s="7" t="s">
        <v>151</v>
      </c>
      <c r="H15" s="7">
        <v>52</v>
      </c>
      <c r="I15" s="7" t="s">
        <v>152</v>
      </c>
    </row>
    <row r="16" spans="6:11" ht="18" x14ac:dyDescent="0.35">
      <c r="F16" s="7" t="s">
        <v>153</v>
      </c>
      <c r="G16" s="7" t="s">
        <v>29</v>
      </c>
      <c r="H16" s="7">
        <v>6.3</v>
      </c>
      <c r="I16" s="7" t="s">
        <v>154</v>
      </c>
    </row>
    <row r="19" spans="6:9" ht="17.399999999999999" x14ac:dyDescent="0.3">
      <c r="F19" s="88"/>
      <c r="G19" s="142" t="s">
        <v>264</v>
      </c>
      <c r="H19" s="144"/>
      <c r="I19" s="88"/>
    </row>
    <row r="20" spans="6:9" ht="18" x14ac:dyDescent="0.35">
      <c r="F20" s="6"/>
      <c r="G20" s="7"/>
      <c r="H20" s="6"/>
      <c r="I20" s="6"/>
    </row>
    <row r="21" spans="6:9" ht="17.399999999999999" x14ac:dyDescent="0.3">
      <c r="F21" s="88" t="s">
        <v>9</v>
      </c>
      <c r="G21" s="88" t="s">
        <v>138</v>
      </c>
      <c r="H21" s="88" t="s">
        <v>6</v>
      </c>
      <c r="I21" s="88" t="s">
        <v>19</v>
      </c>
    </row>
    <row r="22" spans="6:9" ht="18" x14ac:dyDescent="0.35">
      <c r="F22" s="7" t="s">
        <v>140</v>
      </c>
      <c r="G22" s="7" t="s">
        <v>23</v>
      </c>
      <c r="H22" s="7">
        <v>37</v>
      </c>
      <c r="I22" s="7" t="s">
        <v>155</v>
      </c>
    </row>
    <row r="23" spans="6:9" ht="18" x14ac:dyDescent="0.35">
      <c r="F23" s="7" t="s">
        <v>156</v>
      </c>
      <c r="G23" s="7" t="s">
        <v>143</v>
      </c>
      <c r="H23" s="7">
        <v>7.6</v>
      </c>
      <c r="I23" s="7" t="s">
        <v>157</v>
      </c>
    </row>
    <row r="24" spans="6:9" ht="18" x14ac:dyDescent="0.35">
      <c r="F24" s="7" t="s">
        <v>158</v>
      </c>
      <c r="G24" s="7" t="s">
        <v>143</v>
      </c>
      <c r="H24" s="7">
        <v>6</v>
      </c>
      <c r="I24" s="7" t="s">
        <v>159</v>
      </c>
    </row>
    <row r="25" spans="6:9" ht="18" x14ac:dyDescent="0.35">
      <c r="F25" s="7" t="s">
        <v>160</v>
      </c>
      <c r="G25" s="7" t="s">
        <v>147</v>
      </c>
      <c r="H25" s="7">
        <v>19</v>
      </c>
      <c r="I25" s="7" t="s">
        <v>161</v>
      </c>
    </row>
    <row r="26" spans="6:9" ht="18" x14ac:dyDescent="0.35">
      <c r="F26" s="7" t="s">
        <v>162</v>
      </c>
      <c r="G26" s="7" t="s">
        <v>147</v>
      </c>
      <c r="H26" s="7">
        <v>15</v>
      </c>
      <c r="I26" s="7" t="s">
        <v>163</v>
      </c>
    </row>
    <row r="27" spans="6:9" ht="18" x14ac:dyDescent="0.35">
      <c r="F27" s="7" t="s">
        <v>164</v>
      </c>
      <c r="G27" s="7" t="s">
        <v>22</v>
      </c>
      <c r="H27" s="7">
        <v>43825</v>
      </c>
      <c r="I27" s="7" t="s">
        <v>165</v>
      </c>
    </row>
    <row r="28" spans="6:9" ht="18" x14ac:dyDescent="0.35">
      <c r="F28" s="7" t="s">
        <v>166</v>
      </c>
      <c r="G28" s="7" t="s">
        <v>22</v>
      </c>
      <c r="H28" s="7">
        <v>42850</v>
      </c>
      <c r="I28" s="7" t="s">
        <v>167</v>
      </c>
    </row>
    <row r="29" spans="6:9" ht="18" x14ac:dyDescent="0.35">
      <c r="F29" s="7" t="s">
        <v>168</v>
      </c>
      <c r="G29" s="7" t="s">
        <v>0</v>
      </c>
      <c r="H29" s="7">
        <v>32</v>
      </c>
      <c r="I29" s="11" t="s">
        <v>169</v>
      </c>
    </row>
    <row r="30" spans="6:9" ht="18" x14ac:dyDescent="0.35">
      <c r="F30" s="7" t="s">
        <v>170</v>
      </c>
      <c r="G30" s="7" t="s">
        <v>0</v>
      </c>
      <c r="H30" s="7">
        <v>31</v>
      </c>
      <c r="I30" s="11" t="s">
        <v>169</v>
      </c>
    </row>
    <row r="31" spans="6:9" ht="18" x14ac:dyDescent="0.35">
      <c r="F31" s="7" t="s">
        <v>171</v>
      </c>
      <c r="G31" s="7" t="s">
        <v>21</v>
      </c>
      <c r="H31" s="7">
        <v>1351</v>
      </c>
      <c r="I31" s="11" t="s">
        <v>172</v>
      </c>
    </row>
    <row r="32" spans="6:9" ht="21" x14ac:dyDescent="0.4">
      <c r="F32" s="2"/>
      <c r="G32" s="2"/>
      <c r="H32" s="2"/>
      <c r="I32" s="2"/>
    </row>
    <row r="33" spans="6:10" ht="21" x14ac:dyDescent="0.4">
      <c r="F33" s="2"/>
      <c r="G33" s="2"/>
      <c r="H33" s="2"/>
      <c r="I33" s="2"/>
    </row>
    <row r="34" spans="6:10" ht="17.399999999999999" x14ac:dyDescent="0.3">
      <c r="F34" s="19"/>
      <c r="G34" s="148" t="s">
        <v>263</v>
      </c>
      <c r="H34" s="149"/>
      <c r="I34" s="88"/>
    </row>
    <row r="35" spans="6:10" ht="17.399999999999999" x14ac:dyDescent="0.3">
      <c r="F35" s="20"/>
      <c r="G35" s="89"/>
      <c r="H35" s="20"/>
      <c r="I35" s="88"/>
    </row>
    <row r="36" spans="6:10" ht="15" customHeight="1" x14ac:dyDescent="0.3">
      <c r="F36" s="88" t="s">
        <v>9</v>
      </c>
      <c r="G36" s="88" t="s">
        <v>138</v>
      </c>
      <c r="H36" s="88" t="s">
        <v>6</v>
      </c>
      <c r="I36" s="88" t="s">
        <v>19</v>
      </c>
    </row>
    <row r="37" spans="6:10" ht="30" customHeight="1" x14ac:dyDescent="0.35">
      <c r="F37" s="7" t="s">
        <v>173</v>
      </c>
      <c r="G37" s="7" t="s">
        <v>23</v>
      </c>
      <c r="H37" s="7">
        <v>17</v>
      </c>
      <c r="I37" s="7" t="s">
        <v>174</v>
      </c>
    </row>
    <row r="38" spans="6:10" ht="18" x14ac:dyDescent="0.35">
      <c r="F38" s="7" t="s">
        <v>175</v>
      </c>
      <c r="G38" s="7" t="s">
        <v>23</v>
      </c>
      <c r="H38" s="7">
        <v>7</v>
      </c>
      <c r="I38" s="7" t="s">
        <v>176</v>
      </c>
    </row>
    <row r="39" spans="6:10" ht="21" x14ac:dyDescent="0.4">
      <c r="F39" s="7" t="s">
        <v>177</v>
      </c>
      <c r="G39" s="7" t="s">
        <v>23</v>
      </c>
      <c r="H39" s="7">
        <v>5</v>
      </c>
      <c r="I39" s="7" t="s">
        <v>178</v>
      </c>
      <c r="J39" s="2"/>
    </row>
    <row r="40" spans="6:10" ht="21" x14ac:dyDescent="0.4">
      <c r="F40" s="7" t="s">
        <v>179</v>
      </c>
      <c r="G40" s="7" t="s">
        <v>23</v>
      </c>
      <c r="H40" s="7">
        <v>4</v>
      </c>
      <c r="I40" s="7" t="s">
        <v>180</v>
      </c>
      <c r="J40" s="3"/>
    </row>
    <row r="41" spans="6:10" ht="21" x14ac:dyDescent="0.4">
      <c r="F41" s="7" t="s">
        <v>181</v>
      </c>
      <c r="G41" s="7" t="s">
        <v>23</v>
      </c>
      <c r="H41" s="7">
        <v>2</v>
      </c>
      <c r="I41" s="7" t="s">
        <v>182</v>
      </c>
      <c r="J41" s="3"/>
    </row>
    <row r="42" spans="6:10" ht="21" x14ac:dyDescent="0.4">
      <c r="F42" s="7" t="s">
        <v>183</v>
      </c>
      <c r="G42" s="7" t="s">
        <v>23</v>
      </c>
      <c r="H42" s="7">
        <v>2</v>
      </c>
      <c r="I42" s="7" t="s">
        <v>184</v>
      </c>
      <c r="J42" s="3"/>
    </row>
    <row r="43" spans="6:10" ht="21" x14ac:dyDescent="0.4">
      <c r="F43" s="7" t="s">
        <v>4</v>
      </c>
      <c r="G43" s="7" t="s">
        <v>23</v>
      </c>
      <c r="H43" s="7">
        <f>SUM(H37:H42)</f>
        <v>37</v>
      </c>
      <c r="I43" s="7" t="s">
        <v>185</v>
      </c>
      <c r="J43" s="3"/>
    </row>
    <row r="44" spans="6:10" ht="21" x14ac:dyDescent="0.4">
      <c r="F44" s="3"/>
      <c r="G44" s="3"/>
      <c r="H44" s="3"/>
      <c r="I44" s="3"/>
      <c r="J44" s="3"/>
    </row>
    <row r="45" spans="6:10" ht="21" x14ac:dyDescent="0.4">
      <c r="F45" s="18"/>
      <c r="G45" s="146" t="s">
        <v>262</v>
      </c>
      <c r="H45" s="147"/>
      <c r="I45" s="18"/>
      <c r="J45" s="4"/>
    </row>
    <row r="46" spans="6:10" ht="18" x14ac:dyDescent="0.35">
      <c r="F46" s="6"/>
      <c r="G46" s="7"/>
      <c r="H46" s="6"/>
      <c r="I46" s="6"/>
    </row>
    <row r="47" spans="6:10" ht="17.399999999999999" x14ac:dyDescent="0.3">
      <c r="F47" s="88" t="s">
        <v>9</v>
      </c>
      <c r="G47" s="88" t="s">
        <v>138</v>
      </c>
      <c r="H47" s="88" t="s">
        <v>6</v>
      </c>
      <c r="I47" s="88" t="s">
        <v>19</v>
      </c>
    </row>
    <row r="48" spans="6:10" ht="18" x14ac:dyDescent="0.35">
      <c r="F48" s="7" t="s">
        <v>186</v>
      </c>
      <c r="G48" s="7" t="s">
        <v>143</v>
      </c>
      <c r="H48" s="7">
        <f>PRODUCT(H13,0.4)</f>
        <v>7.6000000000000005</v>
      </c>
      <c r="I48" s="7" t="s">
        <v>187</v>
      </c>
    </row>
    <row r="49" spans="6:10" ht="18" x14ac:dyDescent="0.35">
      <c r="F49" s="7" t="s">
        <v>188</v>
      </c>
      <c r="G49" s="7" t="s">
        <v>143</v>
      </c>
      <c r="H49" s="7">
        <f>PRODUCT(H26,0.4)</f>
        <v>6</v>
      </c>
      <c r="I49" s="7" t="s">
        <v>189</v>
      </c>
    </row>
    <row r="50" spans="6:10" ht="18" x14ac:dyDescent="0.35">
      <c r="F50" s="7" t="s">
        <v>190</v>
      </c>
      <c r="G50" s="7" t="s">
        <v>14</v>
      </c>
      <c r="H50" s="7">
        <v>30</v>
      </c>
      <c r="I50" s="7" t="s">
        <v>191</v>
      </c>
    </row>
    <row r="51" spans="6:10" ht="21" x14ac:dyDescent="0.4">
      <c r="F51" s="7" t="s">
        <v>192</v>
      </c>
      <c r="G51" s="7" t="s">
        <v>14</v>
      </c>
      <c r="H51" s="7">
        <v>-20</v>
      </c>
      <c r="I51" s="7" t="s">
        <v>193</v>
      </c>
      <c r="J51" s="2"/>
    </row>
    <row r="52" spans="6:10" ht="21" x14ac:dyDescent="0.4">
      <c r="F52" s="3"/>
      <c r="G52" s="9"/>
      <c r="H52" s="9"/>
      <c r="I52" s="3"/>
      <c r="J52" s="1"/>
    </row>
    <row r="53" spans="6:10" ht="21" x14ac:dyDescent="0.4">
      <c r="F53" s="3"/>
      <c r="G53" s="142" t="s">
        <v>261</v>
      </c>
      <c r="H53" s="145"/>
      <c r="I53" s="3"/>
      <c r="J53" s="3"/>
    </row>
    <row r="54" spans="6:10" ht="21" x14ac:dyDescent="0.4">
      <c r="F54" s="88" t="s">
        <v>9</v>
      </c>
      <c r="G54" s="88" t="s">
        <v>138</v>
      </c>
      <c r="H54" s="88" t="s">
        <v>6</v>
      </c>
      <c r="I54" s="88" t="s">
        <v>19</v>
      </c>
      <c r="J54" s="1"/>
    </row>
    <row r="55" spans="6:10" ht="21" x14ac:dyDescent="0.4">
      <c r="F55" s="7" t="s">
        <v>194</v>
      </c>
      <c r="G55" s="7" t="s">
        <v>22</v>
      </c>
      <c r="H55" s="7">
        <v>9000</v>
      </c>
      <c r="I55" s="7" t="s">
        <v>195</v>
      </c>
      <c r="J55" s="3"/>
    </row>
    <row r="56" spans="6:10" ht="21" x14ac:dyDescent="0.4">
      <c r="F56" s="7" t="s">
        <v>196</v>
      </c>
      <c r="G56" s="7" t="s">
        <v>22</v>
      </c>
      <c r="H56" s="7">
        <v>7200</v>
      </c>
      <c r="I56" s="7" t="s">
        <v>167</v>
      </c>
      <c r="J56" s="1"/>
    </row>
    <row r="57" spans="6:10" ht="18" x14ac:dyDescent="0.35">
      <c r="F57" s="7" t="s">
        <v>197</v>
      </c>
      <c r="G57" s="7" t="s">
        <v>22</v>
      </c>
      <c r="H57" s="7">
        <v>3000</v>
      </c>
      <c r="I57" s="7" t="s">
        <v>198</v>
      </c>
    </row>
    <row r="58" spans="6:10" ht="18" x14ac:dyDescent="0.35">
      <c r="F58" s="7" t="s">
        <v>199</v>
      </c>
      <c r="G58" s="7" t="s">
        <v>22</v>
      </c>
      <c r="H58" s="7">
        <v>10875</v>
      </c>
      <c r="I58" s="7" t="s">
        <v>200</v>
      </c>
    </row>
    <row r="59" spans="6:10" ht="18" customHeight="1" x14ac:dyDescent="0.35">
      <c r="F59" s="7" t="s">
        <v>201</v>
      </c>
      <c r="G59" s="7" t="s">
        <v>22</v>
      </c>
      <c r="H59" s="7">
        <v>8700</v>
      </c>
      <c r="I59" s="7" t="s">
        <v>167</v>
      </c>
    </row>
    <row r="60" spans="6:10" ht="15" customHeight="1" x14ac:dyDescent="0.35">
      <c r="F60" s="7" t="s">
        <v>150</v>
      </c>
      <c r="G60" s="7" t="s">
        <v>22</v>
      </c>
      <c r="H60" s="7">
        <f>PRODUCT(52*400)</f>
        <v>20800</v>
      </c>
      <c r="I60" s="7" t="s">
        <v>202</v>
      </c>
    </row>
    <row r="61" spans="6:10" ht="15" customHeight="1" x14ac:dyDescent="0.35">
      <c r="F61" s="7" t="s">
        <v>120</v>
      </c>
      <c r="G61" s="7" t="s">
        <v>22</v>
      </c>
      <c r="H61" s="7">
        <f>PRODUCT(6.3,500)</f>
        <v>3150</v>
      </c>
      <c r="I61" s="7" t="s">
        <v>203</v>
      </c>
    </row>
    <row r="62" spans="6:10" ht="15" customHeight="1" x14ac:dyDescent="0.35">
      <c r="F62" s="7" t="s">
        <v>204</v>
      </c>
      <c r="G62" s="7" t="s">
        <v>22</v>
      </c>
      <c r="H62" s="7">
        <f>SUM(H55,H58,H60,H61)</f>
        <v>43825</v>
      </c>
      <c r="I62" s="7" t="s">
        <v>205</v>
      </c>
    </row>
    <row r="63" spans="6:10" ht="15" customHeight="1" x14ac:dyDescent="0.35">
      <c r="F63" s="7" t="s">
        <v>206</v>
      </c>
      <c r="G63" s="7" t="s">
        <v>22</v>
      </c>
      <c r="H63" s="7">
        <f>SUM(H56,H57,H59,H60,H61)</f>
        <v>42850</v>
      </c>
      <c r="I63" s="7" t="s">
        <v>205</v>
      </c>
    </row>
    <row r="64" spans="6:10" ht="15" customHeight="1" x14ac:dyDescent="0.35">
      <c r="F64" s="7" t="s">
        <v>207</v>
      </c>
      <c r="G64" s="7" t="s">
        <v>22</v>
      </c>
      <c r="H64" s="7">
        <f>H63-H62</f>
        <v>-975</v>
      </c>
      <c r="I64" s="7" t="s">
        <v>208</v>
      </c>
    </row>
    <row r="65" spans="6:9" ht="15" customHeight="1" x14ac:dyDescent="0.35">
      <c r="F65" s="10"/>
      <c r="G65" s="22"/>
    </row>
    <row r="66" spans="6:9" ht="15" customHeight="1" x14ac:dyDescent="0.35">
      <c r="F66" s="10"/>
      <c r="G66" s="22"/>
    </row>
    <row r="67" spans="6:9" ht="15" customHeight="1" x14ac:dyDescent="0.35">
      <c r="F67" s="8"/>
      <c r="G67" s="119" t="s">
        <v>260</v>
      </c>
      <c r="H67" s="144"/>
      <c r="I67" s="6"/>
    </row>
    <row r="68" spans="6:9" ht="15" customHeight="1" x14ac:dyDescent="0.3">
      <c r="F68" s="88" t="s">
        <v>9</v>
      </c>
      <c r="G68" s="88" t="s">
        <v>138</v>
      </c>
      <c r="H68" s="88" t="s">
        <v>6</v>
      </c>
      <c r="I68" s="88" t="s">
        <v>19</v>
      </c>
    </row>
    <row r="69" spans="6:9" ht="15" customHeight="1" x14ac:dyDescent="0.35">
      <c r="F69" s="7" t="s">
        <v>209</v>
      </c>
      <c r="G69" s="7" t="s">
        <v>24</v>
      </c>
      <c r="H69" s="7">
        <f>PRODUCT(H43,365)</f>
        <v>13505</v>
      </c>
      <c r="I69" s="7" t="s">
        <v>210</v>
      </c>
    </row>
    <row r="70" spans="6:9" ht="15" customHeight="1" x14ac:dyDescent="0.35">
      <c r="F70" s="7" t="s">
        <v>211</v>
      </c>
      <c r="G70" s="7" t="s">
        <v>212</v>
      </c>
      <c r="H70" s="7">
        <v>0.1</v>
      </c>
      <c r="I70" s="7" t="s">
        <v>213</v>
      </c>
    </row>
    <row r="71" spans="6:9" ht="15" customHeight="1" x14ac:dyDescent="0.35">
      <c r="F71" s="7" t="s">
        <v>171</v>
      </c>
      <c r="G71" s="7" t="s">
        <v>21</v>
      </c>
      <c r="H71" s="7">
        <f>ROUND(PRODUCT(H69,H70),0)</f>
        <v>1351</v>
      </c>
      <c r="I71" s="7" t="s">
        <v>214</v>
      </c>
    </row>
    <row r="72" spans="6:9" ht="15" customHeight="1" x14ac:dyDescent="0.35">
      <c r="F72" s="7" t="s">
        <v>164</v>
      </c>
      <c r="G72" s="7" t="s">
        <v>22</v>
      </c>
      <c r="H72" s="7">
        <v>43825</v>
      </c>
      <c r="I72" s="7" t="s">
        <v>215</v>
      </c>
    </row>
    <row r="73" spans="6:9" ht="15" customHeight="1" x14ac:dyDescent="0.35">
      <c r="F73" s="7" t="s">
        <v>166</v>
      </c>
      <c r="G73" s="7" t="s">
        <v>22</v>
      </c>
      <c r="H73" s="7">
        <v>42850</v>
      </c>
      <c r="I73" s="7" t="s">
        <v>215</v>
      </c>
    </row>
    <row r="74" spans="6:9" ht="15" customHeight="1" x14ac:dyDescent="0.35">
      <c r="F74" s="7" t="s">
        <v>216</v>
      </c>
      <c r="G74" s="7" t="s">
        <v>0</v>
      </c>
      <c r="H74" s="7">
        <f>ROUND(QUOTIENT(H72,H71),1)</f>
        <v>32</v>
      </c>
      <c r="I74" s="7" t="s">
        <v>217</v>
      </c>
    </row>
    <row r="75" spans="6:9" ht="18" x14ac:dyDescent="0.35">
      <c r="F75" s="7" t="s">
        <v>218</v>
      </c>
      <c r="G75" s="7" t="s">
        <v>0</v>
      </c>
      <c r="H75" s="7">
        <f>ROUND(QUOTIENT(H73,H71),1)</f>
        <v>31</v>
      </c>
      <c r="I75" s="7" t="s">
        <v>217</v>
      </c>
    </row>
    <row r="78" spans="6:9" ht="18" x14ac:dyDescent="0.35">
      <c r="F78" s="6"/>
      <c r="G78" s="119" t="s">
        <v>259</v>
      </c>
      <c r="H78" s="144"/>
      <c r="I78" s="6"/>
    </row>
    <row r="79" spans="6:9" ht="17.399999999999999" x14ac:dyDescent="0.3">
      <c r="F79" s="88" t="s">
        <v>9</v>
      </c>
      <c r="G79" s="88" t="s">
        <v>138</v>
      </c>
      <c r="H79" s="88" t="s">
        <v>219</v>
      </c>
      <c r="I79" s="88" t="s">
        <v>19</v>
      </c>
    </row>
    <row r="80" spans="6:9" ht="18" x14ac:dyDescent="0.35">
      <c r="F80" s="7" t="s">
        <v>220</v>
      </c>
      <c r="G80" s="7" t="s">
        <v>221</v>
      </c>
      <c r="H80" s="7">
        <v>50</v>
      </c>
      <c r="I80" s="7" t="s">
        <v>222</v>
      </c>
    </row>
    <row r="81" spans="6:9" ht="18" x14ac:dyDescent="0.35">
      <c r="F81" s="7" t="s">
        <v>223</v>
      </c>
      <c r="G81" s="7" t="s">
        <v>28</v>
      </c>
      <c r="H81" s="7">
        <v>30</v>
      </c>
      <c r="I81" s="7" t="s">
        <v>224</v>
      </c>
    </row>
    <row r="82" spans="6:9" ht="18" x14ac:dyDescent="0.35">
      <c r="F82" s="7" t="s">
        <v>225</v>
      </c>
      <c r="G82" s="7" t="s">
        <v>0</v>
      </c>
      <c r="H82" s="7">
        <v>26</v>
      </c>
      <c r="I82" s="7" t="s">
        <v>226</v>
      </c>
    </row>
    <row r="86" spans="6:9" ht="18" x14ac:dyDescent="0.35">
      <c r="G86" s="142" t="s">
        <v>257</v>
      </c>
      <c r="H86" s="143"/>
    </row>
    <row r="88" spans="6:9" ht="17.399999999999999" x14ac:dyDescent="0.3">
      <c r="F88" s="91" t="s">
        <v>9</v>
      </c>
      <c r="G88" s="91" t="s">
        <v>138</v>
      </c>
      <c r="H88" s="88" t="s">
        <v>6</v>
      </c>
      <c r="I88" s="88" t="s">
        <v>19</v>
      </c>
    </row>
    <row r="89" spans="6:9" ht="18" x14ac:dyDescent="0.35">
      <c r="F89" s="7" t="s">
        <v>227</v>
      </c>
      <c r="G89" s="87" t="s">
        <v>25</v>
      </c>
      <c r="H89" s="7" t="s">
        <v>228</v>
      </c>
      <c r="I89" s="7" t="s">
        <v>229</v>
      </c>
    </row>
    <row r="90" spans="6:9" ht="18" x14ac:dyDescent="0.35">
      <c r="F90" s="7" t="s">
        <v>230</v>
      </c>
      <c r="G90" s="7" t="s">
        <v>23</v>
      </c>
      <c r="H90" s="7">
        <v>37</v>
      </c>
      <c r="I90" s="7" t="s">
        <v>231</v>
      </c>
    </row>
    <row r="91" spans="6:9" ht="36" x14ac:dyDescent="0.35">
      <c r="F91" s="7" t="s">
        <v>232</v>
      </c>
      <c r="G91" s="7" t="s">
        <v>233</v>
      </c>
      <c r="H91" s="7">
        <v>400</v>
      </c>
      <c r="I91" s="24" t="s">
        <v>234</v>
      </c>
    </row>
    <row r="92" spans="6:9" ht="18" x14ac:dyDescent="0.35">
      <c r="F92" s="7" t="s">
        <v>235</v>
      </c>
      <c r="G92" s="7" t="s">
        <v>143</v>
      </c>
      <c r="H92" s="7">
        <v>6</v>
      </c>
      <c r="I92" s="7" t="s">
        <v>236</v>
      </c>
    </row>
    <row r="93" spans="6:9" ht="18" x14ac:dyDescent="0.35">
      <c r="F93" s="7" t="s">
        <v>237</v>
      </c>
      <c r="G93" s="7" t="s">
        <v>28</v>
      </c>
      <c r="H93" s="7">
        <v>30</v>
      </c>
      <c r="I93" s="7" t="s">
        <v>238</v>
      </c>
    </row>
    <row r="94" spans="6:9" ht="19.5" customHeight="1" x14ac:dyDescent="0.35">
      <c r="F94" s="21" t="s">
        <v>239</v>
      </c>
      <c r="G94" s="23" t="s">
        <v>240</v>
      </c>
      <c r="H94" s="7">
        <v>0.05</v>
      </c>
      <c r="I94" s="23" t="s">
        <v>241</v>
      </c>
    </row>
    <row r="95" spans="6:9" ht="18" x14ac:dyDescent="0.35">
      <c r="F95" s="7" t="s">
        <v>242</v>
      </c>
      <c r="G95" s="7" t="s">
        <v>243</v>
      </c>
      <c r="H95" s="7">
        <f>PRODUCT(H69,H94)</f>
        <v>675.25</v>
      </c>
      <c r="I95" s="7" t="s">
        <v>244</v>
      </c>
    </row>
    <row r="96" spans="6:9" ht="18" x14ac:dyDescent="0.35">
      <c r="F96" s="7" t="s">
        <v>245</v>
      </c>
      <c r="G96" s="7" t="s">
        <v>243</v>
      </c>
      <c r="H96" s="7">
        <f>PRODUCT(H69,0.5)</f>
        <v>6752.5</v>
      </c>
      <c r="I96" s="7" t="s">
        <v>246</v>
      </c>
    </row>
    <row r="97" spans="6:9" ht="18" x14ac:dyDescent="0.35">
      <c r="F97" s="7" t="s">
        <v>247</v>
      </c>
      <c r="G97" s="7" t="s">
        <v>14</v>
      </c>
      <c r="H97" s="7">
        <f>(1-H95/H96)*100</f>
        <v>90</v>
      </c>
      <c r="I97" s="7" t="s">
        <v>248</v>
      </c>
    </row>
    <row r="98" spans="6:9" ht="18" x14ac:dyDescent="0.35">
      <c r="F98" s="7" t="s">
        <v>249</v>
      </c>
      <c r="G98" s="7" t="s">
        <v>250</v>
      </c>
      <c r="H98" s="7" t="s">
        <v>251</v>
      </c>
      <c r="I98" s="7" t="s">
        <v>252</v>
      </c>
    </row>
    <row r="99" spans="6:9" ht="18" x14ac:dyDescent="0.35">
      <c r="F99" s="7" t="s">
        <v>253</v>
      </c>
      <c r="G99" s="7" t="s">
        <v>254</v>
      </c>
      <c r="H99" s="7" t="s">
        <v>255</v>
      </c>
      <c r="I99" s="7" t="s">
        <v>256</v>
      </c>
    </row>
    <row r="102" spans="6:9" ht="17.399999999999999" x14ac:dyDescent="0.3">
      <c r="G102" s="91" t="s">
        <v>258</v>
      </c>
      <c r="I102" s="91"/>
    </row>
    <row r="104" spans="6:9" ht="17.399999999999999" x14ac:dyDescent="0.3">
      <c r="F104" s="92" t="s">
        <v>266</v>
      </c>
      <c r="G104" s="91" t="s">
        <v>138</v>
      </c>
      <c r="H104" s="91" t="s">
        <v>6</v>
      </c>
      <c r="I104" s="91" t="s">
        <v>19</v>
      </c>
    </row>
    <row r="105" spans="6:9" ht="18" x14ac:dyDescent="0.35">
      <c r="F105" s="90" t="s">
        <v>267</v>
      </c>
      <c r="G105" s="90" t="s">
        <v>23</v>
      </c>
      <c r="H105" s="90">
        <v>9</v>
      </c>
      <c r="I105" s="90" t="s">
        <v>268</v>
      </c>
    </row>
    <row r="106" spans="6:9" ht="18" x14ac:dyDescent="0.35">
      <c r="F106" s="90" t="s">
        <v>269</v>
      </c>
      <c r="G106" s="90" t="s">
        <v>29</v>
      </c>
      <c r="H106" s="90">
        <v>8</v>
      </c>
      <c r="I106" s="90" t="s">
        <v>270</v>
      </c>
    </row>
    <row r="107" spans="6:9" ht="18" x14ac:dyDescent="0.35">
      <c r="F107" s="90" t="s">
        <v>271</v>
      </c>
      <c r="G107" s="90" t="s">
        <v>212</v>
      </c>
      <c r="H107" s="90" t="s">
        <v>287</v>
      </c>
      <c r="I107" s="90" t="s">
        <v>272</v>
      </c>
    </row>
    <row r="108" spans="6:9" ht="18" x14ac:dyDescent="0.35">
      <c r="F108" s="90" t="s">
        <v>273</v>
      </c>
      <c r="G108" s="90" t="s">
        <v>274</v>
      </c>
      <c r="H108" s="90">
        <v>180</v>
      </c>
      <c r="I108" s="90" t="s">
        <v>275</v>
      </c>
    </row>
    <row r="109" spans="6:9" ht="18" x14ac:dyDescent="0.35">
      <c r="F109" s="90" t="s">
        <v>276</v>
      </c>
      <c r="G109" s="90" t="s">
        <v>24</v>
      </c>
      <c r="H109" s="90">
        <v>1440</v>
      </c>
      <c r="I109" s="90" t="s">
        <v>277</v>
      </c>
    </row>
    <row r="110" spans="6:9" ht="18" x14ac:dyDescent="0.35">
      <c r="F110" s="90" t="s">
        <v>278</v>
      </c>
      <c r="G110" s="90" t="s">
        <v>21</v>
      </c>
      <c r="H110" s="90">
        <v>576</v>
      </c>
      <c r="I110" s="90" t="s">
        <v>279</v>
      </c>
    </row>
    <row r="111" spans="6:9" ht="18" x14ac:dyDescent="0.35">
      <c r="F111" s="90" t="s">
        <v>280</v>
      </c>
      <c r="G111" s="90" t="s">
        <v>240</v>
      </c>
      <c r="H111" s="90" t="s">
        <v>288</v>
      </c>
      <c r="I111" s="90" t="s">
        <v>281</v>
      </c>
    </row>
    <row r="112" spans="6:9" ht="18" x14ac:dyDescent="0.35">
      <c r="F112" s="90" t="s">
        <v>282</v>
      </c>
      <c r="G112" s="90" t="s">
        <v>243</v>
      </c>
      <c r="H112" s="90">
        <v>1080</v>
      </c>
      <c r="I112" s="90" t="s">
        <v>283</v>
      </c>
    </row>
    <row r="113" spans="6:9" ht="18" x14ac:dyDescent="0.35">
      <c r="F113" s="90" t="s">
        <v>284</v>
      </c>
      <c r="G113" s="90" t="s">
        <v>22</v>
      </c>
      <c r="H113" s="90">
        <v>4000</v>
      </c>
      <c r="I113" s="90" t="s">
        <v>285</v>
      </c>
    </row>
    <row r="114" spans="6:9" ht="18" x14ac:dyDescent="0.35">
      <c r="F114" s="90" t="s">
        <v>286</v>
      </c>
      <c r="G114" s="90" t="s">
        <v>0</v>
      </c>
      <c r="H114" s="90"/>
      <c r="I114" s="90"/>
    </row>
    <row r="115" spans="6:9" ht="18" x14ac:dyDescent="0.35">
      <c r="F115" s="90"/>
      <c r="G115" s="90"/>
      <c r="H115" s="90"/>
      <c r="I115" s="90"/>
    </row>
    <row r="116" spans="6:9" ht="18" x14ac:dyDescent="0.35">
      <c r="F116" s="90"/>
      <c r="H116" s="90"/>
      <c r="I116" s="90"/>
    </row>
    <row r="117" spans="6:9" ht="17.399999999999999" x14ac:dyDescent="0.3">
      <c r="G117" s="91" t="s">
        <v>302</v>
      </c>
    </row>
    <row r="119" spans="6:9" x14ac:dyDescent="0.3">
      <c r="F119" t="s">
        <v>289</v>
      </c>
    </row>
    <row r="120" spans="6:9" ht="17.399999999999999" x14ac:dyDescent="0.3">
      <c r="F120" s="93" t="s">
        <v>290</v>
      </c>
      <c r="G120" s="93" t="s">
        <v>291</v>
      </c>
    </row>
    <row r="121" spans="6:9" ht="36" x14ac:dyDescent="0.3">
      <c r="F121" s="95" t="s">
        <v>292</v>
      </c>
      <c r="G121" s="94" t="s">
        <v>293</v>
      </c>
    </row>
    <row r="122" spans="6:9" ht="36" x14ac:dyDescent="0.3">
      <c r="F122" s="95" t="s">
        <v>294</v>
      </c>
      <c r="G122" s="94" t="s">
        <v>295</v>
      </c>
    </row>
    <row r="123" spans="6:9" ht="36" x14ac:dyDescent="0.3">
      <c r="F123" s="95" t="s">
        <v>296</v>
      </c>
      <c r="G123" s="94" t="s">
        <v>297</v>
      </c>
    </row>
    <row r="124" spans="6:9" ht="36" x14ac:dyDescent="0.3">
      <c r="F124" s="95" t="s">
        <v>298</v>
      </c>
      <c r="G124" s="94" t="s">
        <v>299</v>
      </c>
    </row>
    <row r="125" spans="6:9" ht="18" x14ac:dyDescent="0.3">
      <c r="F125" s="95" t="s">
        <v>300</v>
      </c>
      <c r="G125" s="94" t="s">
        <v>301</v>
      </c>
    </row>
    <row r="126" spans="6:9" x14ac:dyDescent="0.3">
      <c r="F126" s="17"/>
    </row>
  </sheetData>
  <mergeCells count="8">
    <mergeCell ref="G86:H86"/>
    <mergeCell ref="G19:H19"/>
    <mergeCell ref="G7:H7"/>
    <mergeCell ref="G78:H78"/>
    <mergeCell ref="G67:H67"/>
    <mergeCell ref="G53:H53"/>
    <mergeCell ref="G45:H45"/>
    <mergeCell ref="G34:H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07943-8A30-4E03-AEC4-F7D596C712D7}">
  <dimension ref="B4:AA106"/>
  <sheetViews>
    <sheetView topLeftCell="A88" workbookViewId="0">
      <selection activeCell="C106" sqref="B101:C106"/>
    </sheetView>
  </sheetViews>
  <sheetFormatPr defaultRowHeight="14.4" x14ac:dyDescent="0.3"/>
  <cols>
    <col min="2" max="2" width="43.109375" customWidth="1"/>
    <col min="3" max="3" width="34.109375" customWidth="1"/>
    <col min="4" max="4" width="28" customWidth="1"/>
    <col min="5" max="5" width="19.88671875" customWidth="1"/>
    <col min="6" max="6" width="22.6640625" customWidth="1"/>
    <col min="7" max="7" width="19.33203125" customWidth="1"/>
    <col min="8" max="8" width="17.21875" customWidth="1"/>
    <col min="9" max="9" width="21.44140625" customWidth="1"/>
    <col min="10" max="10" width="14.21875" customWidth="1"/>
    <col min="11" max="11" width="21.77734375" customWidth="1"/>
    <col min="12" max="12" width="32.21875" customWidth="1"/>
    <col min="13" max="13" width="25" customWidth="1"/>
    <col min="14" max="14" width="15.21875" customWidth="1"/>
    <col min="18" max="18" width="23.44140625" customWidth="1"/>
    <col min="19" max="19" width="11.77734375" customWidth="1"/>
    <col min="20" max="20" width="14.88671875" customWidth="1"/>
    <col min="24" max="24" width="19.44140625" customWidth="1"/>
    <col min="25" max="25" width="15.33203125" customWidth="1"/>
    <col min="26" max="26" width="13.88671875" customWidth="1"/>
  </cols>
  <sheetData>
    <row r="4" spans="2:27" ht="15.6" x14ac:dyDescent="0.3">
      <c r="B4" s="124" t="s">
        <v>350</v>
      </c>
      <c r="C4" s="125"/>
    </row>
    <row r="5" spans="2:27" ht="15.6" x14ac:dyDescent="0.3">
      <c r="B5" s="96" t="s">
        <v>7</v>
      </c>
      <c r="C5" s="96" t="s">
        <v>8</v>
      </c>
    </row>
    <row r="6" spans="2:27" ht="15.6" x14ac:dyDescent="0.3">
      <c r="B6" s="97" t="s">
        <v>11</v>
      </c>
      <c r="C6" s="97" t="s">
        <v>37</v>
      </c>
    </row>
    <row r="7" spans="2:27" ht="31.2" x14ac:dyDescent="0.3">
      <c r="B7" s="97" t="s">
        <v>42</v>
      </c>
      <c r="C7" s="97" t="s">
        <v>43</v>
      </c>
      <c r="L7" s="124" t="s">
        <v>352</v>
      </c>
      <c r="M7" s="124"/>
      <c r="N7" s="124"/>
      <c r="R7" s="124" t="s">
        <v>353</v>
      </c>
      <c r="S7" s="125"/>
      <c r="T7" s="125"/>
      <c r="X7" s="121" t="s">
        <v>317</v>
      </c>
      <c r="Y7" s="122"/>
      <c r="Z7" s="122"/>
      <c r="AA7" s="122"/>
    </row>
    <row r="8" spans="2:27" ht="31.2" x14ac:dyDescent="0.3">
      <c r="B8" s="97" t="s">
        <v>48</v>
      </c>
      <c r="C8" s="97" t="s">
        <v>49</v>
      </c>
      <c r="L8" s="96" t="s">
        <v>9</v>
      </c>
      <c r="M8" s="96" t="s">
        <v>6</v>
      </c>
      <c r="N8" s="96" t="s">
        <v>15</v>
      </c>
      <c r="R8" s="96" t="s">
        <v>9</v>
      </c>
      <c r="S8" s="96" t="s">
        <v>6</v>
      </c>
      <c r="T8" s="96" t="s">
        <v>15</v>
      </c>
      <c r="X8" s="96" t="s">
        <v>33</v>
      </c>
      <c r="Y8" s="96" t="s">
        <v>318</v>
      </c>
      <c r="Z8" s="96" t="s">
        <v>319</v>
      </c>
      <c r="AA8" s="96" t="s">
        <v>320</v>
      </c>
    </row>
    <row r="9" spans="2:27" ht="31.2" x14ac:dyDescent="0.3">
      <c r="B9" s="97" t="s">
        <v>12</v>
      </c>
      <c r="C9" s="97" t="s">
        <v>54</v>
      </c>
      <c r="L9" s="97" t="s">
        <v>38</v>
      </c>
      <c r="M9" s="97" t="s">
        <v>39</v>
      </c>
      <c r="N9" s="97" t="s">
        <v>40</v>
      </c>
      <c r="R9" s="97" t="s">
        <v>177</v>
      </c>
      <c r="S9" s="97" t="s">
        <v>304</v>
      </c>
      <c r="T9" s="97" t="s">
        <v>311</v>
      </c>
      <c r="X9" s="97" t="s">
        <v>41</v>
      </c>
      <c r="Y9" s="97">
        <v>21</v>
      </c>
      <c r="Z9" s="97">
        <v>11.5</v>
      </c>
      <c r="AA9" s="98">
        <v>32.5</v>
      </c>
    </row>
    <row r="10" spans="2:27" ht="46.8" customHeight="1" x14ac:dyDescent="0.3">
      <c r="B10" s="97" t="s">
        <v>13</v>
      </c>
      <c r="C10" s="97" t="s">
        <v>59</v>
      </c>
      <c r="L10" s="97" t="s">
        <v>44</v>
      </c>
      <c r="M10" s="97" t="s">
        <v>45</v>
      </c>
      <c r="N10" s="97" t="s">
        <v>46</v>
      </c>
      <c r="R10" s="97" t="s">
        <v>305</v>
      </c>
      <c r="S10" s="97" t="s">
        <v>306</v>
      </c>
      <c r="T10" s="97" t="s">
        <v>312</v>
      </c>
      <c r="X10" s="97" t="s">
        <v>47</v>
      </c>
      <c r="Y10" s="97">
        <v>171</v>
      </c>
      <c r="Z10" s="97">
        <v>11.5</v>
      </c>
      <c r="AA10" s="98">
        <v>182.5</v>
      </c>
    </row>
    <row r="11" spans="2:27" ht="46.8" customHeight="1" x14ac:dyDescent="0.3">
      <c r="B11" s="97" t="s">
        <v>16</v>
      </c>
      <c r="C11" s="97" t="s">
        <v>60</v>
      </c>
      <c r="L11" s="97" t="s">
        <v>50</v>
      </c>
      <c r="M11" s="97" t="s">
        <v>51</v>
      </c>
      <c r="N11" s="97" t="s">
        <v>52</v>
      </c>
      <c r="R11" s="97" t="s">
        <v>307</v>
      </c>
      <c r="S11" s="97" t="s">
        <v>308</v>
      </c>
      <c r="T11" s="97" t="s">
        <v>313</v>
      </c>
      <c r="X11" s="97" t="s">
        <v>53</v>
      </c>
      <c r="Y11" s="97">
        <v>621</v>
      </c>
      <c r="Z11" s="97">
        <v>11.5</v>
      </c>
      <c r="AA11" s="98">
        <v>632.5</v>
      </c>
    </row>
    <row r="12" spans="2:27" ht="62.4" customHeight="1" x14ac:dyDescent="0.3">
      <c r="B12" s="97" t="s">
        <v>17</v>
      </c>
      <c r="C12" s="97" t="s">
        <v>62</v>
      </c>
      <c r="L12" s="97" t="s">
        <v>55</v>
      </c>
      <c r="M12" s="97" t="s">
        <v>56</v>
      </c>
      <c r="N12" s="97" t="s">
        <v>57</v>
      </c>
      <c r="R12" s="97" t="s">
        <v>309</v>
      </c>
      <c r="S12" s="97" t="s">
        <v>310</v>
      </c>
      <c r="T12" s="97" t="s">
        <v>314</v>
      </c>
      <c r="X12" s="97" t="s">
        <v>58</v>
      </c>
      <c r="Y12" s="101">
        <v>3021</v>
      </c>
      <c r="Z12" s="97">
        <v>11.5</v>
      </c>
      <c r="AA12" s="102">
        <v>3032.5</v>
      </c>
    </row>
    <row r="13" spans="2:27" ht="31.2" x14ac:dyDescent="0.3">
      <c r="B13" s="97" t="s">
        <v>18</v>
      </c>
      <c r="C13" s="97" t="s">
        <v>63</v>
      </c>
      <c r="R13" s="98" t="s">
        <v>351</v>
      </c>
      <c r="S13" s="98" t="s">
        <v>316</v>
      </c>
      <c r="T13" s="99"/>
    </row>
    <row r="14" spans="2:27" ht="31.2" x14ac:dyDescent="0.3">
      <c r="B14" s="97" t="s">
        <v>66</v>
      </c>
      <c r="C14" s="97" t="s">
        <v>67</v>
      </c>
    </row>
    <row r="15" spans="2:27" ht="31.2" x14ac:dyDescent="0.3">
      <c r="B15" s="97" t="s">
        <v>69</v>
      </c>
      <c r="C15" s="97" t="s">
        <v>70</v>
      </c>
      <c r="L15" s="156" t="s">
        <v>354</v>
      </c>
      <c r="M15" s="136"/>
    </row>
    <row r="16" spans="2:27" ht="31.2" x14ac:dyDescent="0.3">
      <c r="B16" s="97" t="s">
        <v>72</v>
      </c>
      <c r="C16" s="97" t="s">
        <v>73</v>
      </c>
      <c r="L16" s="80" t="s">
        <v>9</v>
      </c>
      <c r="M16" s="80" t="s">
        <v>6</v>
      </c>
    </row>
    <row r="17" spans="2:13" ht="15.6" x14ac:dyDescent="0.3">
      <c r="L17" s="30" t="s">
        <v>64</v>
      </c>
      <c r="M17" s="73" t="s">
        <v>65</v>
      </c>
    </row>
    <row r="18" spans="2:13" ht="15.6" x14ac:dyDescent="0.3">
      <c r="L18" s="30" t="s">
        <v>68</v>
      </c>
      <c r="M18" s="73" t="s">
        <v>47</v>
      </c>
    </row>
    <row r="19" spans="2:13" ht="15.6" x14ac:dyDescent="0.3">
      <c r="L19" s="30" t="s">
        <v>71</v>
      </c>
      <c r="M19" s="73" t="s">
        <v>53</v>
      </c>
    </row>
    <row r="20" spans="2:13" ht="15.6" x14ac:dyDescent="0.3">
      <c r="L20" s="30" t="s">
        <v>74</v>
      </c>
      <c r="M20" s="73" t="s">
        <v>58</v>
      </c>
    </row>
    <row r="22" spans="2:13" ht="15.6" customHeight="1" x14ac:dyDescent="0.3">
      <c r="B22" s="140" t="s">
        <v>355</v>
      </c>
      <c r="C22" s="140"/>
      <c r="D22" s="140"/>
    </row>
    <row r="23" spans="2:13" ht="15.6" x14ac:dyDescent="0.3">
      <c r="B23" s="82" t="s">
        <v>9</v>
      </c>
      <c r="C23" s="81" t="s">
        <v>6</v>
      </c>
      <c r="D23" s="81" t="s">
        <v>20</v>
      </c>
      <c r="L23" s="141" t="s">
        <v>356</v>
      </c>
      <c r="M23" s="141"/>
    </row>
    <row r="24" spans="2:13" ht="15.6" x14ac:dyDescent="0.3">
      <c r="B24" s="33" t="s">
        <v>77</v>
      </c>
      <c r="C24" s="72" t="s">
        <v>78</v>
      </c>
      <c r="D24" s="30"/>
      <c r="L24" s="81" t="s">
        <v>9</v>
      </c>
      <c r="M24" s="81" t="s">
        <v>6</v>
      </c>
    </row>
    <row r="25" spans="2:13" ht="15.6" x14ac:dyDescent="0.3">
      <c r="B25" s="33" t="s">
        <v>81</v>
      </c>
      <c r="C25" s="78">
        <v>0.2</v>
      </c>
      <c r="D25" s="30"/>
      <c r="L25" s="30" t="s">
        <v>79</v>
      </c>
      <c r="M25" s="72" t="s">
        <v>80</v>
      </c>
    </row>
    <row r="26" spans="2:13" ht="15.6" x14ac:dyDescent="0.3">
      <c r="B26" s="33" t="s">
        <v>82</v>
      </c>
      <c r="C26" s="72" t="s">
        <v>83</v>
      </c>
      <c r="D26" s="30"/>
      <c r="L26" s="30" t="s">
        <v>66</v>
      </c>
      <c r="M26" s="78">
        <v>0.8</v>
      </c>
    </row>
    <row r="27" spans="2:13" ht="15.6" x14ac:dyDescent="0.3">
      <c r="B27" s="33" t="s">
        <v>85</v>
      </c>
      <c r="C27" s="78">
        <v>0.25</v>
      </c>
      <c r="D27" s="30"/>
      <c r="L27" s="30" t="s">
        <v>84</v>
      </c>
      <c r="M27" s="78">
        <v>0.9</v>
      </c>
    </row>
    <row r="28" spans="2:13" ht="15.6" x14ac:dyDescent="0.3">
      <c r="B28" s="33" t="s">
        <v>88</v>
      </c>
      <c r="C28" s="72">
        <v>0.75</v>
      </c>
      <c r="D28" s="30"/>
      <c r="L28" s="30" t="s">
        <v>86</v>
      </c>
      <c r="M28" s="100" t="s">
        <v>87</v>
      </c>
    </row>
    <row r="29" spans="2:13" ht="15.6" x14ac:dyDescent="0.3">
      <c r="B29" s="33" t="s">
        <v>89</v>
      </c>
      <c r="C29" s="72" t="s">
        <v>90</v>
      </c>
      <c r="D29" s="30" t="s">
        <v>91</v>
      </c>
    </row>
    <row r="33" spans="2:10" ht="15.6" x14ac:dyDescent="0.3">
      <c r="B33" s="129" t="s">
        <v>92</v>
      </c>
      <c r="C33" s="129"/>
      <c r="D33" s="129"/>
      <c r="E33" s="129"/>
      <c r="F33" s="129"/>
      <c r="G33" s="129"/>
      <c r="H33" s="129"/>
      <c r="I33" s="129"/>
      <c r="J33" s="129"/>
    </row>
    <row r="35" spans="2:10" ht="15.6" x14ac:dyDescent="0.3">
      <c r="B35" s="81" t="s">
        <v>3</v>
      </c>
      <c r="C35" s="81" t="s">
        <v>6</v>
      </c>
      <c r="E35" s="123" t="s">
        <v>321</v>
      </c>
      <c r="F35" s="123"/>
      <c r="G35" s="123"/>
      <c r="H35" s="123"/>
      <c r="I35" s="123"/>
      <c r="J35" s="123"/>
    </row>
    <row r="36" spans="2:10" ht="31.2" x14ac:dyDescent="0.3">
      <c r="B36" s="30" t="s">
        <v>97</v>
      </c>
      <c r="C36" s="30" t="s">
        <v>98</v>
      </c>
      <c r="E36" s="96" t="s">
        <v>33</v>
      </c>
      <c r="F36" s="96" t="s">
        <v>10</v>
      </c>
      <c r="G36" s="96" t="s">
        <v>93</v>
      </c>
      <c r="H36" s="96" t="s">
        <v>94</v>
      </c>
      <c r="I36" s="96" t="s">
        <v>322</v>
      </c>
      <c r="J36" s="96" t="s">
        <v>323</v>
      </c>
    </row>
    <row r="37" spans="2:10" ht="15.6" x14ac:dyDescent="0.3">
      <c r="E37" s="97" t="s">
        <v>41</v>
      </c>
      <c r="F37" s="97">
        <v>32.5</v>
      </c>
      <c r="G37" s="97">
        <v>6.57</v>
      </c>
      <c r="H37" s="97">
        <v>17</v>
      </c>
      <c r="I37" s="97">
        <v>55.9</v>
      </c>
      <c r="J37" s="97">
        <v>5.5999999999999999E-3</v>
      </c>
    </row>
    <row r="38" spans="2:10" ht="15.6" x14ac:dyDescent="0.3">
      <c r="E38" s="97" t="s">
        <v>47</v>
      </c>
      <c r="F38" s="97">
        <v>182.5</v>
      </c>
      <c r="G38" s="97">
        <v>36.869999999999997</v>
      </c>
      <c r="H38" s="97">
        <v>93</v>
      </c>
      <c r="I38" s="97">
        <v>313.39999999999998</v>
      </c>
      <c r="J38" s="97">
        <v>3.1300000000000001E-2</v>
      </c>
    </row>
    <row r="39" spans="2:10" ht="15.6" x14ac:dyDescent="0.3">
      <c r="E39" s="97" t="s">
        <v>53</v>
      </c>
      <c r="F39" s="97">
        <v>632.5</v>
      </c>
      <c r="G39" s="97">
        <v>127.78</v>
      </c>
      <c r="H39" s="97">
        <v>320</v>
      </c>
      <c r="I39" s="103">
        <v>1086.0999999999999</v>
      </c>
      <c r="J39" s="97">
        <v>0.1086</v>
      </c>
    </row>
    <row r="40" spans="2:10" ht="15.6" x14ac:dyDescent="0.3">
      <c r="E40" s="97" t="s">
        <v>58</v>
      </c>
      <c r="F40" s="103">
        <v>3032.5</v>
      </c>
      <c r="G40" s="97">
        <v>612.63</v>
      </c>
      <c r="H40" s="101">
        <v>1532</v>
      </c>
      <c r="I40" s="103">
        <v>5207.3999999999996</v>
      </c>
      <c r="J40" s="97">
        <v>0.52070000000000005</v>
      </c>
    </row>
    <row r="44" spans="2:10" ht="15.6" x14ac:dyDescent="0.3">
      <c r="B44" s="154" t="s">
        <v>99</v>
      </c>
      <c r="C44" s="155"/>
      <c r="D44" s="155"/>
      <c r="E44" s="155"/>
      <c r="F44" s="155"/>
      <c r="G44" s="155"/>
      <c r="H44" s="155"/>
      <c r="I44" s="155"/>
      <c r="J44" s="155"/>
    </row>
    <row r="46" spans="2:10" ht="15.6" x14ac:dyDescent="0.3">
      <c r="B46" s="82" t="s">
        <v>9</v>
      </c>
      <c r="C46" s="82" t="s">
        <v>26</v>
      </c>
      <c r="F46" s="25"/>
      <c r="G46" s="104" t="s">
        <v>324</v>
      </c>
      <c r="H46" s="25"/>
      <c r="I46" s="25"/>
    </row>
    <row r="47" spans="2:10" ht="31.2" x14ac:dyDescent="0.3">
      <c r="B47" s="33" t="s">
        <v>103</v>
      </c>
      <c r="C47" s="27" t="s">
        <v>104</v>
      </c>
      <c r="F47" s="96" t="s">
        <v>33</v>
      </c>
      <c r="G47" s="96" t="s">
        <v>325</v>
      </c>
      <c r="H47" s="96" t="s">
        <v>101</v>
      </c>
      <c r="I47" s="96" t="s">
        <v>102</v>
      </c>
    </row>
    <row r="48" spans="2:10" ht="15.6" x14ac:dyDescent="0.3">
      <c r="B48" s="33" t="s">
        <v>105</v>
      </c>
      <c r="C48" s="27" t="s">
        <v>106</v>
      </c>
      <c r="F48" s="97" t="s">
        <v>41</v>
      </c>
      <c r="G48" s="97">
        <v>10.83</v>
      </c>
      <c r="H48" s="97">
        <v>12.04</v>
      </c>
      <c r="I48" s="97">
        <v>15.05</v>
      </c>
    </row>
    <row r="49" spans="2:9" ht="15.6" x14ac:dyDescent="0.3">
      <c r="B49" s="33" t="s">
        <v>107</v>
      </c>
      <c r="C49" s="27" t="s">
        <v>108</v>
      </c>
      <c r="F49" s="97" t="s">
        <v>47</v>
      </c>
      <c r="G49" s="97">
        <v>60.83</v>
      </c>
      <c r="H49" s="97">
        <v>67.59</v>
      </c>
      <c r="I49" s="97">
        <v>84.49</v>
      </c>
    </row>
    <row r="50" spans="2:9" ht="15.6" x14ac:dyDescent="0.3">
      <c r="F50" s="97" t="s">
        <v>53</v>
      </c>
      <c r="G50" s="97">
        <v>210.83</v>
      </c>
      <c r="H50" s="97">
        <v>234.26</v>
      </c>
      <c r="I50" s="97">
        <v>292.82</v>
      </c>
    </row>
    <row r="51" spans="2:9" ht="15.6" x14ac:dyDescent="0.3">
      <c r="F51" s="97" t="s">
        <v>58</v>
      </c>
      <c r="G51" s="103">
        <v>1010.83</v>
      </c>
      <c r="H51" s="103">
        <v>1123.1500000000001</v>
      </c>
      <c r="I51" s="103">
        <v>1403.94</v>
      </c>
    </row>
    <row r="55" spans="2:9" ht="15.6" x14ac:dyDescent="0.3">
      <c r="B55" s="127" t="s">
        <v>109</v>
      </c>
      <c r="C55" s="127"/>
      <c r="D55" s="127"/>
      <c r="E55" s="127"/>
      <c r="F55" s="127"/>
      <c r="G55" s="127"/>
      <c r="H55" s="127"/>
      <c r="I55" s="127"/>
    </row>
    <row r="57" spans="2:9" ht="15.6" x14ac:dyDescent="0.3">
      <c r="B57" s="81" t="s">
        <v>110</v>
      </c>
      <c r="C57" s="81" t="s">
        <v>111</v>
      </c>
      <c r="F57" s="124" t="s">
        <v>326</v>
      </c>
      <c r="G57" s="124"/>
      <c r="H57" s="124"/>
      <c r="I57" s="124"/>
    </row>
    <row r="58" spans="2:9" ht="31.2" x14ac:dyDescent="0.3">
      <c r="B58" s="30" t="s">
        <v>116</v>
      </c>
      <c r="C58" s="30" t="s">
        <v>117</v>
      </c>
      <c r="F58" s="96" t="s">
        <v>33</v>
      </c>
      <c r="G58" s="96" t="s">
        <v>112</v>
      </c>
      <c r="H58" s="96" t="s">
        <v>113</v>
      </c>
      <c r="I58" s="96" t="s">
        <v>327</v>
      </c>
    </row>
    <row r="59" spans="2:9" ht="15.6" x14ac:dyDescent="0.3">
      <c r="B59" s="30" t="s">
        <v>118</v>
      </c>
      <c r="C59" s="30" t="s">
        <v>119</v>
      </c>
      <c r="F59" s="97" t="s">
        <v>41</v>
      </c>
      <c r="G59" s="101">
        <v>7884</v>
      </c>
      <c r="H59" s="101">
        <v>6020</v>
      </c>
      <c r="I59" s="101">
        <v>13904</v>
      </c>
    </row>
    <row r="60" spans="2:9" ht="15.6" x14ac:dyDescent="0.3">
      <c r="B60" s="30" t="s">
        <v>120</v>
      </c>
      <c r="C60" s="30" t="s">
        <v>121</v>
      </c>
      <c r="F60" s="97" t="s">
        <v>47</v>
      </c>
      <c r="G60" s="101">
        <v>44244</v>
      </c>
      <c r="H60" s="101">
        <v>33796</v>
      </c>
      <c r="I60" s="101">
        <v>78040</v>
      </c>
    </row>
    <row r="61" spans="2:9" ht="15.6" x14ac:dyDescent="0.3">
      <c r="F61" s="97" t="s">
        <v>53</v>
      </c>
      <c r="G61" s="101">
        <v>153336</v>
      </c>
      <c r="H61" s="101">
        <v>117128</v>
      </c>
      <c r="I61" s="101">
        <v>270464</v>
      </c>
    </row>
    <row r="62" spans="2:9" ht="15.6" x14ac:dyDescent="0.3">
      <c r="F62" s="97" t="s">
        <v>58</v>
      </c>
      <c r="G62" s="101">
        <v>735156</v>
      </c>
      <c r="H62" s="101">
        <v>561576</v>
      </c>
      <c r="I62" s="101">
        <v>1296732</v>
      </c>
    </row>
    <row r="67" spans="2:9" ht="15.6" x14ac:dyDescent="0.3">
      <c r="B67" s="152" t="s">
        <v>357</v>
      </c>
      <c r="C67" s="127"/>
      <c r="D67" s="127"/>
      <c r="E67" s="127"/>
      <c r="F67" s="127"/>
      <c r="G67" s="127"/>
      <c r="H67" s="127"/>
      <c r="I67" s="127"/>
    </row>
    <row r="69" spans="2:9" ht="15.6" x14ac:dyDescent="0.3">
      <c r="B69" s="96" t="s">
        <v>9</v>
      </c>
      <c r="C69" s="96" t="s">
        <v>358</v>
      </c>
      <c r="D69" s="96" t="s">
        <v>149</v>
      </c>
      <c r="E69" s="96" t="s">
        <v>19</v>
      </c>
    </row>
    <row r="70" spans="2:9" ht="31.2" x14ac:dyDescent="0.3">
      <c r="B70" s="97" t="s">
        <v>359</v>
      </c>
      <c r="C70" s="97" t="s">
        <v>360</v>
      </c>
      <c r="D70" s="97" t="s">
        <v>361</v>
      </c>
      <c r="E70" s="97" t="s">
        <v>362</v>
      </c>
    </row>
    <row r="71" spans="2:9" ht="15.6" x14ac:dyDescent="0.3">
      <c r="B71" s="97" t="s">
        <v>363</v>
      </c>
      <c r="C71" s="97">
        <v>19</v>
      </c>
      <c r="D71" s="97">
        <v>15</v>
      </c>
      <c r="E71" s="97" t="s">
        <v>161</v>
      </c>
    </row>
    <row r="72" spans="2:9" ht="31.2" x14ac:dyDescent="0.3">
      <c r="B72" s="97" t="s">
        <v>364</v>
      </c>
      <c r="C72" s="106">
        <v>43825</v>
      </c>
      <c r="D72" s="106">
        <v>42850</v>
      </c>
      <c r="E72" s="97" t="s">
        <v>208</v>
      </c>
    </row>
    <row r="73" spans="2:9" ht="46.8" x14ac:dyDescent="0.3">
      <c r="B73" s="97" t="s">
        <v>365</v>
      </c>
      <c r="C73" s="97" t="s">
        <v>25</v>
      </c>
      <c r="D73" s="97" t="s">
        <v>366</v>
      </c>
      <c r="E73" s="97" t="s">
        <v>367</v>
      </c>
    </row>
    <row r="76" spans="2:9" ht="15.6" x14ac:dyDescent="0.3">
      <c r="B76" s="153" t="s">
        <v>368</v>
      </c>
      <c r="C76" s="127"/>
      <c r="D76" s="127"/>
      <c r="E76" s="127"/>
      <c r="F76" s="127"/>
      <c r="G76" s="127"/>
      <c r="H76" s="127"/>
      <c r="I76" s="127"/>
    </row>
    <row r="78" spans="2:9" ht="15.6" x14ac:dyDescent="0.3">
      <c r="B78" s="96" t="s">
        <v>9</v>
      </c>
      <c r="C78" s="96" t="s">
        <v>6</v>
      </c>
      <c r="D78" s="96" t="s">
        <v>19</v>
      </c>
    </row>
    <row r="79" spans="2:9" ht="31.2" x14ac:dyDescent="0.3">
      <c r="B79" s="97" t="s">
        <v>369</v>
      </c>
      <c r="C79" s="97" t="s">
        <v>370</v>
      </c>
      <c r="D79" s="97" t="s">
        <v>371</v>
      </c>
    </row>
    <row r="80" spans="2:9" ht="31.2" x14ac:dyDescent="0.3">
      <c r="B80" s="97" t="s">
        <v>269</v>
      </c>
      <c r="C80" s="97" t="s">
        <v>372</v>
      </c>
      <c r="D80" s="97" t="s">
        <v>373</v>
      </c>
    </row>
    <row r="81" spans="2:12" ht="31.2" x14ac:dyDescent="0.3">
      <c r="B81" s="97" t="s">
        <v>271</v>
      </c>
      <c r="C81" s="97" t="s">
        <v>374</v>
      </c>
      <c r="D81" s="97" t="s">
        <v>375</v>
      </c>
    </row>
    <row r="82" spans="2:12" ht="15.6" x14ac:dyDescent="0.3">
      <c r="B82" s="97" t="s">
        <v>273</v>
      </c>
      <c r="C82" s="97" t="s">
        <v>376</v>
      </c>
      <c r="D82" s="97" t="s">
        <v>377</v>
      </c>
    </row>
    <row r="83" spans="2:12" ht="15.6" x14ac:dyDescent="0.3">
      <c r="B83" s="97" t="s">
        <v>276</v>
      </c>
      <c r="C83" s="97" t="s">
        <v>378</v>
      </c>
      <c r="D83" s="97" t="s">
        <v>277</v>
      </c>
    </row>
    <row r="84" spans="2:12" ht="15.6" x14ac:dyDescent="0.3">
      <c r="B84" s="97" t="s">
        <v>278</v>
      </c>
      <c r="C84" s="97" t="s">
        <v>379</v>
      </c>
      <c r="D84" s="97" t="s">
        <v>380</v>
      </c>
    </row>
    <row r="85" spans="2:12" ht="15.6" x14ac:dyDescent="0.3">
      <c r="B85" s="97" t="s">
        <v>280</v>
      </c>
      <c r="C85" s="97" t="s">
        <v>335</v>
      </c>
      <c r="D85" s="97" t="s">
        <v>381</v>
      </c>
    </row>
    <row r="86" spans="2:12" ht="15.6" x14ac:dyDescent="0.3">
      <c r="B86" s="97" t="s">
        <v>282</v>
      </c>
      <c r="C86" s="97" t="s">
        <v>382</v>
      </c>
      <c r="D86" s="97" t="s">
        <v>383</v>
      </c>
    </row>
    <row r="87" spans="2:12" ht="15.6" x14ac:dyDescent="0.3">
      <c r="B87" s="97" t="s">
        <v>384</v>
      </c>
      <c r="C87" s="97" t="s">
        <v>385</v>
      </c>
      <c r="D87" s="97" t="s">
        <v>386</v>
      </c>
    </row>
    <row r="90" spans="2:12" ht="15.6" x14ac:dyDescent="0.3">
      <c r="B90" s="150" t="s">
        <v>387</v>
      </c>
      <c r="C90" s="151"/>
      <c r="D90" s="151"/>
      <c r="E90" s="151"/>
      <c r="F90" s="151"/>
      <c r="G90" s="151"/>
      <c r="H90" s="151"/>
      <c r="I90" s="151"/>
      <c r="J90" s="151"/>
      <c r="K90" s="151"/>
      <c r="L90" s="151"/>
    </row>
    <row r="92" spans="2:12" ht="31.2" x14ac:dyDescent="0.3">
      <c r="B92" s="96" t="s">
        <v>9</v>
      </c>
      <c r="C92" s="96" t="s">
        <v>6</v>
      </c>
      <c r="D92" s="96" t="s">
        <v>19</v>
      </c>
      <c r="F92" s="96" t="s">
        <v>33</v>
      </c>
      <c r="G92" s="96" t="s">
        <v>337</v>
      </c>
      <c r="H92" s="96" t="s">
        <v>338</v>
      </c>
      <c r="I92" s="96" t="s">
        <v>339</v>
      </c>
      <c r="J92" s="96" t="s">
        <v>340</v>
      </c>
      <c r="K92" s="96" t="s">
        <v>341</v>
      </c>
      <c r="L92" s="96" t="s">
        <v>342</v>
      </c>
    </row>
    <row r="93" spans="2:12" ht="31.2" x14ac:dyDescent="0.3">
      <c r="B93" s="97" t="s">
        <v>329</v>
      </c>
      <c r="C93" s="97" t="s">
        <v>330</v>
      </c>
      <c r="D93" s="97" t="s">
        <v>331</v>
      </c>
      <c r="F93" s="97" t="s">
        <v>41</v>
      </c>
      <c r="G93" s="103">
        <v>11862.5</v>
      </c>
      <c r="H93" s="97">
        <v>593.1</v>
      </c>
      <c r="I93" s="103">
        <v>5931.3</v>
      </c>
      <c r="J93" s="101">
        <v>1080</v>
      </c>
      <c r="K93" s="103">
        <v>1673.1</v>
      </c>
      <c r="L93" s="105">
        <v>0.71799999999999997</v>
      </c>
    </row>
    <row r="94" spans="2:12" ht="15.6" x14ac:dyDescent="0.3">
      <c r="B94" s="97" t="s">
        <v>332</v>
      </c>
      <c r="C94" s="97" t="s">
        <v>333</v>
      </c>
      <c r="D94" s="97" t="s">
        <v>334</v>
      </c>
      <c r="F94" s="97" t="s">
        <v>47</v>
      </c>
      <c r="G94" s="103">
        <v>66612.5</v>
      </c>
      <c r="H94" s="103">
        <v>3330.6</v>
      </c>
      <c r="I94" s="103">
        <v>33306.300000000003</v>
      </c>
      <c r="J94" s="101">
        <v>1080</v>
      </c>
      <c r="K94" s="103">
        <v>4410.6000000000004</v>
      </c>
      <c r="L94" s="105">
        <v>0.86799999999999999</v>
      </c>
    </row>
    <row r="95" spans="2:12" ht="15.6" x14ac:dyDescent="0.3">
      <c r="B95" s="97" t="s">
        <v>280</v>
      </c>
      <c r="C95" s="97" t="s">
        <v>335</v>
      </c>
      <c r="D95" s="97" t="s">
        <v>336</v>
      </c>
      <c r="F95" s="97" t="s">
        <v>53</v>
      </c>
      <c r="G95" s="103">
        <v>230862.5</v>
      </c>
      <c r="H95" s="103">
        <v>11543.1</v>
      </c>
      <c r="I95" s="103">
        <v>115431.3</v>
      </c>
      <c r="J95" s="101">
        <v>1080</v>
      </c>
      <c r="K95" s="103">
        <v>12623.1</v>
      </c>
      <c r="L95" s="105">
        <v>0.89100000000000001</v>
      </c>
    </row>
    <row r="96" spans="2:12" ht="15.6" x14ac:dyDescent="0.3">
      <c r="F96" s="97" t="s">
        <v>58</v>
      </c>
      <c r="G96" s="103">
        <v>1106862.5</v>
      </c>
      <c r="H96" s="103">
        <v>55343.1</v>
      </c>
      <c r="I96" s="103">
        <v>553431.30000000005</v>
      </c>
      <c r="J96" s="101">
        <v>1080</v>
      </c>
      <c r="K96" s="103">
        <v>56423.1</v>
      </c>
      <c r="L96" s="105">
        <v>0.89800000000000002</v>
      </c>
    </row>
    <row r="100" spans="2:12" ht="15.6" x14ac:dyDescent="0.3">
      <c r="B100" s="150" t="s">
        <v>388</v>
      </c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</row>
    <row r="101" spans="2:12" ht="15.6" x14ac:dyDescent="0.3">
      <c r="B101" s="96" t="s">
        <v>344</v>
      </c>
      <c r="C101" s="96" t="s">
        <v>291</v>
      </c>
    </row>
    <row r="102" spans="2:12" ht="31.2" x14ac:dyDescent="0.3">
      <c r="B102" s="97" t="s">
        <v>292</v>
      </c>
      <c r="C102" s="97" t="s">
        <v>421</v>
      </c>
    </row>
    <row r="103" spans="2:12" ht="46.8" x14ac:dyDescent="0.3">
      <c r="B103" s="97" t="s">
        <v>294</v>
      </c>
      <c r="C103" s="97" t="s">
        <v>422</v>
      </c>
    </row>
    <row r="104" spans="2:12" ht="31.2" x14ac:dyDescent="0.3">
      <c r="B104" s="97" t="s">
        <v>296</v>
      </c>
      <c r="C104" s="97" t="s">
        <v>423</v>
      </c>
    </row>
    <row r="105" spans="2:12" ht="31.2" x14ac:dyDescent="0.3">
      <c r="B105" s="97" t="s">
        <v>298</v>
      </c>
      <c r="C105" s="97" t="s">
        <v>424</v>
      </c>
    </row>
    <row r="106" spans="2:12" ht="31.2" x14ac:dyDescent="0.3">
      <c r="B106" s="97" t="s">
        <v>300</v>
      </c>
      <c r="C106" s="97" t="s">
        <v>425</v>
      </c>
    </row>
  </sheetData>
  <mergeCells count="16">
    <mergeCell ref="B4:C4"/>
    <mergeCell ref="L7:N7"/>
    <mergeCell ref="R7:T7"/>
    <mergeCell ref="L15:M15"/>
    <mergeCell ref="X7:AA7"/>
    <mergeCell ref="E35:J35"/>
    <mergeCell ref="B44:J44"/>
    <mergeCell ref="B55:I55"/>
    <mergeCell ref="B22:D22"/>
    <mergeCell ref="L23:M23"/>
    <mergeCell ref="B33:J33"/>
    <mergeCell ref="B100:L100"/>
    <mergeCell ref="F57:I57"/>
    <mergeCell ref="B67:I67"/>
    <mergeCell ref="B76:I76"/>
    <mergeCell ref="B90:L90"/>
  </mergeCells>
  <pageMargins left="0.7" right="0.7" top="0.75" bottom="0.75" header="0.3" footer="0.3"/>
  <legacyDrawing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D76B0-7F13-41E1-A9E3-EDAF10293805}">
  <dimension ref="A1:F51"/>
  <sheetViews>
    <sheetView topLeftCell="A9" workbookViewId="0">
      <selection activeCell="B33" sqref="B33"/>
    </sheetView>
  </sheetViews>
  <sheetFormatPr defaultColWidth="9.109375" defaultRowHeight="18" x14ac:dyDescent="0.35"/>
  <cols>
    <col min="1" max="1" width="99.109375" style="107" customWidth="1"/>
    <col min="2" max="2" width="111.33203125" style="107" customWidth="1"/>
    <col min="3" max="3" width="75.88671875" style="107" customWidth="1"/>
    <col min="4" max="4" width="43.88671875" style="107" customWidth="1"/>
    <col min="5" max="5" width="48.33203125" style="107" customWidth="1"/>
    <col min="6" max="6" width="60.33203125" style="107" customWidth="1"/>
    <col min="7" max="16384" width="9.109375" style="107"/>
  </cols>
  <sheetData>
    <row r="1" spans="1:6" x14ac:dyDescent="0.35">
      <c r="A1" s="110" t="s">
        <v>390</v>
      </c>
    </row>
    <row r="3" spans="1:6" x14ac:dyDescent="0.35">
      <c r="A3" s="107" t="s">
        <v>77</v>
      </c>
      <c r="B3" s="107" t="s">
        <v>391</v>
      </c>
      <c r="C3" s="114" t="s">
        <v>392</v>
      </c>
    </row>
    <row r="4" spans="1:6" x14ac:dyDescent="0.35">
      <c r="A4" s="108" t="s">
        <v>393</v>
      </c>
      <c r="B4" s="104" t="s">
        <v>374</v>
      </c>
      <c r="C4" s="108" t="s">
        <v>394</v>
      </c>
    </row>
    <row r="5" spans="1:6" x14ac:dyDescent="0.35">
      <c r="A5" s="108"/>
      <c r="B5" s="109"/>
      <c r="C5" s="108"/>
    </row>
    <row r="6" spans="1:6" x14ac:dyDescent="0.35">
      <c r="A6" s="108"/>
      <c r="B6" s="110"/>
      <c r="C6" s="108"/>
    </row>
    <row r="7" spans="1:6" x14ac:dyDescent="0.35">
      <c r="A7" s="108"/>
      <c r="B7" s="113"/>
      <c r="C7" s="112"/>
    </row>
    <row r="9" spans="1:6" x14ac:dyDescent="0.35">
      <c r="B9" s="118"/>
      <c r="C9" s="118"/>
      <c r="D9" s="118"/>
      <c r="E9" s="118"/>
      <c r="F9" s="118"/>
    </row>
    <row r="10" spans="1:6" x14ac:dyDescent="0.35">
      <c r="A10" s="110" t="s">
        <v>395</v>
      </c>
      <c r="B10" s="118"/>
      <c r="C10" s="118"/>
      <c r="D10" s="118"/>
      <c r="E10" s="118"/>
      <c r="F10" s="118"/>
    </row>
    <row r="11" spans="1:6" x14ac:dyDescent="0.35">
      <c r="B11" s="118"/>
      <c r="C11" s="118"/>
      <c r="D11" s="118"/>
      <c r="E11" s="118"/>
      <c r="F11" s="118"/>
    </row>
    <row r="12" spans="1:6" x14ac:dyDescent="0.35">
      <c r="A12" s="93" t="s">
        <v>396</v>
      </c>
      <c r="B12" s="93" t="s">
        <v>397</v>
      </c>
      <c r="C12" s="93" t="s">
        <v>389</v>
      </c>
    </row>
    <row r="13" spans="1:6" x14ac:dyDescent="0.35">
      <c r="A13" s="94" t="s">
        <v>404</v>
      </c>
      <c r="B13" s="94" t="s">
        <v>398</v>
      </c>
      <c r="C13" s="94" t="s">
        <v>408</v>
      </c>
    </row>
    <row r="14" spans="1:6" x14ac:dyDescent="0.35">
      <c r="A14" s="94" t="s">
        <v>405</v>
      </c>
      <c r="B14" s="94" t="s">
        <v>399</v>
      </c>
      <c r="C14" s="94" t="s">
        <v>409</v>
      </c>
    </row>
    <row r="15" spans="1:6" x14ac:dyDescent="0.35">
      <c r="A15" s="94" t="s">
        <v>406</v>
      </c>
      <c r="B15" s="94" t="s">
        <v>400</v>
      </c>
      <c r="C15" s="94" t="s">
        <v>410</v>
      </c>
    </row>
    <row r="16" spans="1:6" x14ac:dyDescent="0.35">
      <c r="A16" s="115" t="s">
        <v>401</v>
      </c>
      <c r="B16" s="115" t="s">
        <v>402</v>
      </c>
      <c r="C16" s="94"/>
    </row>
    <row r="17" spans="1:6" x14ac:dyDescent="0.35">
      <c r="A17" s="94" t="s">
        <v>407</v>
      </c>
      <c r="B17" s="115" t="s">
        <v>403</v>
      </c>
      <c r="C17" s="94" t="s">
        <v>411</v>
      </c>
    </row>
    <row r="18" spans="1:6" x14ac:dyDescent="0.35">
      <c r="A18" s="111"/>
    </row>
    <row r="19" spans="1:6" x14ac:dyDescent="0.35">
      <c r="B19" s="118"/>
      <c r="C19" s="118"/>
      <c r="D19" s="118"/>
      <c r="E19" s="118"/>
      <c r="F19" s="118"/>
    </row>
    <row r="20" spans="1:6" x14ac:dyDescent="0.35">
      <c r="A20" s="110" t="s">
        <v>412</v>
      </c>
      <c r="B20" s="118"/>
      <c r="C20" s="118"/>
      <c r="D20" s="118"/>
      <c r="E20" s="118"/>
      <c r="F20" s="118"/>
    </row>
    <row r="21" spans="1:6" x14ac:dyDescent="0.35">
      <c r="B21" s="118"/>
      <c r="C21" s="118"/>
      <c r="D21" s="118"/>
      <c r="E21" s="118"/>
      <c r="F21" s="118"/>
    </row>
    <row r="22" spans="1:6" x14ac:dyDescent="0.35">
      <c r="A22" s="93" t="s">
        <v>396</v>
      </c>
      <c r="B22" s="93" t="s">
        <v>397</v>
      </c>
      <c r="C22" s="93" t="s">
        <v>389</v>
      </c>
    </row>
    <row r="23" spans="1:6" x14ac:dyDescent="0.35">
      <c r="A23" s="94" t="s">
        <v>413</v>
      </c>
      <c r="B23" s="116" t="s">
        <v>419</v>
      </c>
      <c r="C23" s="94" t="s">
        <v>416</v>
      </c>
    </row>
    <row r="24" spans="1:6" x14ac:dyDescent="0.35">
      <c r="A24" s="94" t="s">
        <v>414</v>
      </c>
      <c r="B24" s="116" t="s">
        <v>420</v>
      </c>
      <c r="C24" s="94" t="s">
        <v>417</v>
      </c>
    </row>
    <row r="25" spans="1:6" x14ac:dyDescent="0.35">
      <c r="A25" s="115" t="s">
        <v>415</v>
      </c>
      <c r="B25" s="117">
        <v>0.86799999999999999</v>
      </c>
      <c r="C25" s="94" t="s">
        <v>418</v>
      </c>
    </row>
    <row r="26" spans="1:6" x14ac:dyDescent="0.35">
      <c r="B26" s="112"/>
      <c r="C26" s="112"/>
    </row>
    <row r="27" spans="1:6" x14ac:dyDescent="0.35">
      <c r="B27" s="112"/>
      <c r="C27" s="112"/>
    </row>
    <row r="28" spans="1:6" x14ac:dyDescent="0.35">
      <c r="B28" s="112"/>
      <c r="C28" s="112"/>
    </row>
    <row r="29" spans="1:6" x14ac:dyDescent="0.35">
      <c r="A29" s="112"/>
    </row>
    <row r="30" spans="1:6" x14ac:dyDescent="0.35">
      <c r="A30" s="112"/>
    </row>
    <row r="31" spans="1:6" x14ac:dyDescent="0.35">
      <c r="A31" s="112"/>
    </row>
    <row r="32" spans="1:6" x14ac:dyDescent="0.35">
      <c r="A32" s="112"/>
      <c r="B32" s="112"/>
    </row>
    <row r="33" spans="1:6" x14ac:dyDescent="0.35">
      <c r="A33" s="112"/>
      <c r="B33" s="112"/>
    </row>
    <row r="34" spans="1:6" x14ac:dyDescent="0.35">
      <c r="A34" s="112"/>
      <c r="B34" s="112"/>
    </row>
    <row r="35" spans="1:6" x14ac:dyDescent="0.35">
      <c r="C35" s="90"/>
      <c r="D35" s="112"/>
    </row>
    <row r="36" spans="1:6" x14ac:dyDescent="0.35">
      <c r="B36" s="90"/>
      <c r="C36" s="90"/>
      <c r="D36" s="112"/>
    </row>
    <row r="37" spans="1:6" x14ac:dyDescent="0.35">
      <c r="B37" s="90"/>
      <c r="C37" s="90"/>
      <c r="D37" s="112"/>
    </row>
    <row r="38" spans="1:6" x14ac:dyDescent="0.35">
      <c r="A38" s="112"/>
    </row>
    <row r="39" spans="1:6" x14ac:dyDescent="0.35">
      <c r="A39" s="112"/>
    </row>
    <row r="40" spans="1:6" x14ac:dyDescent="0.35">
      <c r="A40" s="112"/>
    </row>
    <row r="41" spans="1:6" x14ac:dyDescent="0.35">
      <c r="A41" s="90"/>
      <c r="B41" s="90"/>
      <c r="C41" s="90"/>
    </row>
    <row r="42" spans="1:6" x14ac:dyDescent="0.35">
      <c r="A42" s="90"/>
      <c r="B42" s="90"/>
      <c r="C42" s="90"/>
    </row>
    <row r="43" spans="1:6" x14ac:dyDescent="0.35">
      <c r="B43" s="90"/>
      <c r="C43" s="90"/>
      <c r="D43" s="90"/>
      <c r="E43" s="90"/>
      <c r="F43" s="90"/>
    </row>
    <row r="44" spans="1:6" x14ac:dyDescent="0.35">
      <c r="B44" s="90"/>
      <c r="C44" s="90"/>
    </row>
    <row r="45" spans="1:6" x14ac:dyDescent="0.35">
      <c r="B45" s="90"/>
      <c r="C45" s="90"/>
    </row>
    <row r="49" spans="1:6" x14ac:dyDescent="0.35">
      <c r="A49" s="90"/>
      <c r="B49" s="90"/>
      <c r="C49" s="90"/>
    </row>
    <row r="50" spans="1:6" x14ac:dyDescent="0.35">
      <c r="A50" s="90"/>
      <c r="B50" s="90"/>
      <c r="C50" s="90"/>
    </row>
    <row r="51" spans="1:6" x14ac:dyDescent="0.35">
      <c r="D51" s="90"/>
      <c r="E51" s="90"/>
      <c r="F51" s="90"/>
    </row>
  </sheetData>
  <mergeCells count="2">
    <mergeCell ref="B9:F11"/>
    <mergeCell ref="B19:F2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C1208-BF31-4EDF-9156-8741784C1003}">
  <dimension ref="A4:G92"/>
  <sheetViews>
    <sheetView tabSelected="1" topLeftCell="A84" workbookViewId="0">
      <selection activeCell="D94" sqref="D94"/>
    </sheetView>
  </sheetViews>
  <sheetFormatPr defaultRowHeight="18" x14ac:dyDescent="0.35"/>
  <cols>
    <col min="1" max="1" width="19.6640625" style="107" customWidth="1"/>
    <col min="2" max="2" width="34.6640625" style="107" customWidth="1"/>
    <col min="3" max="3" width="31.109375" style="107" customWidth="1"/>
    <col min="4" max="4" width="33.88671875" style="107" customWidth="1"/>
    <col min="5" max="5" width="16.6640625" style="107" customWidth="1"/>
    <col min="6" max="6" width="24" style="107" customWidth="1"/>
    <col min="7" max="7" width="23" style="107" customWidth="1"/>
    <col min="8" max="16384" width="8.88671875" style="107"/>
  </cols>
  <sheetData>
    <row r="4" spans="1:3" x14ac:dyDescent="0.35">
      <c r="A4" s="118" t="s">
        <v>303</v>
      </c>
      <c r="B4" s="118"/>
      <c r="C4" s="118"/>
    </row>
    <row r="6" spans="1:3" x14ac:dyDescent="0.35">
      <c r="A6" s="93" t="s">
        <v>9</v>
      </c>
      <c r="B6" s="93" t="s">
        <v>6</v>
      </c>
      <c r="C6" s="93" t="s">
        <v>15</v>
      </c>
    </row>
    <row r="7" spans="1:3" x14ac:dyDescent="0.35">
      <c r="A7" s="94" t="s">
        <v>38</v>
      </c>
      <c r="B7" s="94" t="s">
        <v>39</v>
      </c>
      <c r="C7" s="94" t="s">
        <v>426</v>
      </c>
    </row>
    <row r="8" spans="1:3" ht="52.2" x14ac:dyDescent="0.35">
      <c r="A8" s="115" t="s">
        <v>44</v>
      </c>
      <c r="B8" s="115" t="s">
        <v>505</v>
      </c>
      <c r="C8" s="115" t="s">
        <v>429</v>
      </c>
    </row>
    <row r="9" spans="1:3" ht="36" x14ac:dyDescent="0.35">
      <c r="A9" s="94" t="s">
        <v>50</v>
      </c>
      <c r="B9" s="94" t="s">
        <v>427</v>
      </c>
      <c r="C9" s="94" t="s">
        <v>426</v>
      </c>
    </row>
    <row r="10" spans="1:3" x14ac:dyDescent="0.35">
      <c r="A10" s="94" t="s">
        <v>177</v>
      </c>
      <c r="B10" s="94" t="s">
        <v>304</v>
      </c>
      <c r="C10" s="94" t="s">
        <v>428</v>
      </c>
    </row>
    <row r="11" spans="1:3" x14ac:dyDescent="0.35">
      <c r="A11" s="94" t="s">
        <v>305</v>
      </c>
      <c r="B11" s="94" t="s">
        <v>306</v>
      </c>
      <c r="C11" s="94" t="s">
        <v>428</v>
      </c>
    </row>
    <row r="12" spans="1:3" ht="36" x14ac:dyDescent="0.35">
      <c r="A12" s="94" t="s">
        <v>307</v>
      </c>
      <c r="B12" s="94" t="s">
        <v>308</v>
      </c>
      <c r="C12" s="94" t="s">
        <v>428</v>
      </c>
    </row>
    <row r="13" spans="1:3" x14ac:dyDescent="0.35">
      <c r="A13" s="94" t="s">
        <v>309</v>
      </c>
      <c r="B13" s="94" t="s">
        <v>310</v>
      </c>
      <c r="C13" s="94" t="s">
        <v>428</v>
      </c>
    </row>
    <row r="14" spans="1:3" ht="34.799999999999997" x14ac:dyDescent="0.35">
      <c r="A14" s="115" t="s">
        <v>351</v>
      </c>
      <c r="B14" s="115" t="s">
        <v>316</v>
      </c>
      <c r="C14" s="94"/>
    </row>
    <row r="19" spans="1:6" x14ac:dyDescent="0.35">
      <c r="A19" s="118" t="s">
        <v>430</v>
      </c>
      <c r="B19" s="118"/>
      <c r="C19" s="118"/>
      <c r="D19" s="118"/>
      <c r="E19" s="118"/>
      <c r="F19" s="118"/>
    </row>
    <row r="21" spans="1:6" x14ac:dyDescent="0.35">
      <c r="A21" s="93" t="s">
        <v>33</v>
      </c>
      <c r="B21" s="93" t="s">
        <v>506</v>
      </c>
      <c r="C21" s="93" t="s">
        <v>431</v>
      </c>
      <c r="D21" s="93" t="s">
        <v>432</v>
      </c>
      <c r="E21" s="93" t="s">
        <v>5</v>
      </c>
      <c r="F21" s="93" t="s">
        <v>36</v>
      </c>
    </row>
    <row r="22" spans="1:6" x14ac:dyDescent="0.35">
      <c r="A22" s="116" t="s">
        <v>41</v>
      </c>
      <c r="B22" s="159" t="s">
        <v>433</v>
      </c>
      <c r="C22" s="116">
        <v>15</v>
      </c>
      <c r="D22" s="116" t="s">
        <v>434</v>
      </c>
      <c r="E22" s="116">
        <v>0</v>
      </c>
      <c r="F22" s="159" t="s">
        <v>435</v>
      </c>
    </row>
    <row r="23" spans="1:6" x14ac:dyDescent="0.35">
      <c r="A23" s="116" t="s">
        <v>47</v>
      </c>
      <c r="B23" s="159" t="s">
        <v>433</v>
      </c>
      <c r="C23" s="116">
        <v>15</v>
      </c>
      <c r="D23" s="116" t="s">
        <v>434</v>
      </c>
      <c r="E23" s="116">
        <v>150</v>
      </c>
      <c r="F23" s="159" t="s">
        <v>436</v>
      </c>
    </row>
    <row r="24" spans="1:6" x14ac:dyDescent="0.35">
      <c r="A24" s="116" t="s">
        <v>53</v>
      </c>
      <c r="B24" s="159" t="s">
        <v>433</v>
      </c>
      <c r="C24" s="116">
        <v>15</v>
      </c>
      <c r="D24" s="116" t="s">
        <v>434</v>
      </c>
      <c r="E24" s="116">
        <v>600</v>
      </c>
      <c r="F24" s="159" t="s">
        <v>437</v>
      </c>
    </row>
    <row r="25" spans="1:6" x14ac:dyDescent="0.35">
      <c r="A25" s="116" t="s">
        <v>58</v>
      </c>
      <c r="B25" s="159" t="s">
        <v>433</v>
      </c>
      <c r="C25" s="116">
        <v>15</v>
      </c>
      <c r="D25" s="116" t="s">
        <v>434</v>
      </c>
      <c r="E25" s="116">
        <v>3</v>
      </c>
      <c r="F25" s="159" t="s">
        <v>438</v>
      </c>
    </row>
    <row r="28" spans="1:6" x14ac:dyDescent="0.35">
      <c r="A28" s="118" t="s">
        <v>439</v>
      </c>
      <c r="B28" s="118"/>
      <c r="C28" s="118"/>
      <c r="D28" s="118"/>
      <c r="E28" s="118"/>
      <c r="F28" s="118"/>
    </row>
    <row r="31" spans="1:6" x14ac:dyDescent="0.35">
      <c r="A31" s="93" t="s">
        <v>33</v>
      </c>
      <c r="B31" s="93" t="s">
        <v>10</v>
      </c>
      <c r="C31" s="93" t="s">
        <v>93</v>
      </c>
      <c r="D31" s="93" t="s">
        <v>94</v>
      </c>
      <c r="E31" s="93" t="s">
        <v>322</v>
      </c>
      <c r="F31" s="93" t="s">
        <v>323</v>
      </c>
    </row>
    <row r="32" spans="1:6" x14ac:dyDescent="0.35">
      <c r="A32" s="94" t="s">
        <v>41</v>
      </c>
      <c r="B32" s="94" t="s">
        <v>435</v>
      </c>
      <c r="C32" s="94" t="s">
        <v>440</v>
      </c>
      <c r="D32" s="94">
        <v>18</v>
      </c>
      <c r="E32" s="94" t="s">
        <v>441</v>
      </c>
      <c r="F32" s="94" t="s">
        <v>442</v>
      </c>
    </row>
    <row r="33" spans="1:6" x14ac:dyDescent="0.35">
      <c r="A33" s="94" t="s">
        <v>47</v>
      </c>
      <c r="B33" s="94" t="s">
        <v>436</v>
      </c>
      <c r="C33" s="94" t="s">
        <v>443</v>
      </c>
      <c r="D33" s="94">
        <v>93</v>
      </c>
      <c r="E33" s="94" t="s">
        <v>444</v>
      </c>
      <c r="F33" s="94" t="s">
        <v>445</v>
      </c>
    </row>
    <row r="34" spans="1:6" x14ac:dyDescent="0.35">
      <c r="A34" s="94" t="s">
        <v>53</v>
      </c>
      <c r="B34" s="94" t="s">
        <v>437</v>
      </c>
      <c r="C34" s="94" t="s">
        <v>446</v>
      </c>
      <c r="D34" s="94">
        <v>321</v>
      </c>
      <c r="E34" s="94" t="s">
        <v>447</v>
      </c>
      <c r="F34" s="94" t="s">
        <v>448</v>
      </c>
    </row>
    <row r="35" spans="1:6" x14ac:dyDescent="0.35">
      <c r="A35" s="94" t="s">
        <v>58</v>
      </c>
      <c r="B35" s="94" t="s">
        <v>438</v>
      </c>
      <c r="C35" s="94" t="s">
        <v>449</v>
      </c>
      <c r="D35" s="94">
        <v>1.5329999999999999</v>
      </c>
      <c r="E35" s="94" t="s">
        <v>450</v>
      </c>
      <c r="F35" s="94" t="s">
        <v>451</v>
      </c>
    </row>
    <row r="38" spans="1:6" x14ac:dyDescent="0.35">
      <c r="A38" s="118" t="s">
        <v>452</v>
      </c>
      <c r="B38" s="118"/>
      <c r="C38" s="118"/>
      <c r="D38" s="118"/>
    </row>
    <row r="40" spans="1:6" x14ac:dyDescent="0.35">
      <c r="A40" s="93" t="s">
        <v>33</v>
      </c>
      <c r="B40" s="93" t="s">
        <v>325</v>
      </c>
      <c r="C40" s="93" t="s">
        <v>101</v>
      </c>
      <c r="D40" s="93" t="s">
        <v>102</v>
      </c>
    </row>
    <row r="41" spans="1:6" x14ac:dyDescent="0.35">
      <c r="A41" s="94" t="s">
        <v>41</v>
      </c>
      <c r="B41" s="94" t="s">
        <v>453</v>
      </c>
      <c r="C41" s="94" t="s">
        <v>454</v>
      </c>
      <c r="D41" s="94" t="s">
        <v>455</v>
      </c>
    </row>
    <row r="42" spans="1:6" x14ac:dyDescent="0.35">
      <c r="A42" s="94" t="s">
        <v>47</v>
      </c>
      <c r="B42" s="94" t="s">
        <v>456</v>
      </c>
      <c r="C42" s="94" t="s">
        <v>457</v>
      </c>
      <c r="D42" s="94" t="s">
        <v>458</v>
      </c>
    </row>
    <row r="43" spans="1:6" x14ac:dyDescent="0.35">
      <c r="A43" s="94" t="s">
        <v>53</v>
      </c>
      <c r="B43" s="94" t="s">
        <v>459</v>
      </c>
      <c r="C43" s="94" t="s">
        <v>460</v>
      </c>
      <c r="D43" s="94" t="s">
        <v>461</v>
      </c>
    </row>
    <row r="44" spans="1:6" x14ac:dyDescent="0.35">
      <c r="A44" s="94" t="s">
        <v>58</v>
      </c>
      <c r="B44" s="94" t="s">
        <v>462</v>
      </c>
      <c r="C44" s="94" t="s">
        <v>463</v>
      </c>
      <c r="D44" s="94" t="s">
        <v>464</v>
      </c>
    </row>
    <row r="47" spans="1:6" x14ac:dyDescent="0.35">
      <c r="A47" s="118" t="s">
        <v>465</v>
      </c>
      <c r="B47" s="118"/>
      <c r="C47" s="118"/>
      <c r="D47" s="118"/>
    </row>
    <row r="49" spans="1:4" x14ac:dyDescent="0.35">
      <c r="A49" s="93" t="s">
        <v>33</v>
      </c>
      <c r="B49" s="93" t="s">
        <v>112</v>
      </c>
      <c r="C49" s="93" t="s">
        <v>113</v>
      </c>
      <c r="D49" s="93" t="s">
        <v>327</v>
      </c>
    </row>
    <row r="50" spans="1:4" x14ac:dyDescent="0.35">
      <c r="A50" s="116" t="s">
        <v>41</v>
      </c>
      <c r="B50" s="116">
        <v>8.2439999999999998</v>
      </c>
      <c r="C50" s="116">
        <v>6.2960000000000003</v>
      </c>
      <c r="D50" s="159">
        <v>14.54</v>
      </c>
    </row>
    <row r="51" spans="1:4" x14ac:dyDescent="0.35">
      <c r="A51" s="116" t="s">
        <v>47</v>
      </c>
      <c r="B51" s="116">
        <v>44.603999999999999</v>
      </c>
      <c r="C51" s="116">
        <v>34.076000000000001</v>
      </c>
      <c r="D51" s="159">
        <v>78.680000000000007</v>
      </c>
    </row>
    <row r="52" spans="1:4" x14ac:dyDescent="0.35">
      <c r="A52" s="116" t="s">
        <v>53</v>
      </c>
      <c r="B52" s="116">
        <v>153.696</v>
      </c>
      <c r="C52" s="116">
        <v>117.408</v>
      </c>
      <c r="D52" s="159">
        <v>271.10399999999998</v>
      </c>
    </row>
    <row r="53" spans="1:4" x14ac:dyDescent="0.35">
      <c r="A53" s="116" t="s">
        <v>58</v>
      </c>
      <c r="B53" s="116">
        <v>735.75599999999997</v>
      </c>
      <c r="C53" s="116">
        <v>561.85199999999998</v>
      </c>
      <c r="D53" s="159" t="s">
        <v>466</v>
      </c>
    </row>
    <row r="56" spans="1:4" x14ac:dyDescent="0.35">
      <c r="A56" s="118" t="s">
        <v>467</v>
      </c>
      <c r="B56" s="118"/>
      <c r="C56" s="118"/>
      <c r="D56" s="118"/>
    </row>
    <row r="58" spans="1:4" x14ac:dyDescent="0.35">
      <c r="A58" s="93" t="s">
        <v>9</v>
      </c>
      <c r="B58" s="93" t="s">
        <v>358</v>
      </c>
      <c r="C58" s="93" t="s">
        <v>149</v>
      </c>
      <c r="D58" s="93" t="s">
        <v>19</v>
      </c>
    </row>
    <row r="59" spans="1:4" x14ac:dyDescent="0.35">
      <c r="A59" s="116" t="s">
        <v>359</v>
      </c>
      <c r="B59" s="116" t="s">
        <v>468</v>
      </c>
      <c r="C59" s="116" t="s">
        <v>469</v>
      </c>
      <c r="D59" s="116" t="s">
        <v>470</v>
      </c>
    </row>
    <row r="60" spans="1:4" x14ac:dyDescent="0.35">
      <c r="A60" s="116" t="s">
        <v>363</v>
      </c>
      <c r="B60" s="116">
        <v>17</v>
      </c>
      <c r="C60" s="116">
        <v>14</v>
      </c>
      <c r="D60" s="116"/>
    </row>
    <row r="61" spans="1:4" x14ac:dyDescent="0.35">
      <c r="A61" s="116" t="s">
        <v>364</v>
      </c>
      <c r="B61" s="116" t="s">
        <v>471</v>
      </c>
      <c r="C61" s="116" t="s">
        <v>472</v>
      </c>
      <c r="D61" s="116" t="s">
        <v>473</v>
      </c>
    </row>
    <row r="62" spans="1:4" ht="36" x14ac:dyDescent="0.35">
      <c r="A62" s="116" t="s">
        <v>209</v>
      </c>
      <c r="B62" s="116" t="s">
        <v>474</v>
      </c>
      <c r="C62" s="116" t="s">
        <v>474</v>
      </c>
      <c r="D62" s="116" t="s">
        <v>475</v>
      </c>
    </row>
    <row r="63" spans="1:4" ht="36" x14ac:dyDescent="0.35">
      <c r="A63" s="116" t="s">
        <v>476</v>
      </c>
      <c r="B63" s="159" t="s">
        <v>477</v>
      </c>
      <c r="C63" s="159" t="s">
        <v>477</v>
      </c>
      <c r="D63" s="116"/>
    </row>
    <row r="64" spans="1:4" ht="36" x14ac:dyDescent="0.35">
      <c r="A64" s="159" t="s">
        <v>478</v>
      </c>
      <c r="B64" s="159" t="s">
        <v>479</v>
      </c>
      <c r="C64" s="159" t="s">
        <v>480</v>
      </c>
      <c r="D64" s="116" t="s">
        <v>481</v>
      </c>
    </row>
    <row r="67" spans="1:7" x14ac:dyDescent="0.35">
      <c r="A67" s="118" t="s">
        <v>507</v>
      </c>
      <c r="B67" s="118"/>
      <c r="C67" s="118"/>
      <c r="D67" s="118"/>
    </row>
    <row r="69" spans="1:7" x14ac:dyDescent="0.35">
      <c r="A69" s="93" t="s">
        <v>9</v>
      </c>
      <c r="B69" s="93" t="s">
        <v>6</v>
      </c>
      <c r="C69" s="93" t="s">
        <v>19</v>
      </c>
    </row>
    <row r="70" spans="1:7" ht="36" x14ac:dyDescent="0.35">
      <c r="A70" s="94" t="s">
        <v>369</v>
      </c>
      <c r="B70" s="94" t="s">
        <v>482</v>
      </c>
      <c r="C70" s="94" t="s">
        <v>371</v>
      </c>
    </row>
    <row r="71" spans="1:7" x14ac:dyDescent="0.35">
      <c r="A71" s="94" t="s">
        <v>269</v>
      </c>
      <c r="B71" s="94" t="s">
        <v>372</v>
      </c>
      <c r="C71" s="94"/>
    </row>
    <row r="72" spans="1:7" x14ac:dyDescent="0.35">
      <c r="A72" s="94" t="s">
        <v>483</v>
      </c>
      <c r="B72" s="94" t="s">
        <v>376</v>
      </c>
      <c r="C72" s="94"/>
    </row>
    <row r="73" spans="1:7" x14ac:dyDescent="0.35">
      <c r="A73" s="94" t="s">
        <v>484</v>
      </c>
      <c r="B73" s="94" t="s">
        <v>379</v>
      </c>
      <c r="C73" s="94"/>
    </row>
    <row r="74" spans="1:7" ht="36" x14ac:dyDescent="0.35">
      <c r="A74" s="94" t="s">
        <v>485</v>
      </c>
      <c r="B74" s="94" t="s">
        <v>486</v>
      </c>
      <c r="C74" s="94"/>
    </row>
    <row r="78" spans="1:7" x14ac:dyDescent="0.35">
      <c r="A78" s="118" t="s">
        <v>508</v>
      </c>
      <c r="B78" s="118"/>
      <c r="C78" s="118"/>
      <c r="D78" s="118"/>
      <c r="E78" s="118"/>
      <c r="F78" s="118"/>
      <c r="G78" s="118"/>
    </row>
    <row r="80" spans="1:7" x14ac:dyDescent="0.35">
      <c r="A80" s="93" t="s">
        <v>33</v>
      </c>
      <c r="B80" s="93" t="s">
        <v>337</v>
      </c>
      <c r="C80" s="93" t="s">
        <v>338</v>
      </c>
      <c r="D80" s="93" t="s">
        <v>339</v>
      </c>
      <c r="E80" s="93" t="s">
        <v>487</v>
      </c>
      <c r="F80" s="93" t="s">
        <v>488</v>
      </c>
      <c r="G80" s="93" t="s">
        <v>342</v>
      </c>
    </row>
    <row r="81" spans="1:7" ht="36" x14ac:dyDescent="0.35">
      <c r="A81" s="157" t="s">
        <v>41</v>
      </c>
      <c r="B81" s="157">
        <v>12.41</v>
      </c>
      <c r="C81" s="157" t="s">
        <v>489</v>
      </c>
      <c r="D81" s="157">
        <v>6.2050000000000001</v>
      </c>
      <c r="E81" s="157">
        <v>1.08</v>
      </c>
      <c r="F81" s="158" t="s">
        <v>490</v>
      </c>
      <c r="G81" s="158" t="s">
        <v>509</v>
      </c>
    </row>
    <row r="82" spans="1:7" x14ac:dyDescent="0.35">
      <c r="A82" s="157" t="s">
        <v>47</v>
      </c>
      <c r="B82" s="157">
        <v>67.16</v>
      </c>
      <c r="C82" s="157">
        <v>3.3580000000000001</v>
      </c>
      <c r="D82" s="157">
        <v>33.58</v>
      </c>
      <c r="E82" s="157">
        <v>1.08</v>
      </c>
      <c r="F82" s="158">
        <v>4.4379999999999997</v>
      </c>
      <c r="G82" s="158" t="s">
        <v>491</v>
      </c>
    </row>
    <row r="83" spans="1:7" x14ac:dyDescent="0.35">
      <c r="A83" s="157" t="s">
        <v>53</v>
      </c>
      <c r="B83" s="157">
        <v>231.41</v>
      </c>
      <c r="C83" s="157" t="s">
        <v>492</v>
      </c>
      <c r="D83" s="157">
        <v>115.705</v>
      </c>
      <c r="E83" s="157">
        <v>1.08</v>
      </c>
      <c r="F83" s="158" t="s">
        <v>493</v>
      </c>
      <c r="G83" s="158" t="s">
        <v>494</v>
      </c>
    </row>
    <row r="84" spans="1:7" x14ac:dyDescent="0.35">
      <c r="A84" s="157" t="s">
        <v>58</v>
      </c>
      <c r="B84" s="157" t="s">
        <v>495</v>
      </c>
      <c r="C84" s="157" t="s">
        <v>496</v>
      </c>
      <c r="D84" s="157">
        <v>553.70500000000004</v>
      </c>
      <c r="E84" s="157">
        <v>1.08</v>
      </c>
      <c r="F84" s="158" t="s">
        <v>497</v>
      </c>
      <c r="G84" s="158" t="s">
        <v>498</v>
      </c>
    </row>
    <row r="87" spans="1:7" x14ac:dyDescent="0.35">
      <c r="A87" s="119" t="s">
        <v>510</v>
      </c>
      <c r="B87" s="119"/>
      <c r="C87" s="119"/>
      <c r="D87" s="119"/>
      <c r="E87" s="119"/>
    </row>
    <row r="89" spans="1:7" x14ac:dyDescent="0.35">
      <c r="A89" s="93" t="s">
        <v>33</v>
      </c>
      <c r="B89" s="93" t="s">
        <v>499</v>
      </c>
      <c r="C89" s="93" t="s">
        <v>500</v>
      </c>
    </row>
    <row r="90" spans="1:7" x14ac:dyDescent="0.35">
      <c r="A90" s="157" t="s">
        <v>47</v>
      </c>
      <c r="B90" s="157" t="s">
        <v>501</v>
      </c>
      <c r="C90" s="157" t="s">
        <v>502</v>
      </c>
    </row>
    <row r="91" spans="1:7" x14ac:dyDescent="0.35">
      <c r="A91" s="157" t="s">
        <v>53</v>
      </c>
      <c r="B91" s="157">
        <v>66</v>
      </c>
      <c r="C91" s="157" t="s">
        <v>503</v>
      </c>
    </row>
    <row r="92" spans="1:7" x14ac:dyDescent="0.35">
      <c r="A92" s="157" t="s">
        <v>58</v>
      </c>
      <c r="B92" s="157">
        <v>330</v>
      </c>
      <c r="C92" s="157" t="s">
        <v>504</v>
      </c>
    </row>
  </sheetData>
  <mergeCells count="9">
    <mergeCell ref="A56:D56"/>
    <mergeCell ref="A67:D67"/>
    <mergeCell ref="A78:G78"/>
    <mergeCell ref="A87:E87"/>
    <mergeCell ref="A4:C4"/>
    <mergeCell ref="A19:F19"/>
    <mergeCell ref="A28:F28"/>
    <mergeCell ref="A38:D38"/>
    <mergeCell ref="A47:D47"/>
  </mergeCell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Solar PV power plant</vt:lpstr>
      <vt:lpstr>Solar &amp; Energy Systems</vt:lpstr>
      <vt:lpstr>Energy Systems</vt:lpstr>
      <vt:lpstr>ENERGY SYSTEM SUMMARY</vt:lpstr>
      <vt:lpstr>TEAM SUMMARY — Energy System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Aida MADIEGA</cp:lastModifiedBy>
  <cp:revision/>
  <dcterms:created xsi:type="dcterms:W3CDTF">2025-09-13T16:22:16Z</dcterms:created>
  <dcterms:modified xsi:type="dcterms:W3CDTF">2026-08-06T17:44:08Z</dcterms:modified>
  <cp:category/>
  <cp:contentStatus/>
</cp:coreProperties>
</file>