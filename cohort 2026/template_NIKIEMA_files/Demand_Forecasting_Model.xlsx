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Historical Data" sheetId="2" state="visible" r:id="rId4"/>
    <sheet name="Forecast Model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<sst xmlns="http://schemas.openxmlformats.org/spreadsheetml/2006/main" count="78" uniqueCount="76">
  <si>
    <t xml:space="preserve">Sales &amp; Marketing — Demand Forecasting Model</t>
  </si>
  <si>
    <t xml:space="preserve">Cold-start approach — Task 1.2 | Mariata Nikiema | BIT x Infineon Excellence Program 2026</t>
  </si>
  <si>
    <t xml:space="preserve">Key Assumptions (editable — blue text = input cell)</t>
  </si>
  <si>
    <t xml:space="preserve">Assumption</t>
  </si>
  <si>
    <t xml:space="preserve">Value</t>
  </si>
  <si>
    <t xml:space="preserve">Unit</t>
  </si>
  <si>
    <t xml:space="preserve">Source / Note</t>
  </si>
  <si>
    <t xml:space="preserve">Fresh-to-dried mango conversion ratio</t>
  </si>
  <si>
    <t xml:space="preserve">kg fresh : 1 kg dried</t>
  </si>
  <si>
    <t xml:space="preserve">Cardassilaris Family, June 2026 (10-12:1 range, midpoint used)</t>
  </si>
  <si>
    <t xml:space="preserve">Average FOB price (dried mango)</t>
  </si>
  <si>
    <t xml:space="preserve">EUR / kg</t>
  </si>
  <si>
    <t xml:space="preserve">Cardassilaris Family, June 2026 (range EUR 8-12/kg)</t>
  </si>
  <si>
    <t xml:space="preserve">BF national mango production (latest, 2022)</t>
  </si>
  <si>
    <t xml:space="preserve">metric tons (fresh)</t>
  </si>
  <si>
    <t xml:space="preserve">APEX-Burkina / Ecofin Agency, Nov 2024 report</t>
  </si>
  <si>
    <t xml:space="preserve">Share of national production processed as dried mango</t>
  </si>
  <si>
    <t xml:space="preserve">% (assumption)</t>
  </si>
  <si>
    <t xml:space="preserve">Derived: dried mango output 3,800t (2020) vs national ~271,503t (2020) ≈ 1.4%; set at 3% to reflect capacity growth (new EDFI/BIO facility, 2026)</t>
  </si>
  <si>
    <t xml:space="preserve">Annual production volatility (± range)</t>
  </si>
  <si>
    <t xml:space="preserve">Based on observed swing: -27% (2021) to +51% (2022), APEX-Burkina</t>
  </si>
  <si>
    <t xml:space="preserve">Germany share of BF dried/fresh mango exports</t>
  </si>
  <si>
    <t xml:space="preserve">Germany = #1 importer of BF mango; used as planning estimate, not an official split</t>
  </si>
  <si>
    <t xml:space="preserve">Historical / Proxy Data (Task 1.1 sources)</t>
  </si>
  <si>
    <t xml:space="preserve">No direct sales history exists — figures below are proxies used to anchor the model</t>
  </si>
  <si>
    <t xml:space="preserve">Year</t>
  </si>
  <si>
    <t xml:space="preserve">National mango production (t, fresh)</t>
  </si>
  <si>
    <t xml:space="preserve">YoY change</t>
  </si>
  <si>
    <t xml:space="preserve">Dried mango production (t)</t>
  </si>
  <si>
    <t xml:space="preserve">Source</t>
  </si>
  <si>
    <t xml:space="preserve">2014</t>
  </si>
  <si>
    <t xml:space="preserve">Enhanced Integrated Framework (EIF)</t>
  </si>
  <si>
    <t xml:space="preserve">2018</t>
  </si>
  <si>
    <t xml:space="preserve">APEX-Burkina, Nov 2024 report</t>
  </si>
  <si>
    <t xml:space="preserve">2020</t>
  </si>
  <si>
    <t xml:space="preserve">APEX-Burkina / EIF</t>
  </si>
  <si>
    <t xml:space="preserve">2021</t>
  </si>
  <si>
    <t xml:space="preserve">APEX-Burkina (reported -27%)</t>
  </si>
  <si>
    <t xml:space="preserve">2022</t>
  </si>
  <si>
    <t xml:space="preserve">APEX-Burkina (reported +51% rebound)</t>
  </si>
  <si>
    <t xml:space="preserve">2023 BF mango exports to Germany (fresh+dried)</t>
  </si>
  <si>
    <t xml:space="preserve">$7.44M / 1,582,820 kg</t>
  </si>
  <si>
    <t xml:space="preserve">World Bank WITS / UN Comtrade</t>
  </si>
  <si>
    <t xml:space="preserve">2026 Demand Forecast — Cold-Start Estimate</t>
  </si>
  <si>
    <t xml:space="preserve">Method: national production trend x processing share x conversion ratio, distributed by harvest seasonality</t>
  </si>
  <si>
    <t xml:space="preserve">Estimated dried mango volume (2026, base case)</t>
  </si>
  <si>
    <t xml:space="preserve">metric tons (dried)</t>
  </si>
  <si>
    <t xml:space="preserve">Volatility range (± )</t>
  </si>
  <si>
    <t xml:space="preserve">Low estimate</t>
  </si>
  <si>
    <t xml:space="preserve">High estimate</t>
  </si>
  <si>
    <t xml:space="preserve">Estimated volume destined for Germany</t>
  </si>
  <si>
    <t xml:space="preserve">metric tons</t>
  </si>
  <si>
    <t xml:space="preserve">Estimated revenue potential (Germany)</t>
  </si>
  <si>
    <t xml:space="preserve">EUR</t>
  </si>
  <si>
    <t xml:space="preserve">Monthly Distribution (harvest-weighted seasonality)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</si>
  <si>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</si>
  <si>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</si>
  <si>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</si>
  <si>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</si>
  <si>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</si>
  <si>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</si>
  <si>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</si>
  <si>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</si>
  <si>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</si>
  <si>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</si>
  <si>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</si>
  <si>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</si>
  <si>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Weight</t>
  </si>
  <si>
    <t xml:space="preserve">Forecasted volume (t)</t>
  </si>
  <si>
    <t xml:space="preserve">Note: weights are an initial planning assumption based on the Mar-Jul harvest window; to refine, cross-check with the Plants module's actual harvest calendar and Product Transformation's drying throughput once available.</t>
  </si>
  <si>
    <t xml:space="preserve">Model Limitations &amp; Next Steps</t>
  </si>
  <si>
    <t xml:space="preserve">1. This is a cold-start planning model, not a statistical forecast — there is no direct historical sales time series yet for this specific supply chain.</t>
  </si>
  <si>
    <t xml:space="preserve">2. All figures in the Forecast Model sheet are derived from national/sector-level proxies (Assumptions sheet), not from actual dried-mango sales data.</t>
  </si>
  <si>
    <t xml:space="preserve">3. The 'share of national production processed as dried' (3%) is an editable planning assumption — update it once real processing capacity figures are available from the Product Transformation module.</t>
  </si>
  <si>
    <t xml:space="preserve">4. Once real batch-level data starts flowing from Product Transformation (batch ID, production date, available stock — see Sales &amp; Marketing / Product Transformation data-sharing agreement), replace the top-down estimate with a bottom-up sum of actual batches.</t>
  </si>
  <si>
    <t xml:space="preserve">5. Recommended evolution: as 2026-2027 actual sales accumulate, migrate from this assumption-driven model to a seasonal time-series method (e.g. Holt-Winters or Prophet) using real monthly sales.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</si>
</sst>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827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A8276"/>
        <bgColor rgb="FF008080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8276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Forecasted Monthly Dried Mango Volume (t) — 2026 Base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Model'!$B$16:$M$16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'Forecast Model'!$B$18:$M$18</c:f>
              <c:numCache>
                <c:formatCode>#,##0</c:formatCode>
                <c:ptCount val="12"/>
                <c:pt idx="0">
                  <c:v>180</c:v>
                </c:pt>
                <c:pt idx="1">
                  <c:v>180</c:v>
                </c:pt>
                <c:pt idx="2">
                  <c:v>540</c:v>
                </c:pt>
                <c:pt idx="3">
                  <c:v>900</c:v>
                </c:pt>
                <c:pt idx="4">
                  <c:v>1440</c:v>
                </c:pt>
                <c:pt idx="5">
                  <c:v>1620</c:v>
                </c:pt>
                <c:pt idx="6">
                  <c:v>1440</c:v>
                </c:pt>
                <c:pt idx="7">
                  <c:v>900</c:v>
                </c:pt>
                <c:pt idx="8">
                  <c:v>720</c:v>
                </c:pt>
                <c:pt idx="9">
                  <c:v>540</c:v>
                </c:pt>
                <c:pt idx="10">
                  <c:v>360</c:v>
                </c:pt>
                <c:pt idx="11">
                  <c:v>180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187249"/>
        <c:axId val="61949510"/>
      </c:lineChart>
      <c:catAx>
        <c:axId val="461872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49510"/>
        <c:crosses val="autoZero"/>
        <c:auto val="1"/>
        <c:lblAlgn val="ctr"/>
        <c:lblOffset val="100"/>
        <c:noMultiLvlLbl val="0"/>
      </c:catAx>
      <c:valAx>
        <c:axId val="61949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Metric tons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87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160920</xdr:rowOff>
    </xdr:from>
    <xdr:to>
      <xdr:col>9</xdr:col>
      <xdr:colOff>644760</xdr:colOff>
      <xdr:row>36</xdr:row>
      <xdr:rowOff>182880</xdr:rowOff>
    </xdr:to>
    <xdr:graphicFrame>
      <xdr:nvGraphicFramePr>
        <xdr:cNvPr id="0" name="Chart 1"/>
        <xdr:cNvGraphicFramePr/>
      </xdr:nvGraphicFramePr>
      <xdr:xfrm>
        <a:off x="1832760" y="4191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5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4" t="s">
        <v>4</v>
      </c>
      <c r="D7" s="4" t="s">
        <v>5</v>
      </c>
      <c r="E7" s="4" t="s">
        <v>6</v>
      </c>
    </row>
    <row r="8" customFormat="false" ht="15" hidden="false" customHeight="false" outlineLevel="0" collapsed="false">
      <c r="B8" s="5" t="s">
        <v>7</v>
      </c>
      <c r="C8" s="6" t="n">
        <v>11</v>
      </c>
      <c r="D8" s="7" t="s">
        <v>8</v>
      </c>
      <c r="E8" s="7" t="s">
        <v>9</v>
      </c>
    </row>
    <row r="9" customFormat="false" ht="15" hidden="false" customHeight="false" outlineLevel="0" collapsed="false">
      <c r="B9" s="5" t="s">
        <v>10</v>
      </c>
      <c r="C9" s="6" t="n">
        <v>10</v>
      </c>
      <c r="D9" s="7" t="s">
        <v>11</v>
      </c>
      <c r="E9" s="7" t="s">
        <v>12</v>
      </c>
    </row>
    <row r="10" customFormat="false" ht="15" hidden="false" customHeight="false" outlineLevel="0" collapsed="false">
      <c r="B10" s="5" t="s">
        <v>13</v>
      </c>
      <c r="C10" s="6" t="n">
        <v>300000</v>
      </c>
      <c r="D10" s="7" t="s">
        <v>14</v>
      </c>
      <c r="E10" s="7" t="s">
        <v>15</v>
      </c>
    </row>
    <row r="11" customFormat="false" ht="15" hidden="false" customHeight="false" outlineLevel="0" collapsed="false">
      <c r="B11" s="5" t="s">
        <v>16</v>
      </c>
      <c r="C11" s="8" t="n">
        <v>0.03</v>
      </c>
      <c r="D11" s="7" t="s">
        <v>17</v>
      </c>
      <c r="E11" s="7" t="s">
        <v>18</v>
      </c>
    </row>
    <row r="12" customFormat="false" ht="15" hidden="false" customHeight="false" outlineLevel="0" collapsed="false">
      <c r="B12" s="5" t="s">
        <v>19</v>
      </c>
      <c r="C12" s="8" t="n">
        <v>0.3</v>
      </c>
      <c r="D12" s="7" t="s">
        <v>17</v>
      </c>
      <c r="E12" s="7" t="s">
        <v>20</v>
      </c>
    </row>
    <row r="13" customFormat="false" ht="15" hidden="false" customHeight="false" outlineLevel="0" collapsed="false">
      <c r="B13" s="5" t="s">
        <v>21</v>
      </c>
      <c r="C13" s="8" t="n">
        <v>0.6</v>
      </c>
      <c r="D13" s="7" t="s">
        <v>17</v>
      </c>
      <c r="E13" s="7" t="s">
        <v>22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40"/>
  </cols>
  <sheetData>
    <row r="2" customFormat="false" ht="17.35" hidden="false" customHeight="false" outlineLevel="0" collapsed="false">
      <c r="B2" s="1" t="s">
        <v>23</v>
      </c>
    </row>
    <row r="3" customFormat="false" ht="15" hidden="false" customHeight="false" outlineLevel="0" collapsed="false">
      <c r="B3" s="2" t="s">
        <v>24</v>
      </c>
    </row>
    <row r="5" customFormat="false" ht="26.85" hidden="false" customHeight="false" outlineLevel="0" collapsed="false"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</row>
    <row r="6" customFormat="false" ht="15" hidden="false" customHeight="false" outlineLevel="0" collapsed="false">
      <c r="B6" s="5" t="s">
        <v>30</v>
      </c>
      <c r="C6" s="9"/>
      <c r="D6" s="9"/>
      <c r="E6" s="10" t="n">
        <v>700</v>
      </c>
      <c r="F6" s="7" t="s">
        <v>31</v>
      </c>
    </row>
    <row r="7" customFormat="false" ht="15" hidden="false" customHeight="false" outlineLevel="0" collapsed="false">
      <c r="B7" s="5" t="s">
        <v>32</v>
      </c>
      <c r="C7" s="10" t="n">
        <v>197302</v>
      </c>
      <c r="D7" s="9"/>
      <c r="E7" s="9"/>
      <c r="F7" s="7" t="s">
        <v>33</v>
      </c>
    </row>
    <row r="8" customFormat="false" ht="15" hidden="false" customHeight="false" outlineLevel="0" collapsed="false">
      <c r="B8" s="5" t="s">
        <v>34</v>
      </c>
      <c r="C8" s="10" t="n">
        <v>271503</v>
      </c>
      <c r="D8" s="9"/>
      <c r="E8" s="10" t="n">
        <v>3800</v>
      </c>
      <c r="F8" s="7" t="s">
        <v>35</v>
      </c>
    </row>
    <row r="9" customFormat="false" ht="15" hidden="false" customHeight="false" outlineLevel="0" collapsed="false">
      <c r="B9" s="5" t="s">
        <v>36</v>
      </c>
      <c r="C9" s="10" t="n">
        <v>199240</v>
      </c>
      <c r="D9" s="11" t="n">
        <v>-0.27</v>
      </c>
      <c r="E9" s="9"/>
      <c r="F9" s="7" t="s">
        <v>37</v>
      </c>
    </row>
    <row r="10" customFormat="false" ht="15" hidden="false" customHeight="false" outlineLevel="0" collapsed="false">
      <c r="B10" s="5" t="s">
        <v>38</v>
      </c>
      <c r="C10" s="10" t="n">
        <v>300000</v>
      </c>
      <c r="D10" s="11" t="n">
        <v>0.51</v>
      </c>
      <c r="E10" s="9"/>
      <c r="F10" s="7" t="s">
        <v>39</v>
      </c>
    </row>
    <row r="12" customFormat="false" ht="15" hidden="false" customHeight="false" outlineLevel="0" collapsed="false">
      <c r="B12" s="3" t="s">
        <v>40</v>
      </c>
      <c r="C12" s="12" t="s">
        <v>41</v>
      </c>
      <c r="F12" s="13" t="s">
        <v>42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1"/>
    <col collapsed="false" customWidth="true" hidden="false" outlineLevel="0" max="5" min="5" style="0" width="16"/>
    <col collapsed="false" customWidth="true" hidden="false" outlineLevel="0" max="13" min="6" style="0" width="11"/>
  </cols>
  <sheetData>
    <row r="2" customFormat="false" ht="17.35" hidden="false" customHeight="false" outlineLevel="0" collapsed="false">
      <c r="B2" s="1" t="s">
        <v>43</v>
      </c>
    </row>
    <row r="3" customFormat="false" ht="15" hidden="false" customHeight="false" outlineLevel="0" collapsed="false">
      <c r="B3" s="2" t="s">
        <v>44</v>
      </c>
    </row>
    <row r="5" customFormat="false" ht="15" hidden="false" customHeight="false" outlineLevel="0" collapsed="false">
      <c r="B5" s="3" t="s">
        <v>45</v>
      </c>
      <c r="D5" s="14" t="n">
        <f aca="false">Assumptions!$C$10*Assumptions!$C$11</f>
        <v>9000</v>
      </c>
      <c r="E5" s="13" t="s">
        <v>46</v>
      </c>
    </row>
    <row r="6" customFormat="false" ht="15" hidden="false" customHeight="false" outlineLevel="0" collapsed="false">
      <c r="B6" s="3" t="s">
        <v>47</v>
      </c>
      <c r="D6" s="14" t="n">
        <f aca="false">D5*Assumptions!$C$12</f>
        <v>2700</v>
      </c>
    </row>
    <row r="7" customFormat="false" ht="15" hidden="false" customHeight="false" outlineLevel="0" collapsed="false">
      <c r="B7" s="12" t="s">
        <v>48</v>
      </c>
      <c r="D7" s="14" t="n">
        <f aca="false">D5-D6</f>
        <v>6300</v>
      </c>
    </row>
    <row r="8" customFormat="false" ht="15" hidden="false" customHeight="false" outlineLevel="0" collapsed="false">
      <c r="B8" s="12" t="s">
        <v>49</v>
      </c>
      <c r="D8" s="14" t="n">
        <f aca="false">D5+D6</f>
        <v>11700</v>
      </c>
    </row>
    <row r="10" customFormat="false" ht="15" hidden="false" customHeight="false" outlineLevel="0" collapsed="false">
      <c r="B10" s="3" t="s">
        <v>50</v>
      </c>
      <c r="D10" s="14" t="n">
        <f aca="false">D5*Assumptions!$C$13</f>
        <v>5400</v>
      </c>
      <c r="E10" s="13" t="s">
        <v>51</v>
      </c>
    </row>
    <row r="11" customFormat="false" ht="15" hidden="false" customHeight="false" outlineLevel="0" collapsed="false">
      <c r="B11" s="3" t="s">
        <v>52</v>
      </c>
      <c r="D11" s="14" t="n">
        <f aca="false">D10*1000*Assumptions!$C$9</f>
        <v>54000000</v>
      </c>
      <c r="E11" s="13" t="s">
        <v>53</v>
      </c>
    </row>
    <row r="14" customFormat="false" ht="15" hidden="false" customHeight="false" outlineLevel="0" collapsed="false">
      <c r="B14" s="3" t="s">
        <v>54</v>
      </c>
    </row>
    <row r="16" customFormat="false" ht="15" hidden="false" customHeight="false" outlineLevel="0" collapsed="false">
      <c r="B16" s="4" t="s">
        <v>55</v>
      </c>
      <c r="C16" s="4" t="s">
        <v>56</v>
      </c>
      <c r="D16" s="4" t="s">
        <v>57</v>
      </c>
      <c r="E16" s="4" t="s">
        <v>58</v>
      </c>
      <c r="F16" s="4" t="s">
        <v>59</v>
      </c>
      <c r="G16" s="4" t="s">
        <v>60</v>
      </c>
      <c r="H16" s="4" t="s">
        <v>61</v>
      </c>
      <c r="I16" s="4" t="s">
        <v>62</v>
      </c>
      <c r="J16" s="4" t="s">
        <v>63</v>
      </c>
      <c r="K16" s="4" t="s">
        <v>64</v>
      </c>
      <c r="L16" s="4" t="s">
        <v>65</v>
      </c>
      <c r="M16" s="4" t="s">
        <v>66</v>
      </c>
    </row>
    <row r="17" customFormat="false" ht="15" hidden="false" customHeight="false" outlineLevel="0" collapsed="false">
      <c r="A17" s="3" t="s">
        <v>67</v>
      </c>
      <c r="B17" s="15" t="n">
        <v>0.02</v>
      </c>
      <c r="C17" s="15" t="n">
        <v>0.02</v>
      </c>
      <c r="D17" s="15" t="n">
        <v>0.06</v>
      </c>
      <c r="E17" s="15" t="n">
        <v>0.1</v>
      </c>
      <c r="F17" s="15" t="n">
        <v>0.16</v>
      </c>
      <c r="G17" s="15" t="n">
        <v>0.18</v>
      </c>
      <c r="H17" s="15" t="n">
        <v>0.16</v>
      </c>
      <c r="I17" s="15" t="n">
        <v>0.1</v>
      </c>
      <c r="J17" s="15" t="n">
        <v>0.08</v>
      </c>
      <c r="K17" s="15" t="n">
        <v>0.06</v>
      </c>
      <c r="L17" s="15" t="n">
        <v>0.04</v>
      </c>
      <c r="M17" s="15" t="n">
        <v>0.02</v>
      </c>
    </row>
    <row r="18" customFormat="false" ht="15" hidden="false" customHeight="false" outlineLevel="0" collapsed="false">
      <c r="A18" s="3" t="s">
        <v>68</v>
      </c>
      <c r="B18" s="16" t="n">
        <f aca="false">B17*$D$5</f>
        <v>180</v>
      </c>
      <c r="C18" s="16" t="n">
        <f aca="false">C17*$D$5</f>
        <v>180</v>
      </c>
      <c r="D18" s="16" t="n">
        <f aca="false">D17*$D$5</f>
        <v>540</v>
      </c>
      <c r="E18" s="16" t="n">
        <f aca="false">E17*$D$5</f>
        <v>900</v>
      </c>
      <c r="F18" s="16" t="n">
        <f aca="false">F17*$D$5</f>
        <v>1440</v>
      </c>
      <c r="G18" s="16" t="n">
        <f aca="false">G17*$D$5</f>
        <v>1620</v>
      </c>
      <c r="H18" s="16" t="n">
        <f aca="false">H17*$D$5</f>
        <v>1440</v>
      </c>
      <c r="I18" s="16" t="n">
        <f aca="false">I17*$D$5</f>
        <v>900</v>
      </c>
      <c r="J18" s="16" t="n">
        <f aca="false">J17*$D$5</f>
        <v>720</v>
      </c>
      <c r="K18" s="16" t="n">
        <f aca="false">K17*$D$5</f>
        <v>540</v>
      </c>
      <c r="L18" s="16" t="n">
        <f aca="false">L17*$D$5</f>
        <v>360</v>
      </c>
      <c r="M18" s="16" t="n">
        <f aca="false">M17*$D$5</f>
        <v>180</v>
      </c>
    </row>
    <row r="20" customFormat="false" ht="15" hidden="false" customHeight="true" outlineLevel="0" collapsed="false">
      <c r="B20" s="17" t="s">
        <v>69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customFormat="false" ht="15" hidden="false" customHeight="false" outlineLevel="0" collapsed="false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</sheetData>
  <mergeCells count="1">
    <mergeCell ref="B20:M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7.35" hidden="false" customHeight="false" outlineLevel="0" collapsed="false">
      <c r="B2" s="1" t="s">
        <v>70</v>
      </c>
    </row>
    <row r="4" customFormat="false" ht="31.5" hidden="false" customHeight="true" outlineLevel="0" collapsed="false">
      <c r="B4" s="18" t="s">
        <v>71</v>
      </c>
      <c r="C4" s="18"/>
      <c r="D4" s="18"/>
      <c r="E4" s="18"/>
      <c r="F4" s="18"/>
      <c r="G4" s="18"/>
      <c r="H4" s="18"/>
    </row>
    <row r="5" customFormat="false" ht="31.5" hidden="false" customHeight="true" outlineLevel="0" collapsed="false">
      <c r="B5" s="18" t="s">
        <v>72</v>
      </c>
      <c r="C5" s="18"/>
      <c r="D5" s="18"/>
      <c r="E5" s="18"/>
      <c r="F5" s="18"/>
      <c r="G5" s="18"/>
      <c r="H5" s="18"/>
    </row>
    <row r="6" customFormat="false" ht="31.5" hidden="false" customHeight="true" outlineLevel="0" collapsed="false">
      <c r="B6" s="18" t="s">
        <v>73</v>
      </c>
      <c r="C6" s="18"/>
      <c r="D6" s="18"/>
      <c r="E6" s="18"/>
      <c r="F6" s="18"/>
      <c r="G6" s="18"/>
      <c r="H6" s="18"/>
    </row>
    <row r="7" customFormat="false" ht="31.5" hidden="false" customHeight="true" outlineLevel="0" collapsed="false">
      <c r="B7" s="18" t="s">
        <v>74</v>
      </c>
      <c r="C7" s="18"/>
      <c r="D7" s="18"/>
      <c r="E7" s="18"/>
      <c r="F7" s="18"/>
      <c r="G7" s="18"/>
      <c r="H7" s="18"/>
    </row>
    <row r="8" customFormat="false" ht="31.5" hidden="false" customHeight="true" outlineLevel="0" collapsed="false">
      <c r="B8" s="18" t="s">
        <v>75</v>
      </c>
      <c r="C8" s="18"/>
      <c r="D8" s="18"/>
      <c r="E8" s="18"/>
      <c r="F8" s="18"/>
      <c r="G8" s="18"/>
      <c r="H8" s="18"/>
    </row>
  </sheetData>
  <mergeCells count="5">
    <mergeCell ref="B4:H4"/>
    <mergeCell ref="B5:H5"/>
    <mergeCell ref="B6:H6"/>
    <mergeCell ref="B7:H7"/>
    <mergeCell ref="B8:H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2026-08-10T11:41:47Z</dcterms:created>
  <dc:creator>openpyxl</dc:creator>
  <dc:description/>
  <dc:language>en-US</dc:language>
  <cp:lastModifiedBy/>
  <dcterms:modified xsi:type="dcterms:W3CDTF">2026-08-10T11:41:51Z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